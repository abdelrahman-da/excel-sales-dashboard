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bodyp\Downloads\"/>
    </mc:Choice>
  </mc:AlternateContent>
  <xr:revisionPtr revIDLastSave="0" documentId="13_ncr:1_{44310C1F-54E8-4B5E-8027-7A1C9E1E374E}" xr6:coauthVersionLast="47" xr6:coauthVersionMax="47" xr10:uidLastSave="{00000000-0000-0000-0000-000000000000}"/>
  <bookViews>
    <workbookView xWindow="-120" yWindow="-120" windowWidth="38640" windowHeight="21120" firstSheet="1" activeTab="1" xr2:uid="{2FDD29D7-8111-4BFC-93AD-500358FC4FAC}"/>
  </bookViews>
  <sheets>
    <sheet name="Pivot" sheetId="3" state="hidden" r:id="rId1"/>
    <sheet name="Dasboard" sheetId="5" r:id="rId2"/>
    <sheet name="Map" sheetId="6" r:id="rId3"/>
    <sheet name="Data" sheetId="2" state="hidden" r:id="rId4"/>
    <sheet name="Sales Dataset" sheetId="1" state="hidden" r:id="rId5"/>
  </sheets>
  <definedNames>
    <definedName name="_xlchart.v2.0" hidden="1">Pivot!$C$20:$C$31</definedName>
    <definedName name="_xlchart.v2.1" hidden="1">Pivot!$D$20:$D$31</definedName>
    <definedName name="_xlchart.v5.2" hidden="1">Pivot!$K$3</definedName>
    <definedName name="_xlchart.v5.3" hidden="1">Pivot!$K$4:$K$9</definedName>
    <definedName name="_xlchart.v5.4" hidden="1">Pivot!$L$3</definedName>
    <definedName name="_xlchart.v5.5" hidden="1">Pivot!$L$4:$L$9</definedName>
    <definedName name="ExternalData_1" localSheetId="3" hidden="1">Data!$A$1:$N$1195</definedName>
    <definedName name="Slicer_Category">#N/A</definedName>
    <definedName name="Slicer_Month_Name">#N/A</definedName>
    <definedName name="Slicer_State">#N/A</definedName>
    <definedName name="Slicer_Sub_Categor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3" l="1"/>
  <c r="D22" i="3"/>
  <c r="D23" i="3"/>
  <c r="D24" i="3"/>
  <c r="D25" i="3"/>
  <c r="D26" i="3"/>
  <c r="D27" i="3"/>
  <c r="D28" i="3"/>
  <c r="D29" i="3"/>
  <c r="D30" i="3"/>
  <c r="D31" i="3"/>
  <c r="D20" i="3"/>
  <c r="L5" i="3"/>
  <c r="L6" i="3"/>
  <c r="L7" i="3"/>
  <c r="L8" i="3"/>
  <c r="L9" i="3"/>
  <c r="L4" i="3"/>
  <c r="C16" i="3"/>
  <c r="B3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F0BD7D-19FE-4984-86CB-C93F512F3BE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<sst xmlns="http://schemas.openxmlformats.org/spreadsheetml/2006/main" count="19242" uniqueCount="1494">
  <si>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</si>
  <si>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</si>
  <si>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</si>
  <si>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</si>
  <si>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</si>
  <si>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</si>
  <si>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</si>
  <si>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</si>
  <si>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</si>
  <si>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</si>
  <si>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</si>
  <si>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</si>
  <si>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</si>
  <si>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</si>
  <si>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</si>
  <si>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</si>
  <si>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</si>
  <si>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</si>
  <si>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</si>
  <si>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</si>
  <si>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</si>
  <si>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</si>
  <si>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</si>
  <si>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</si>
  <si>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</si>
  <si>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</si>
  <si>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</si>
  <si>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</si>
  <si>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</si>
  <si>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</si>
  <si>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</si>
  <si>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</si>
  <si>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</si>
  <si>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</si>
  <si>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</si>
  <si>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</si>
  <si>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</si>
  <si>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</si>
  <si>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</si>
  <si>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</si>
  <si>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</si>
  <si>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</si>
  <si>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</si>
  <si>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</si>
  <si>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</si>
  <si>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</si>
  <si>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</si>
  <si>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</si>
  <si>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</si>
  <si>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</si>
  <si>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</si>
  <si>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</si>
  <si>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</si>
  <si>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</si>
  <si>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</si>
  <si>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</si>
  <si>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</si>
  <si>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</si>
  <si>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</si>
  <si>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</si>
  <si>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</si>
  <si>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</si>
  <si>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</si>
  <si>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</si>
  <si>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</si>
  <si>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</si>
  <si>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</si>
  <si>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</si>
  <si>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</si>
  <si>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</si>
  <si>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</si>
  <si>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</si>
  <si>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</si>
  <si>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</si>
  <si>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</si>
  <si>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</si>
  <si>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</si>
  <si>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</si>
  <si>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</si>
  <si>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</si>
  <si>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</si>
  <si>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</si>
  <si>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</si>
  <si>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</si>
  <si>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</si>
  <si>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</si>
  <si>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</si>
  <si>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</si>
  <si>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</si>
  <si>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</si>
  <si>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</si>
  <si>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</si>
  <si>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</si>
  <si>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</si>
  <si>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</si>
  <si>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</si>
  <si>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</si>
  <si>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</si>
  <si>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</si>
  <si>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</si>
  <si>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</si>
  <si>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</si>
  <si>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</si>
  <si>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</si>
  <si>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</si>
  <si>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</si>
  <si>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</si>
  <si>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</si>
  <si>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</si>
  <si>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</si>
  <si>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</si>
  <si>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</si>
  <si>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</si>
  <si>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</si>
  <si>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</si>
  <si>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</si>
  <si>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</si>
  <si>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</si>
  <si>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</si>
  <si>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</si>
  <si>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</si>
  <si>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</si>
  <si>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</si>
  <si>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</si>
  <si>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</si>
  <si>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</si>
  <si>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</si>
  <si>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</si>
  <si>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</si>
  <si>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</si>
  <si>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</si>
  <si>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</si>
  <si>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</si>
  <si>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</si>
  <si>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</si>
  <si>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</si>
  <si>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</si>
  <si>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</si>
  <si>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</si>
  <si>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</si>
  <si>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</si>
  <si>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</si>
  <si>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</si>
  <si>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</si>
  <si>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</si>
  <si>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</si>
  <si>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</si>
  <si>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</si>
  <si>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</si>
  <si>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</si>
  <si>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</si>
  <si>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</si>
  <si>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</si>
  <si>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</si>
  <si>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</si>
  <si>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</si>
  <si>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</si>
  <si>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</si>
  <si>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</si>
  <si>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</si>
  <si>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</si>
  <si>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</si>
  <si>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</si>
  <si>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</si>
  <si>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</si>
  <si>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</si>
  <si>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</si>
  <si>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</si>
  <si>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</si>
  <si>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</si>
  <si>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</si>
  <si>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</si>
  <si>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</si>
  <si>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</si>
  <si>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</si>
  <si>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</si>
  <si>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</si>
  <si>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</si>
  <si>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</si>
  <si>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</si>
  <si>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</si>
  <si>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</si>
  <si>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</si>
  <si>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</si>
  <si>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</si>
  <si>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</si>
  <si>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</si>
  <si>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</si>
  <si>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</si>
  <si>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</si>
  <si>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</si>
  <si>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</si>
  <si>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</si>
  <si>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</si>
  <si>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</si>
  <si>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</si>
  <si>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</si>
  <si>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</si>
  <si>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</si>
  <si>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</si>
  <si>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</si>
  <si>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</si>
  <si>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</si>
  <si>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</si>
  <si>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</si>
  <si>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</si>
  <si>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</si>
  <si>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</si>
  <si>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</si>
  <si>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</si>
  <si>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</si>
  <si>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</si>
  <si>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</si>
  <si>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</si>
  <si>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</si>
  <si>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</si>
  <si>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</si>
  <si>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</si>
  <si>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</si>
  <si>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</si>
  <si>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</si>
  <si>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</si>
  <si>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</si>
  <si>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</si>
  <si>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</si>
  <si>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</si>
  <si>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</si>
  <si>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</si>
  <si>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</si>
  <si>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</si>
  <si>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</si>
  <si>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</si>
  <si>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</si>
  <si>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</si>
  <si>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</si>
  <si>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</si>
  <si>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</si>
  <si>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</si>
  <si>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</si>
  <si>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</si>
  <si>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</si>
  <si>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</si>
  <si>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</si>
  <si>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</si>
  <si>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</si>
  <si>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</si>
  <si>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</si>
  <si>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</si>
  <si>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</si>
  <si>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</si>
  <si>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</si>
  <si>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</si>
  <si>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</si>
  <si>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</si>
  <si>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</si>
  <si>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</si>
  <si>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</si>
  <si>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</si>
  <si>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</si>
  <si>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</si>
  <si>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</si>
  <si>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</si>
  <si>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</si>
  <si>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</si>
  <si>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</si>
  <si>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</si>
  <si>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</si>
  <si>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</si>
  <si>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</si>
  <si>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</si>
  <si>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</si>
  <si>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</si>
  <si>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</si>
  <si>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</si>
  <si>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</si>
  <si>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</si>
  <si>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</si>
  <si>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</si>
  <si>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</si>
  <si>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</si>
  <si>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</si>
  <si>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</si>
  <si>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</si>
  <si>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</si>
  <si>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</si>
  <si>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</si>
  <si>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</si>
  <si>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</si>
  <si>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</si>
  <si>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</si>
  <si>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</si>
  <si>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</si>
  <si>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</si>
  <si>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</si>
  <si>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</si>
  <si>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</si>
  <si>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</si>
  <si>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</si>
  <si>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</si>
  <si>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</si>
  <si>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</si>
  <si>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</si>
  <si>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</si>
  <si>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</si>
  <si>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</si>
  <si>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</si>
  <si>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</si>
  <si>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</si>
  <si>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</si>
  <si>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</si>
  <si>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</si>
  <si>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</si>
  <si>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</si>
  <si>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</si>
  <si>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</si>
  <si>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</si>
  <si>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</si>
  <si>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</si>
  <si>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</si>
  <si>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</si>
  <si>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</si>
  <si>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</si>
  <si>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</si>
  <si>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</si>
  <si>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</si>
  <si>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</si>
  <si>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</si>
  <si>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</si>
  <si>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</si>
  <si>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</si>
  <si>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</si>
  <si>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</si>
  <si>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</si>
  <si>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</si>
  <si>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</si>
  <si>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</si>
  <si>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</si>
  <si>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</si>
  <si>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</si>
  <si>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</si>
  <si>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</si>
  <si>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</si>
  <si>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</si>
  <si>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</si>
  <si>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</si>
  <si>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</si>
  <si>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</si>
  <si>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</si>
  <si>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</si>
  <si>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</si>
  <si>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</si>
  <si>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</si>
  <si>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</si>
  <si>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</si>
  <si>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</si>
  <si>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</si>
  <si>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</si>
  <si>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</si>
  <si>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</si>
  <si>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</si>
  <si>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</si>
  <si>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</si>
  <si>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</si>
  <si>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</si>
  <si>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</si>
  <si>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</si>
  <si>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</si>
  <si>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</si>
  <si>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</si>
  <si>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</si>
  <si>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</si>
  <si>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</si>
  <si>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</si>
  <si>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</si>
  <si>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</si>
  <si>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</si>
  <si>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</si>
  <si>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</si>
  <si>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</si>
  <si>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</si>
  <si>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</si>
  <si>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</si>
  <si>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</si>
  <si>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</si>
  <si>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</si>
  <si>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</si>
  <si>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</si>
  <si>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</si>
  <si>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</si>
  <si>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</si>
  <si>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</si>
  <si>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</si>
  <si>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</si>
  <si>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</si>
  <si>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</si>
  <si>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</si>
  <si>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</si>
  <si>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</si>
  <si>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</si>
  <si>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</si>
  <si>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</si>
  <si>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</si>
  <si>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</si>
  <si>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</si>
  <si>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</si>
  <si>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</si>
  <si>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</si>
  <si>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</si>
  <si>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</si>
  <si>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</si>
  <si>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</si>
  <si>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</si>
  <si>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</si>
  <si>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</si>
  <si>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</si>
  <si>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</si>
  <si>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</si>
  <si>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</si>
  <si>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</si>
  <si>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</si>
  <si>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</si>
  <si>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</si>
  <si>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</si>
  <si>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</si>
  <si>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</si>
  <si>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</si>
  <si>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</si>
  <si>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</si>
  <si>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</si>
  <si>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</si>
  <si>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</si>
  <si>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</si>
  <si>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</si>
  <si>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</si>
  <si>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</si>
  <si>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</si>
  <si>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</si>
  <si>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</si>
  <si>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</si>
  <si>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</si>
  <si>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</si>
  <si>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</si>
  <si>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</si>
  <si>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</si>
  <si>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</si>
  <si>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</si>
  <si>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</si>
  <si>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</si>
  <si>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</si>
  <si>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</si>
  <si>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</si>
  <si>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</si>
  <si>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</si>
  <si>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</si>
  <si>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</si>
  <si>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</si>
  <si>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</si>
  <si>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</si>
  <si>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</si>
  <si>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</si>
  <si>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</si>
  <si>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</si>
  <si>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</si>
  <si>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</si>
  <si>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</si>
  <si>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</si>
  <si>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</si>
  <si>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</si>
  <si>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</si>
  <si>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</si>
  <si>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</si>
  <si>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</si>
  <si>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</si>
  <si>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</si>
  <si>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</si>
  <si>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</si>
  <si>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</si>
  <si>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</si>
  <si>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</si>
  <si>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</si>
  <si>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</si>
  <si>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</si>
  <si>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</si>
  <si>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</si>
  <si>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</si>
  <si>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</si>
  <si>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</si>
  <si>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</si>
  <si>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</si>
  <si>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</si>
  <si>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</si>
  <si>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</si>
  <si>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</si>
  <si>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</si>
  <si>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</si>
  <si>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</si>
  <si>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</si>
  <si>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</si>
  <si>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</si>
  <si>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</si>
  <si>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</si>
  <si>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</si>
  <si>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</si>
  <si>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</si>
  <si>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</si>
  <si>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</si>
  <si>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</si>
  <si>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</si>
  <si>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</si>
  <si>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</si>
  <si>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</si>
  <si>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</si>
  <si>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</si>
  <si>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</si>
  <si>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</si>
  <si>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</si>
  <si>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</si>
  <si>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</si>
  <si>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</si>
  <si>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</si>
  <si>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</si>
  <si>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</si>
  <si>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</si>
  <si>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</si>
  <si>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</si>
  <si>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</si>
  <si>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</si>
  <si>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</si>
  <si>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</si>
  <si>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</si>
  <si>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</si>
  <si>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</si>
  <si>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</si>
  <si>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</si>
  <si>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</si>
  <si>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</si>
  <si>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</si>
  <si>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</si>
  <si>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</si>
  <si>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</si>
  <si>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</si>
  <si>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</si>
  <si>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</si>
  <si>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</si>
  <si>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</si>
  <si>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</si>
  <si>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</si>
  <si>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</si>
  <si>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</si>
  <si>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</si>
  <si>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</si>
  <si>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</si>
  <si>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</si>
  <si>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</si>
  <si>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</si>
  <si>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</si>
  <si>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</si>
  <si>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</si>
  <si>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</si>
  <si>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</si>
  <si>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</si>
  <si>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</si>
  <si>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</si>
  <si>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</si>
  <si>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</si>
  <si>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</si>
  <si>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</si>
  <si>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</si>
  <si>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</si>
  <si>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</si>
  <si>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</si>
  <si>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</si>
  <si>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</si>
  <si>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</si>
  <si>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</si>
  <si>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</si>
  <si>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</si>
  <si>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</si>
  <si>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</si>
  <si>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</si>
  <si>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</si>
  <si>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</si>
  <si>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</si>
  <si>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</si>
  <si>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</si>
  <si>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</si>
  <si>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</si>
  <si>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</si>
  <si>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</si>
  <si>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</si>
  <si>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</si>
  <si>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</si>
  <si>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</si>
  <si>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</si>
  <si>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</si>
  <si>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</si>
  <si>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</si>
  <si>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</si>
  <si>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</si>
  <si>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</si>
  <si>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</si>
  <si>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</si>
  <si>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</si>
  <si>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</si>
  <si>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</si>
  <si>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</si>
  <si>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</si>
  <si>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</si>
  <si>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</si>
  <si>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</si>
  <si>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</si>
  <si>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</si>
  <si>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</si>
  <si>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</si>
  <si>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</si>
  <si>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</si>
  <si>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</si>
  <si>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</si>
  <si>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</si>
  <si>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</si>
  <si>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</si>
  <si>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</si>
  <si>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</si>
  <si>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</si>
  <si>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</si>
  <si>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</si>
  <si>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</si>
  <si>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</si>
  <si>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</si>
  <si>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</si>
  <si>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</si>
  <si>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</si>
  <si>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</si>
  <si>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</si>
  <si>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</si>
  <si>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</si>
  <si>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</si>
  <si>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</si>
  <si>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</si>
  <si>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</si>
  <si>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</si>
  <si>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</si>
  <si>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</si>
  <si>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</si>
  <si>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</si>
  <si>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</si>
  <si>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</si>
  <si>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</si>
  <si>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</si>
  <si>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</si>
  <si>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</si>
  <si>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</si>
  <si>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</si>
  <si>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</si>
  <si>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</si>
  <si>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</si>
  <si>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</si>
  <si>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</si>
  <si>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</si>
  <si>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</si>
  <si>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</si>
  <si>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</si>
  <si>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</si>
  <si>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</si>
  <si>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</si>
  <si>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</si>
  <si>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</si>
  <si>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</si>
  <si>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</si>
  <si>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</si>
  <si>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</si>
  <si>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</si>
  <si>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</si>
  <si>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</si>
  <si>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</si>
  <si>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</si>
  <si>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</si>
  <si>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</si>
  <si>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</si>
  <si>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</si>
  <si>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</si>
  <si>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</si>
  <si>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</si>
  <si>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</si>
  <si>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</si>
  <si>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</si>
  <si>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</si>
  <si>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</si>
  <si>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</si>
  <si>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</si>
  <si>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</si>
  <si>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</si>
  <si>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</si>
  <si>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</si>
  <si>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</si>
  <si>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</si>
  <si>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</si>
  <si>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</si>
  <si>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</si>
  <si>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</si>
  <si>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</si>
  <si>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</si>
  <si>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</si>
  <si>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</si>
  <si>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</si>
  <si>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</si>
  <si>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</si>
  <si>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</si>
  <si>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</si>
  <si>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</si>
  <si>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</si>
  <si>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</si>
  <si>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</si>
  <si>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</si>
  <si>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</si>
  <si>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</si>
  <si>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</si>
  <si>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</si>
  <si>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</si>
  <si>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</si>
  <si>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</si>
  <si>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</si>
  <si>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</si>
  <si>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</si>
  <si>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</si>
  <si>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</si>
  <si>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</si>
  <si>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</si>
  <si>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</si>
  <si>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</si>
  <si>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</si>
  <si>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</si>
  <si>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</si>
  <si>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</si>
  <si>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</si>
  <si>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</si>
  <si>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</si>
  <si>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</si>
  <si>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</si>
  <si>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</si>
  <si>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</si>
  <si>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</si>
  <si>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</si>
  <si>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</si>
  <si>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</si>
  <si>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</si>
  <si>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</si>
  <si>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</si>
  <si>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</si>
  <si>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</si>
  <si>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</si>
  <si>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</si>
  <si>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</si>
  <si>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</si>
  <si>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</si>
  <si>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</si>
  <si>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</si>
  <si>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</si>
  <si>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</si>
  <si>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</si>
  <si>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</si>
  <si>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</si>
  <si>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</si>
  <si>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</si>
  <si>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</si>
  <si>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</si>
  <si>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</si>
  <si>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</si>
  <si>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</si>
  <si>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</si>
  <si>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</si>
  <si>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</si>
  <si>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</si>
  <si>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</si>
  <si>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</si>
  <si>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</si>
  <si>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</si>
  <si>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</si>
  <si>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</si>
  <si>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</si>
  <si>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</si>
  <si>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</si>
  <si>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</si>
  <si>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</si>
  <si>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</si>
  <si>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</si>
  <si>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</si>
  <si>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</si>
  <si>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</si>
  <si>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</si>
  <si>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</si>
  <si>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</si>
  <si>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</si>
  <si>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</si>
  <si>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</si>
  <si>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</si>
  <si>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</si>
  <si>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</si>
  <si>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</si>
  <si>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</si>
  <si>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</si>
  <si>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</si>
  <si>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</si>
  <si>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</si>
  <si>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</si>
  <si>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</si>
  <si>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</si>
  <si>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</si>
  <si>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</si>
  <si>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</si>
  <si>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</si>
  <si>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</si>
  <si>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</si>
  <si>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</si>
  <si>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</si>
  <si>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</si>
  <si>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</si>
  <si>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</si>
  <si>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</si>
  <si>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</si>
  <si>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</si>
  <si>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</si>
  <si>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</si>
  <si>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</si>
  <si>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</si>
  <si>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</si>
  <si>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</si>
  <si>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</si>
  <si>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</si>
  <si>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</si>
  <si>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</si>
  <si>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</si>
  <si>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</si>
  <si>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</si>
  <si>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</si>
  <si>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</si>
  <si>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</si>
  <si>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</si>
  <si>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</si>
  <si>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</si>
  <si>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</si>
  <si>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</si>
  <si>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</si>
  <si>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</si>
  <si>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</si>
  <si>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</si>
  <si>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</si>
  <si>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</si>
  <si>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</si>
  <si>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</si>
  <si>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</si>
  <si>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</si>
  <si>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</si>
  <si>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</si>
  <si>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</si>
  <si>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</si>
  <si>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</si>
  <si>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</si>
  <si>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</si>
  <si>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</si>
  <si>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</si>
  <si>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</si>
  <si>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</si>
  <si>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</si>
  <si>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</si>
  <si>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</si>
  <si>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</si>
  <si>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</si>
  <si>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</si>
  <si>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</si>
  <si>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</si>
  <si>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</si>
  <si>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</si>
  <si>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</si>
  <si>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</si>
  <si>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</si>
  <si>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</si>
  <si>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</si>
  <si>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</si>
  <si>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</si>
  <si>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</si>
  <si>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</si>
  <si>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</si>
  <si>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</si>
  <si>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</si>
  <si>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</si>
  <si>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</si>
  <si>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</si>
  <si>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</si>
  <si>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</si>
  <si>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</si>
  <si>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</si>
  <si>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</si>
  <si>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</si>
  <si>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</si>
  <si>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</si>
  <si>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</si>
  <si>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</si>
  <si>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</si>
  <si>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</si>
  <si>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</si>
  <si>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</si>
  <si>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</si>
  <si>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</si>
  <si>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</si>
  <si>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</si>
  <si>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</si>
  <si>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</si>
  <si>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</si>
  <si>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</si>
  <si>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</si>
  <si>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</si>
  <si>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</si>
  <si>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</si>
  <si>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</si>
  <si>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</si>
  <si>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</si>
  <si>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</si>
  <si>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</si>
  <si>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</si>
  <si>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</si>
  <si>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</si>
  <si>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</si>
  <si>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</si>
  <si>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</si>
  <si>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</si>
  <si>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</si>
  <si>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</si>
  <si>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</si>
  <si>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</si>
  <si>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</si>
  <si>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</si>
  <si>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</si>
  <si>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</si>
  <si>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</si>
  <si>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</si>
  <si>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</si>
  <si>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</si>
  <si>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</si>
  <si>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</si>
  <si>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</si>
  <si>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</si>
  <si>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</si>
  <si>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</si>
  <si>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</si>
  <si>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</si>
  <si>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</si>
  <si>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</si>
  <si>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</si>
  <si>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</si>
  <si>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</si>
  <si>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</si>
  <si>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</si>
  <si>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</si>
  <si>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</si>
  <si>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</si>
  <si>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</si>
  <si>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</si>
  <si>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</si>
  <si>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</si>
  <si>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</si>
  <si>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</si>
  <si>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</si>
  <si>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</si>
  <si>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</si>
  <si>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</si>
  <si>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</si>
  <si>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</si>
  <si>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</si>
  <si>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</si>
  <si>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</si>
  <si>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</si>
  <si>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</si>
  <si>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</si>
  <si>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</si>
  <si>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</si>
  <si>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</si>
  <si>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</si>
  <si>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</si>
  <si>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</si>
  <si>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</si>
  <si>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</si>
  <si>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</si>
  <si>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</si>
  <si>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</si>
  <si>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</si>
  <si>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</si>
  <si>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</si>
  <si>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</si>
  <si>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</si>
  <si>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</si>
  <si>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</si>
  <si>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</si>
  <si>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</si>
  <si>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</si>
  <si>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</si>
  <si>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</si>
  <si>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</si>
  <si>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</si>
  <si>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</si>
  <si>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</si>
  <si>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</si>
  <si>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</si>
  <si>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</si>
  <si>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</si>
  <si>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</si>
  <si>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</si>
  <si>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</si>
  <si>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</si>
  <si>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</si>
  <si>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</si>
  <si>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</si>
  <si>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</si>
  <si>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</si>
  <si>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</si>
  <si>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</si>
  <si>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</si>
  <si>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</si>
  <si>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</si>
  <si>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</si>
  <si>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</si>
  <si>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</si>
  <si>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</si>
  <si>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</si>
  <si>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</si>
  <si>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</si>
  <si>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</si>
  <si>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</si>
  <si>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</si>
  <si>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</si>
  <si>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</si>
  <si>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</si>
  <si>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</si>
  <si>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</si>
  <si>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</si>
  <si>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</si>
  <si>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</si>
  <si>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</si>
  <si>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</si>
  <si>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</si>
  <si>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</si>
  <si>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</si>
  <si>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</si>
  <si>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</si>
  <si>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</si>
  <si>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</si>
  <si>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</si>
  <si>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</si>
  <si>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</si>
  <si>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</si>
  <si>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</si>
  <si>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</si>
  <si>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</si>
  <si>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</si>
  <si>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</si>
  <si>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</si>
  <si>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</si>
  <si>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</si>
  <si>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</si>
  <si>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</si>
  <si>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</si>
  <si>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</si>
  <si>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</si>
  <si>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</si>
  <si>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</si>
  <si>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</si>
  <si>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</si>
  <si>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</si>
  <si>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</si>
  <si>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</si>
  <si>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</si>
  <si>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</si>
  <si>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</si>
  <si>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</si>
  <si>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</si>
  <si>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</si>
  <si>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</si>
  <si>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</si>
  <si>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</si>
  <si>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</si>
  <si>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</si>
  <si>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</si>
  <si>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</si>
  <si>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</si>
  <si>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</si>
  <si>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</si>
  <si>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</si>
  <si>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</si>
  <si>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</si>
  <si>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</si>
  <si>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</si>
  <si>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</si>
  <si>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</si>
  <si>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</si>
  <si>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</si>
  <si>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</si>
  <si>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</si>
  <si>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</si>
  <si>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</si>
  <si>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</si>
  <si>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</si>
  <si>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</si>
  <si>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</si>
  <si>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</si>
  <si>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</si>
  <si>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</si>
  <si>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</si>
  <si>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</si>
  <si>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</si>
  <si>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</si>
  <si>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</si>
  <si>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</si>
  <si>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</si>
  <si>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</si>
  <si>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</si>
  <si>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</si>
  <si>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</si>
  <si>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</si>
  <si>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</si>
  <si>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</si>
  <si>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</si>
  <si>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</si>
  <si>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</si>
  <si>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</si>
  <si>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</si>
  <si>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</si>
  <si>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</si>
  <si>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</si>
  <si>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</si>
  <si>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</si>
  <si>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</si>
  <si>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</si>
  <si>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</si>
  <si>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</si>
  <si>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</si>
  <si>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</si>
  <si>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</si>
  <si>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</si>
  <si>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</si>
  <si>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</si>
  <si>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</si>
  <si>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</si>
  <si>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</si>
  <si>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</si>
  <si>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</si>
  <si>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</si>
  <si>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</si>
  <si>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</si>
  <si>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</si>
  <si>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</si>
  <si>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</si>
  <si>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</si>
  <si>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</si>
  <si>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</si>
  <si>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</si>
  <si>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</si>
  <si>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</si>
  <si>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</si>
  <si>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</si>
  <si>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</si>
  <si>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</si>
  <si>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</si>
  <si>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</si>
  <si>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</si>
  <si>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</si>
  <si>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</si>
  <si>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</si>
  <si>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</si>
  <si>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</si>
  <si>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</si>
  <si>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</si>
  <si>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</si>
  <si>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</si>
  <si>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</si>
  <si>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</si>
  <si>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</si>
  <si>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</si>
  <si>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</si>
  <si>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</si>
  <si>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</si>
  <si>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</si>
  <si>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</si>
  <si>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</si>
  <si>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</si>
  <si>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</si>
  <si>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</si>
  <si>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</si>
  <si>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</si>
  <si>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</si>
  <si>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</si>
  <si>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</si>
  <si>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</si>
  <si>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</si>
  <si>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</si>
  <si>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</si>
  <si>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</si>
  <si>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</si>
  <si>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</si>
  <si>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</si>
  <si>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</si>
  <si>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</si>
  <si>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</si>
  <si>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</si>
  <si>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</si>
  <si>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</si>
  <si>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</si>
  <si>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</si>
  <si>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</si>
  <si>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</si>
  <si>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</si>
  <si>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</si>
  <si>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</si>
  <si>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</si>
  <si>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</si>
  <si>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</si>
  <si>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</si>
  <si>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</si>
  <si>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</si>
  <si>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</si>
  <si>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</si>
  <si>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</si>
  <si>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</si>
  <si>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</si>
  <si>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</si>
  <si>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</si>
  <si>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</si>
  <si>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</si>
  <si>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</si>
  <si>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</si>
  <si>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</si>
  <si>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</si>
  <si>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</si>
  <si>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</si>
  <si>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</si>
  <si>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</si>
  <si>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</si>
  <si>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</si>
  <si>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</si>
  <si>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</si>
  <si>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</si>
  <si>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</si>
  <si>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</si>
  <si>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</si>
  <si>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</si>
  <si>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</si>
  <si>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</si>
  <si>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</si>
  <si>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</si>
  <si>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</si>
  <si>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</si>
  <si>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</si>
  <si>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</si>
  <si>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</si>
  <si>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</si>
  <si>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</si>
  <si>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</si>
  <si>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</si>
  <si>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</si>
  <si>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</si>
  <si>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</si>
  <si>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</si>
  <si>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</si>
  <si>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</si>
  <si>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</si>
  <si>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</si>
  <si>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</si>
  <si>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</si>
  <si>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</si>
  <si>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</si>
  <si>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</si>
  <si>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</si>
  <si>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</si>
  <si>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</si>
  <si>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</si>
  <si>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</si>
  <si>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</si>
  <si>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</si>
  <si>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</si>
  <si>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</si>
  <si>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</si>
  <si>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</si>
  <si>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</si>
  <si>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</si>
  <si>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</si>
  <si>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</si>
  <si>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</si>
  <si>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</si>
  <si>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</si>
  <si>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</si>
  <si>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</si>
  <si>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</si>
  <si>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</si>
  <si>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</si>
  <si>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</si>
  <si>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</si>
  <si>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</si>
  <si>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</si>
  <si>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</si>
  <si>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</si>
  <si>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</si>
  <si>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</si>
  <si>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</si>
  <si>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</si>
  <si>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</si>
  <si>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</si>
  <si>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</si>
  <si>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</si>
  <si>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</si>
  <si>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</si>
  <si>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</si>
  <si>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</si>
  <si>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</si>
  <si>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</si>
  <si>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</si>
  <si>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</si>
  <si>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</si>
  <si>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</si>
  <si>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</si>
  <si>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</si>
  <si>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</si>
  <si>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</si>
  <si>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</si>
  <si>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</si>
  <si>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</si>
  <si>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</si>
  <si>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</si>
  <si>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</si>
  <si>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</si>
  <si>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</si>
  <si>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</si>
  <si>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</si>
  <si>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</si>
  <si>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</si>
  <si>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</si>
  <si>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</si>
  <si>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</si>
  <si>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</si>
  <si>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</si>
  <si>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</si>
  <si>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</si>
  <si>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</si>
  <si>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</si>
  <si>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</si>
  <si>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</si>
  <si>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</si>
  <si>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</si>
  <si>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</si>
  <si>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</si>
  <si>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</si>
  <si>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</si>
  <si>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</si>
  <si>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</si>
  <si>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</si>
  <si>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</si>
  <si>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</si>
  <si>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</si>
  <si>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</si>
  <si>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</si>
  <si>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</si>
  <si>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</si>
  <si>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</si>
  <si>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</si>
  <si>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</si>
  <si>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</si>
  <si>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</si>
  <si>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</si>
  <si>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</si>
  <si>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</si>
  <si>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</si>
  <si>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</si>
  <si>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</si>
  <si>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</si>
  <si>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</si>
  <si>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</si>
  <si>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</si>
  <si>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</si>
  <si>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</si>
  <si>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</si>
  <si>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</si>
  <si>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</si>
  <si>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</si>
  <si>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</si>
  <si>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</si>
  <si>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</si>
  <si>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</si>
  <si>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</si>
  <si>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</si>
  <si>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</si>
  <si>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</si>
  <si>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</si>
  <si>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</si>
  <si>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</si>
  <si>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</si>
  <si>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</si>
  <si>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</si>
  <si>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</si>
  <si>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</si>
  <si>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</si>
  <si>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</si>
  <si>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</si>
  <si>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</si>
  <si>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</si>
  <si>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</si>
  <si>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</si>
  <si>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</si>
  <si>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</si>
  <si>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</si>
  <si>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</si>
  <si>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</si>
  <si>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</si>
  <si>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</si>
  <si>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</si>
  <si>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</si>
  <si>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</si>
  <si>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</si>
  <si>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</si>
  <si>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</si>
  <si>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</si>
  <si>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</si>
  <si>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</si>
  <si>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</si>
  <si>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</si>
  <si>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</si>
  <si>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</si>
  <si>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</si>
  <si>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</si>
  <si>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</si>
  <si>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</si>
  <si>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</si>
  <si>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</si>
  <si>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</si>
  <si>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</si>
  <si>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</si>
  <si>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</si>
  <si>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</si>
  <si>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</si>
  <si>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</si>
  <si>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</si>
  <si>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</si>
  <si>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</si>
  <si>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</si>
  <si>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</si>
  <si>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</si>
  <si>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</si>
  <si>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</si>
  <si>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</si>
  <si>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</si>
  <si>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</si>
  <si>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</si>
  <si>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</si>
  <si>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</si>
  <si>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</si>
  <si>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</si>
  <si>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</si>
  <si>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</si>
  <si>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</si>
  <si>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</si>
  <si>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</si>
  <si>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</si>
  <si>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</si>
  <si>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</si>
  <si>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</si>
  <si>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</si>
  <si>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</si>
  <si>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</si>
  <si>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</si>
  <si>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Column1</t>
  </si>
  <si>
    <t>Column2</t>
  </si>
  <si>
    <t>Month Name</t>
  </si>
  <si>
    <t>Year</t>
  </si>
  <si>
    <t>June</t>
  </si>
  <si>
    <t>December</t>
  </si>
  <si>
    <t>July</t>
  </si>
  <si>
    <t>May</t>
  </si>
  <si>
    <t>October</t>
  </si>
  <si>
    <t>November</t>
  </si>
  <si>
    <t>March</t>
  </si>
  <si>
    <t>February</t>
  </si>
  <si>
    <t>January</t>
  </si>
  <si>
    <t>August</t>
  </si>
  <si>
    <t>September</t>
  </si>
  <si>
    <t>April</t>
  </si>
  <si>
    <t>Profit Mirging</t>
  </si>
  <si>
    <t>Row Labels</t>
  </si>
  <si>
    <t>Grand Total</t>
  </si>
  <si>
    <t>Sum of Amount</t>
  </si>
  <si>
    <t>Sum of Profit</t>
  </si>
  <si>
    <t>Count of Order ID</t>
  </si>
  <si>
    <t>Pie</t>
  </si>
  <si>
    <t>Column</t>
  </si>
  <si>
    <t>Map</t>
  </si>
  <si>
    <t>Line</t>
  </si>
  <si>
    <t>Bar</t>
  </si>
  <si>
    <t>Funnel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</si>
</sst>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applyAlignment="1">
      <alignment horizontal="left"/>
    </xf>
    <xf numFmtId="164" fontId="0" fillId="0" borderId="0" xfId="0" applyNumberFormat="1"/>
    <xf numFmtId="164" fontId="0" fillId="0" borderId="0" xfId="42" applyNumberFormat="1" applyFont="1" applyFill="1"/>
    <xf numFmtId="9" fontId="0" fillId="0" borderId="0" xfId="43" applyFont="1"/>
    <xf numFmtId="0" fontId="0" fillId="0" borderId="0" xfId="0" applyFill="1"/>
    <xf numFmtId="0" fontId="0" fillId="0" borderId="0" xfId="0" applyFill="1" applyAlignment="1">
      <alignment horizontal="left"/>
    </xf>
    <xf numFmtId="164" fontId="0" fillId="0" borderId="0" xfId="0" applyNumberFormat="1" applyFill="1"/>
    <xf numFmtId="10" fontId="0" fillId="0" borderId="0" xfId="0" applyNumberFormat="1" applyFill="1"/>
    <xf numFmtId="0" fontId="0" fillId="0" borderId="0" xfId="0" applyNumberForma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74">
    <dxf>
      <font>
        <b/>
        <i val="0"/>
        <color theme="0"/>
      </font>
      <fill>
        <patternFill>
          <bgColor theme="3"/>
        </patternFill>
      </fill>
      <border>
        <left style="thin">
          <color auto="1"/>
        </left>
        <right style="thin">
          <color auto="1"/>
        </right>
        <top style="thin">
          <color auto="1"/>
        </top>
        <bottom style="thin">
          <color auto="1"/>
        </bottom>
      </border>
    </dxf>
    <dxf>
      <font>
        <b/>
        <i val="0"/>
        <color theme="0"/>
      </font>
      <fill>
        <patternFill>
          <bgColor theme="3"/>
        </patternFill>
      </fill>
      <border diagonalUp="0" diagonalDown="0">
        <left/>
        <right/>
        <top/>
        <bottom/>
        <vertical/>
        <horizontal/>
      </border>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_(* \(#,##0\);_(* &quot;-&quot;??_);_(@_)"/>
    </dxf>
    <dxf>
      <numFmt numFmtId="16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6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_(* \(#,##0\);_(* &quot;-&quot;??_);_(@_)"/>
    </dxf>
    <dxf>
      <numFmt numFmtId="16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_(* \(#,##0\);_(* &quot;-&quot;??_);_(@_)"/>
    </dxf>
    <dxf>
      <numFmt numFmtId="16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_(* \(#,##0\);_(* &quot;-&quot;??_);_(@_)"/>
    </dxf>
    <dxf>
      <numFmt numFmtId="16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_(* \(#,##0\);_(* &quot;-&quot;??_);_(@_)"/>
    </dxf>
    <dxf>
      <numFmt numFmtId="16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_(* \(#,##0\);_(* &quot;-&quot;??_);_(@_)"/>
    </dxf>
  </dxfs>
  <tableStyles count="1" defaultTableStyle="TableStyleMedium2" defaultPivotStyle="PivotStyleLight16">
    <tableStyle name="Slicer Style 1" pivot="0" table="0" count="9" xr9:uid="{04835F7A-8242-4D2B-89F8-BC37E4D454AD}">
      <tableStyleElement type="wholeTable" dxfId="1"/>
      <tableStyleElement type="headerRow" dxfId="0"/>
    </tableStyle>
  </tableStyles>
  <extLst>
    <ext xmlns:x14="http://schemas.microsoft.com/office/spreadsheetml/2009/9/main" uri="{46F421CA-312F-682f-3DD2-61675219B42D}">
      <x14:dxfs count="7">
        <dxf>
          <font>
            <b/>
            <i val="0"/>
            <color theme="2"/>
          </font>
          <fill>
            <patternFill>
              <bgColor theme="3"/>
            </patternFill>
          </fill>
          <border>
            <left style="thin">
              <color auto="1"/>
            </left>
            <right style="thin">
              <color auto="1"/>
            </right>
            <top style="thin">
              <color auto="1"/>
            </top>
            <bottom style="thin">
              <color auto="1"/>
            </bottom>
          </border>
        </dxf>
        <dxf>
          <font>
            <b/>
            <i val="0"/>
            <color theme="2"/>
          </font>
          <fill>
            <patternFill>
              <bgColor theme="3"/>
            </patternFill>
          </fill>
          <border>
            <left style="thin">
              <color auto="1"/>
            </left>
            <right style="thin">
              <color auto="1"/>
            </right>
            <top style="thin">
              <color auto="1"/>
            </top>
            <bottom style="thin">
              <color auto="1"/>
            </bottom>
          </border>
        </dxf>
        <dxf>
          <font>
            <b/>
            <i val="0"/>
            <color theme="2"/>
          </font>
          <fill>
            <patternFill>
              <bgColor theme="3"/>
            </patternFill>
          </fill>
          <border>
            <left style="thin">
              <color auto="1"/>
            </left>
            <right style="thin">
              <color auto="1"/>
            </right>
            <top style="thin">
              <color auto="1"/>
            </top>
            <bottom style="thin">
              <color auto="1"/>
            </bottom>
          </border>
        </dxf>
        <dxf>
          <font>
            <b/>
            <i val="0"/>
            <color theme="0"/>
          </font>
          <fill>
            <patternFill>
              <bgColor theme="3" tint="0.499984740745262"/>
            </patternFill>
          </fill>
          <border>
            <left style="thin">
              <color auto="1"/>
            </left>
            <right style="thin">
              <color auto="1"/>
            </right>
            <top style="thin">
              <color auto="1"/>
            </top>
            <bottom style="thin">
              <color auto="1"/>
            </bottom>
          </border>
        </dxf>
        <dxf>
          <font>
            <b/>
            <i val="0"/>
            <color theme="2"/>
          </font>
          <fill>
            <patternFill>
              <bgColor theme="3" tint="0.24994659260841701"/>
            </patternFill>
          </fill>
          <border>
            <left style="thin">
              <color auto="1"/>
            </left>
            <right style="thin">
              <color auto="1"/>
            </right>
            <top style="thin">
              <color auto="1"/>
            </top>
            <bottom style="thin">
              <color auto="1"/>
            </bottom>
          </border>
        </dxf>
        <dxf>
          <font>
            <b/>
            <i val="0"/>
            <color theme="2"/>
          </font>
          <fill>
            <patternFill>
              <bgColor theme="0" tint="-0.24994659260841701"/>
            </patternFill>
          </fill>
          <border>
            <left style="thin">
              <color auto="1"/>
            </left>
            <right style="thin">
              <color auto="1"/>
            </right>
            <top style="thin">
              <color auto="1"/>
            </top>
            <bottom style="thin">
              <color auto="1"/>
            </bottom>
          </border>
        </dxf>
        <dxf>
          <font>
            <b/>
            <i val="0"/>
            <color theme="2"/>
          </font>
          <fill>
            <patternFill>
              <bgColor theme="0" tint="-0.2499465926084170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Dataset.xlsx]Pivot!PivotTable1</c:name>
    <c:fmtId val="6"/>
  </c:pivotSource>
  <c:chart>
    <c:title>
      <c:tx>
        <c:rich>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r>
              <a:rPr lang="en-US" sz="1800" b="1">
                <a:solidFill>
                  <a:schemeClr val="tx2"/>
                </a:solidFill>
              </a:rPr>
              <a:t>Total Sales By Sub-Category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Pivot!$B$4:$B$16</c:f>
              <c:numCache>
                <c:formatCode>_(* #,##0_);_(* \(#,##0\);_(* "-"??_);_(@_)</c:formatCode>
                <c:ptCount val="12"/>
                <c:pt idx="0">
                  <c:v>384611</c:v>
                </c:pt>
                <c:pt idx="1">
                  <c:v>413165</c:v>
                </c:pt>
                <c:pt idx="2">
                  <c:v>431964</c:v>
                </c:pt>
                <c:pt idx="3">
                  <c:v>565092</c:v>
                </c:pt>
                <c:pt idx="4">
                  <c:v>419950</c:v>
                </c:pt>
                <c:pt idx="5">
                  <c:v>627875</c:v>
                </c:pt>
                <c:pt idx="6">
                  <c:v>524755</c:v>
                </c:pt>
                <c:pt idx="7">
                  <c:v>552269</c:v>
                </c:pt>
                <c:pt idx="8">
                  <c:v>503055</c:v>
                </c:pt>
                <c:pt idx="9">
                  <c:v>566359</c:v>
                </c:pt>
                <c:pt idx="10">
                  <c:v>568367</c:v>
                </c:pt>
                <c:pt idx="11">
                  <c:v>625177</c:v>
                </c:pt>
              </c:numCache>
            </c:numRef>
          </c:val>
          <c:extLst>
            <c:ext xmlns:c16="http://schemas.microsoft.com/office/drawing/2014/chart" uri="{C3380CC4-5D6E-409C-BE32-E72D297353CC}">
              <c16:uniqueId val="{00000000-5E5F-4502-9601-3BFE332F9553}"/>
            </c:ext>
          </c:extLst>
        </c:ser>
        <c:dLbls>
          <c:dLblPos val="outEnd"/>
          <c:showLegendKey val="0"/>
          <c:showVal val="1"/>
          <c:showCatName val="0"/>
          <c:showSerName val="0"/>
          <c:showPercent val="0"/>
          <c:showBubbleSize val="0"/>
        </c:dLbls>
        <c:gapWidth val="219"/>
        <c:overlap val="-27"/>
        <c:axId val="1624519616"/>
        <c:axId val="1624520576"/>
      </c:barChart>
      <c:catAx>
        <c:axId val="162451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24520576"/>
        <c:crosses val="autoZero"/>
        <c:auto val="1"/>
        <c:lblAlgn val="ctr"/>
        <c:lblOffset val="100"/>
        <c:noMultiLvlLbl val="0"/>
      </c:catAx>
      <c:valAx>
        <c:axId val="1624520576"/>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62451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Dataset.xlsx]Pivot!PivotTable9</c:name>
    <c:fmtId val="6"/>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Top 10 Cutomers By Amount</a:t>
            </a:r>
            <a:r>
              <a:rPr lang="en-US" sz="1800" b="1" baseline="0">
                <a:solidFill>
                  <a:schemeClr val="tx2"/>
                </a:solidFill>
              </a:rPr>
              <a:t> Sales</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Pivot!$G$21:$G$31</c:f>
              <c:strCache>
                <c:ptCount val="10"/>
                <c:pt idx="0">
                  <c:v>Brian Green</c:v>
                </c:pt>
                <c:pt idx="1">
                  <c:v>Zachary Perez</c:v>
                </c:pt>
                <c:pt idx="2">
                  <c:v>Tammy Bell</c:v>
                </c:pt>
                <c:pt idx="3">
                  <c:v>Randy Johnson</c:v>
                </c:pt>
                <c:pt idx="4">
                  <c:v>Jacqueline Harris</c:v>
                </c:pt>
                <c:pt idx="5">
                  <c:v>Katherine Williams</c:v>
                </c:pt>
                <c:pt idx="6">
                  <c:v>Emily Ellison</c:v>
                </c:pt>
                <c:pt idx="7">
                  <c:v>George Foster</c:v>
                </c:pt>
                <c:pt idx="8">
                  <c:v>Nicholas Anderson</c:v>
                </c:pt>
                <c:pt idx="9">
                  <c:v>Cory Evans</c:v>
                </c:pt>
              </c:strCache>
            </c:strRef>
          </c:cat>
          <c:val>
            <c:numRef>
              <c:f>Pivot!$H$21:$H$31</c:f>
              <c:numCache>
                <c:formatCode>General</c:formatCode>
                <c:ptCount val="10"/>
                <c:pt idx="0">
                  <c:v>23737</c:v>
                </c:pt>
                <c:pt idx="1">
                  <c:v>23737</c:v>
                </c:pt>
                <c:pt idx="2">
                  <c:v>23895</c:v>
                </c:pt>
                <c:pt idx="3">
                  <c:v>24295</c:v>
                </c:pt>
                <c:pt idx="4">
                  <c:v>24433</c:v>
                </c:pt>
                <c:pt idx="5">
                  <c:v>25121</c:v>
                </c:pt>
                <c:pt idx="6">
                  <c:v>27352</c:v>
                </c:pt>
                <c:pt idx="7">
                  <c:v>27352</c:v>
                </c:pt>
                <c:pt idx="8">
                  <c:v>27352</c:v>
                </c:pt>
                <c:pt idx="9">
                  <c:v>28557</c:v>
                </c:pt>
              </c:numCache>
            </c:numRef>
          </c:val>
          <c:extLst>
            <c:ext xmlns:c16="http://schemas.microsoft.com/office/drawing/2014/chart" uri="{C3380CC4-5D6E-409C-BE32-E72D297353CC}">
              <c16:uniqueId val="{00000000-1F82-4B7D-A60C-4327BB445C52}"/>
            </c:ext>
          </c:extLst>
        </c:ser>
        <c:dLbls>
          <c:dLblPos val="outEnd"/>
          <c:showLegendKey val="0"/>
          <c:showVal val="1"/>
          <c:showCatName val="0"/>
          <c:showSerName val="0"/>
          <c:showPercent val="0"/>
          <c:showBubbleSize val="0"/>
        </c:dLbls>
        <c:gapWidth val="182"/>
        <c:axId val="1445520672"/>
        <c:axId val="1652006383"/>
      </c:barChart>
      <c:catAx>
        <c:axId val="144552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652006383"/>
        <c:crosses val="autoZero"/>
        <c:auto val="1"/>
        <c:lblAlgn val="ctr"/>
        <c:lblOffset val="100"/>
        <c:noMultiLvlLbl val="0"/>
      </c:catAx>
      <c:valAx>
        <c:axId val="1652006383"/>
        <c:scaling>
          <c:orientation val="minMax"/>
        </c:scaling>
        <c:delete val="1"/>
        <c:axPos val="b"/>
        <c:numFmt formatCode="General" sourceLinked="1"/>
        <c:majorTickMark val="none"/>
        <c:minorTickMark val="none"/>
        <c:tickLblPos val="nextTo"/>
        <c:crossAx val="144552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Dataset.xlsx]Pivot!PivotTable2</c:name>
    <c:fmtId val="15"/>
  </c:pivotSource>
  <c:chart>
    <c:title>
      <c:tx>
        <c:rich>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r>
              <a:rPr lang="en-US" sz="1400">
                <a:solidFill>
                  <a:schemeClr val="tx2"/>
                </a:solidFill>
              </a:rPr>
              <a:t>Number</a:t>
            </a:r>
            <a:r>
              <a:rPr lang="en-US" sz="1400" baseline="0">
                <a:solidFill>
                  <a:schemeClr val="tx2"/>
                </a:solidFill>
              </a:rPr>
              <a:t> of orders by category</a:t>
            </a:r>
            <a:endParaRPr lang="en-US" sz="1400">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Pivot!$F$3</c:f>
              <c:strCache>
                <c:ptCount val="1"/>
                <c:pt idx="0">
                  <c:v>Total</c:v>
                </c:pt>
              </c:strCache>
            </c:strRef>
          </c:tx>
          <c:dPt>
            <c:idx val="0"/>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364-47BE-A237-F9E1482CED31}"/>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64-47BE-A237-F9E1482CED31}"/>
              </c:ext>
            </c:extLst>
          </c:dPt>
          <c:dPt>
            <c:idx val="2"/>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364-47BE-A237-F9E1482CED3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Pivot!$E$4:$E$7</c:f>
              <c:strCache>
                <c:ptCount val="3"/>
                <c:pt idx="0">
                  <c:v>Electronics</c:v>
                </c:pt>
                <c:pt idx="1">
                  <c:v>Furniture</c:v>
                </c:pt>
                <c:pt idx="2">
                  <c:v>Office Supplies</c:v>
                </c:pt>
              </c:strCache>
            </c:strRef>
          </c:cat>
          <c:val>
            <c:numRef>
              <c:f>Pivot!$F$4:$F$7</c:f>
              <c:numCache>
                <c:formatCode>General</c:formatCode>
                <c:ptCount val="3"/>
                <c:pt idx="0">
                  <c:v>388</c:v>
                </c:pt>
                <c:pt idx="1">
                  <c:v>407</c:v>
                </c:pt>
                <c:pt idx="2">
                  <c:v>399</c:v>
                </c:pt>
              </c:numCache>
            </c:numRef>
          </c:val>
          <c:extLst>
            <c:ext xmlns:c16="http://schemas.microsoft.com/office/drawing/2014/chart" uri="{C3380CC4-5D6E-409C-BE32-E72D297353CC}">
              <c16:uniqueId val="{00000006-4364-47BE-A237-F9E1482CED3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Dataset.xlsx]Pivot!PivotTable10</c:name>
    <c:fmtId val="7"/>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400" b="1" i="0" u="none" strike="noStrike" baseline="0">
                <a:solidFill>
                  <a:schemeClr val="tx2"/>
                </a:solidFill>
              </a:rPr>
              <a:t>Payment Modes by Percentage</a:t>
            </a:r>
            <a:endParaRPr lang="en-US" sz="14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54000"/>
            </a:schemeClr>
          </a:solidFill>
          <a:ln w="25400">
            <a:solidFill>
              <a:schemeClr val="lt1"/>
            </a:solidFill>
          </a:ln>
          <a:effectLst/>
          <a:sp3d contourW="25400">
            <a:contourClr>
              <a:schemeClr val="lt1"/>
            </a:contourClr>
          </a:sp3d>
        </c:spPr>
      </c:pivotFmt>
      <c:pivotFmt>
        <c:idx val="3"/>
        <c:spPr>
          <a:solidFill>
            <a:schemeClr val="accent1">
              <a:tint val="77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hade val="76000"/>
            </a:schemeClr>
          </a:solidFill>
          <a:ln w="25400">
            <a:solidFill>
              <a:schemeClr val="lt1"/>
            </a:solidFill>
          </a:ln>
          <a:effectLst/>
          <a:sp3d contourW="25400">
            <a:contourClr>
              <a:schemeClr val="lt1"/>
            </a:contourClr>
          </a:sp3d>
        </c:spPr>
      </c:pivotFmt>
      <c:pivotFmt>
        <c:idx val="6"/>
        <c:spPr>
          <a:solidFill>
            <a:schemeClr val="accent1">
              <a:shade val="53000"/>
            </a:schemeClr>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54000"/>
            </a:schemeClr>
          </a:solidFill>
          <a:ln w="25400">
            <a:solidFill>
              <a:schemeClr val="lt1"/>
            </a:solidFill>
          </a:ln>
          <a:effectLst/>
          <a:sp3d contourW="25400">
            <a:contourClr>
              <a:schemeClr val="lt1"/>
            </a:contourClr>
          </a:sp3d>
        </c:spPr>
      </c:pivotFmt>
      <c:pivotFmt>
        <c:idx val="9"/>
        <c:spPr>
          <a:solidFill>
            <a:schemeClr val="accent1">
              <a:tint val="77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hade val="76000"/>
            </a:schemeClr>
          </a:solidFill>
          <a:ln w="25400">
            <a:solidFill>
              <a:schemeClr val="lt1"/>
            </a:solidFill>
          </a:ln>
          <a:effectLst/>
          <a:sp3d contourW="25400">
            <a:contourClr>
              <a:schemeClr val="lt1"/>
            </a:contourClr>
          </a:sp3d>
        </c:spPr>
      </c:pivotFmt>
      <c:pivotFmt>
        <c:idx val="12"/>
        <c:spPr>
          <a:solidFill>
            <a:schemeClr val="accent1">
              <a:shade val="53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Pivot!$L$20</c:f>
              <c:strCache>
                <c:ptCount val="1"/>
                <c:pt idx="0">
                  <c:v>Total</c:v>
                </c:pt>
              </c:strCache>
            </c:strRef>
          </c:tx>
          <c:dPt>
            <c:idx val="0"/>
            <c:bubble3D val="0"/>
            <c:spPr>
              <a:solidFill>
                <a:schemeClr val="accent1">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01-4E55-A5FF-B4F578C6DC1C}"/>
              </c:ext>
            </c:extLst>
          </c:dPt>
          <c:dPt>
            <c:idx val="1"/>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01-4E55-A5FF-B4F578C6DC1C}"/>
              </c:ext>
            </c:extLst>
          </c:dPt>
          <c:dPt>
            <c:idx val="2"/>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01-4E55-A5FF-B4F578C6DC1C}"/>
              </c:ext>
            </c:extLst>
          </c:dPt>
          <c:dPt>
            <c:idx val="3"/>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E601-4E55-A5FF-B4F578C6DC1C}"/>
              </c:ext>
            </c:extLst>
          </c:dPt>
          <c:dPt>
            <c:idx val="4"/>
            <c:bubble3D val="0"/>
            <c:spPr>
              <a:solidFill>
                <a:schemeClr val="accent1">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E601-4E55-A5FF-B4F578C6DC1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Pivot!$K$21:$K$26</c:f>
              <c:strCache>
                <c:ptCount val="5"/>
                <c:pt idx="0">
                  <c:v>COD</c:v>
                </c:pt>
                <c:pt idx="1">
                  <c:v>Credit Card</c:v>
                </c:pt>
                <c:pt idx="2">
                  <c:v>Debit Card</c:v>
                </c:pt>
                <c:pt idx="3">
                  <c:v>EMI</c:v>
                </c:pt>
                <c:pt idx="4">
                  <c:v>UPI</c:v>
                </c:pt>
              </c:strCache>
            </c:strRef>
          </c:cat>
          <c:val>
            <c:numRef>
              <c:f>Pivot!$L$21:$L$26</c:f>
              <c:numCache>
                <c:formatCode>0.00%</c:formatCode>
                <c:ptCount val="5"/>
                <c:pt idx="0">
                  <c:v>0.17252931323283083</c:v>
                </c:pt>
                <c:pt idx="1">
                  <c:v>0.21608040201005024</c:v>
                </c:pt>
                <c:pt idx="2">
                  <c:v>0.21775544388609716</c:v>
                </c:pt>
                <c:pt idx="3">
                  <c:v>0.18257956448911222</c:v>
                </c:pt>
                <c:pt idx="4">
                  <c:v>0.21105527638190955</c:v>
                </c:pt>
              </c:numCache>
            </c:numRef>
          </c:val>
          <c:extLst>
            <c:ext xmlns:c16="http://schemas.microsoft.com/office/drawing/2014/chart" uri="{C3380CC4-5D6E-409C-BE32-E72D297353CC}">
              <c16:uniqueId val="{0000000A-E601-4E55-A5FF-B4F578C6DC1C}"/>
            </c:ext>
          </c:extLst>
        </c:ser>
        <c:dLbls>
          <c:dLblPos val="ctr"/>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Dataset.xlsx]Pivot!PivotTable4</c:name>
    <c:fmtId val="15"/>
  </c:pivotSource>
  <c:chart>
    <c:title>
      <c:tx>
        <c:rich>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r>
              <a:rPr lang="en-US" sz="1800" b="1" i="0" u="none" strike="noStrike" baseline="0">
                <a:solidFill>
                  <a:schemeClr val="tx2"/>
                </a:solidFill>
              </a:rPr>
              <a:t>Total Sales And Profit Per Year</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5812448888201893E-3"/>
              <c:y val="-3.595186735190921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43715846994537E-2"/>
          <c:y val="0.14389743589743589"/>
          <c:w val="0.9519125683060109"/>
          <c:h val="0.79388626421697284"/>
        </c:manualLayout>
      </c:layout>
      <c:lineChart>
        <c:grouping val="standard"/>
        <c:varyColors val="0"/>
        <c:ser>
          <c:idx val="0"/>
          <c:order val="0"/>
          <c:tx>
            <c:strRef>
              <c:f>Pivot!$P$3</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E98D-46A9-9F7D-D4615342713A}"/>
              </c:ext>
            </c:extLst>
          </c:dPt>
          <c:dLbls>
            <c:dLbl>
              <c:idx val="5"/>
              <c:layout>
                <c:manualLayout>
                  <c:x val="-8.5812448888201893E-3"/>
                  <c:y val="-3.59518673519092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8D-46A9-9F7D-D4615342713A}"/>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Pivot!$O$4:$O$10</c:f>
              <c:strCache>
                <c:ptCount val="6"/>
                <c:pt idx="0">
                  <c:v>2020</c:v>
                </c:pt>
                <c:pt idx="1">
                  <c:v>2021</c:v>
                </c:pt>
                <c:pt idx="2">
                  <c:v>2022</c:v>
                </c:pt>
                <c:pt idx="3">
                  <c:v>2023</c:v>
                </c:pt>
                <c:pt idx="4">
                  <c:v>2024</c:v>
                </c:pt>
                <c:pt idx="5">
                  <c:v>2025</c:v>
                </c:pt>
              </c:strCache>
            </c:strRef>
          </c:cat>
          <c:val>
            <c:numRef>
              <c:f>Pivot!$P$4:$P$10</c:f>
              <c:numCache>
                <c:formatCode>_(* #,##0_);_(* \(#,##0\);_(* "-"??_);_(@_)</c:formatCode>
                <c:ptCount val="6"/>
                <c:pt idx="0">
                  <c:v>859401</c:v>
                </c:pt>
                <c:pt idx="1">
                  <c:v>1181446</c:v>
                </c:pt>
                <c:pt idx="2">
                  <c:v>1459775</c:v>
                </c:pt>
                <c:pt idx="3">
                  <c:v>1229723</c:v>
                </c:pt>
                <c:pt idx="4">
                  <c:v>1202478</c:v>
                </c:pt>
                <c:pt idx="5">
                  <c:v>249816</c:v>
                </c:pt>
              </c:numCache>
            </c:numRef>
          </c:val>
          <c:smooth val="0"/>
          <c:extLst>
            <c:ext xmlns:c16="http://schemas.microsoft.com/office/drawing/2014/chart" uri="{C3380CC4-5D6E-409C-BE32-E72D297353CC}">
              <c16:uniqueId val="{00000000-E98D-46A9-9F7D-D4615342713A}"/>
            </c:ext>
          </c:extLst>
        </c:ser>
        <c:ser>
          <c:idx val="1"/>
          <c:order val="1"/>
          <c:tx>
            <c:strRef>
              <c:f>Pivot!$Q$3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Pivot!$O$4:$O$10</c:f>
              <c:strCache>
                <c:ptCount val="6"/>
                <c:pt idx="0">
                  <c:v>2020</c:v>
                </c:pt>
                <c:pt idx="1">
                  <c:v>2021</c:v>
                </c:pt>
                <c:pt idx="2">
                  <c:v>2022</c:v>
                </c:pt>
                <c:pt idx="3">
                  <c:v>2023</c:v>
                </c:pt>
                <c:pt idx="4">
                  <c:v>2024</c:v>
                </c:pt>
                <c:pt idx="5">
                  <c:v>2025</c:v>
                </c:pt>
              </c:strCache>
            </c:strRef>
          </c:cat>
          <c:val>
            <c:numRef>
              <c:f>Pivot!$Q$4:$Q$10</c:f>
              <c:numCache>
                <c:formatCode>_(* #,##0_);_(* \(#,##0\);_(* "-"??_);_(@_)</c:formatCode>
                <c:ptCount val="6"/>
                <c:pt idx="0">
                  <c:v>224103</c:v>
                </c:pt>
                <c:pt idx="1">
                  <c:v>283231</c:v>
                </c:pt>
                <c:pt idx="2">
                  <c:v>393113</c:v>
                </c:pt>
                <c:pt idx="3">
                  <c:v>321671</c:v>
                </c:pt>
                <c:pt idx="4">
                  <c:v>308336</c:v>
                </c:pt>
                <c:pt idx="5">
                  <c:v>80243</c:v>
                </c:pt>
              </c:numCache>
            </c:numRef>
          </c:val>
          <c:smooth val="0"/>
          <c:extLst>
            <c:ext xmlns:c16="http://schemas.microsoft.com/office/drawing/2014/chart" uri="{C3380CC4-5D6E-409C-BE32-E72D297353CC}">
              <c16:uniqueId val="{00000001-E98D-46A9-9F7D-D4615342713A}"/>
            </c:ext>
          </c:extLst>
        </c:ser>
        <c:dLbls>
          <c:dLblPos val="t"/>
          <c:showLegendKey val="0"/>
          <c:showVal val="1"/>
          <c:showCatName val="0"/>
          <c:showSerName val="0"/>
          <c:showPercent val="0"/>
          <c:showBubbleSize val="0"/>
        </c:dLbls>
        <c:marker val="1"/>
        <c:smooth val="0"/>
        <c:axId val="1699931663"/>
        <c:axId val="1699932623"/>
      </c:lineChart>
      <c:catAx>
        <c:axId val="169993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99932623"/>
        <c:crosses val="autoZero"/>
        <c:auto val="1"/>
        <c:lblAlgn val="ctr"/>
        <c:lblOffset val="100"/>
        <c:noMultiLvlLbl val="0"/>
      </c:catAx>
      <c:valAx>
        <c:axId val="1699932623"/>
        <c:scaling>
          <c:orientation val="minMax"/>
        </c:scaling>
        <c:delete val="1"/>
        <c:axPos val="l"/>
        <c:numFmt formatCode="_(* #,##0_);_(* \(#,##0\);_(* &quot;-&quot;??_);_(@_)" sourceLinked="1"/>
        <c:majorTickMark val="none"/>
        <c:minorTickMark val="none"/>
        <c:tickLblPos val="nextTo"/>
        <c:crossAx val="169993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Dataset.xlsx]Pivot!PivotTable5</c:name>
    <c:fmtId val="5"/>
  </c:pivotSource>
  <c:chart>
    <c:title>
      <c:tx>
        <c:rich>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r>
              <a:rPr lang="en-US" sz="1800" b="1">
                <a:solidFill>
                  <a:schemeClr val="tx2"/>
                </a:solidFill>
              </a:rPr>
              <a:t>Total Sales</a:t>
            </a:r>
            <a:r>
              <a:rPr lang="en-US" sz="1800" b="1" baseline="0">
                <a:solidFill>
                  <a:schemeClr val="tx2"/>
                </a:solidFill>
              </a:rPr>
              <a:t> Amount By Month</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Pivot!$S$4:$S$16</c:f>
              <c:numCache>
                <c:formatCode>_(* #,##0_);_(* \(#,##0\);_(* "-"??_);_(@_)</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extLst>
            <c:ext xmlns:c16="http://schemas.microsoft.com/office/drawing/2014/chart" uri="{C3380CC4-5D6E-409C-BE32-E72D297353CC}">
              <c16:uniqueId val="{00000000-1F4E-4C7B-9FB4-A9148935EB78}"/>
            </c:ext>
          </c:extLst>
        </c:ser>
        <c:dLbls>
          <c:dLblPos val="outEnd"/>
          <c:showLegendKey val="0"/>
          <c:showVal val="1"/>
          <c:showCatName val="0"/>
          <c:showSerName val="0"/>
          <c:showPercent val="0"/>
          <c:showBubbleSize val="0"/>
        </c:dLbls>
        <c:gapWidth val="182"/>
        <c:axId val="1510917919"/>
        <c:axId val="1510919359"/>
      </c:barChart>
      <c:catAx>
        <c:axId val="151091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510919359"/>
        <c:crosses val="autoZero"/>
        <c:auto val="1"/>
        <c:lblAlgn val="ctr"/>
        <c:lblOffset val="100"/>
        <c:noMultiLvlLbl val="0"/>
      </c:catAx>
      <c:valAx>
        <c:axId val="1510919359"/>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51091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Total Profit By Sub-Category</cx:v>
        </cx:txData>
      </cx:tx>
      <cx:txPr>
        <a:bodyPr spcFirstLastPara="1" vertOverflow="ellipsis" horzOverflow="overflow" wrap="square" lIns="0" tIns="0" rIns="0" bIns="0" anchor="ctr" anchorCtr="1"/>
        <a:lstStyle/>
        <a:p>
          <a:pPr algn="ctr" rtl="0">
            <a:defRPr sz="1800"/>
          </a:pPr>
          <a:r>
            <a:rPr lang="en-US" sz="1800" b="1" i="0" u="none" strike="noStrike" baseline="0">
              <a:solidFill>
                <a:schemeClr val="tx2"/>
              </a:solidFill>
              <a:latin typeface="Aptos Narrow" panose="02110004020202020204"/>
            </a:rPr>
            <a:t>Total Profit By Sub-Category</a:t>
          </a:r>
        </a:p>
      </cx:txPr>
    </cx:title>
    <cx:plotArea>
      <cx:plotAreaRegion>
        <cx:series layoutId="funnel" uniqueId="{5AC4E8D9-6ADA-40A4-8BC1-B21A57C16D50}">
          <cx:dataLabels>
            <cx:numFmt formatCode="#,##0,&quot;K&quot;" sourceLinked="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separator>, </cx:separator>
            <cx:dataLabel idx="0">
              <cx:numFmt formatCode="#,##0,&quot;K&quot;" sourceLinked="0"/>
              <cx:txPr>
                <a:bodyPr spcFirstLastPara="1" vertOverflow="ellipsis" horzOverflow="overflow" wrap="square" lIns="0" tIns="0" rIns="0" bIns="0" anchor="ctr" anchorCtr="1"/>
                <a:lstStyle/>
                <a:p>
                  <a:pPr algn="ctr" rtl="0">
                    <a:defRPr/>
                  </a:pPr>
                  <a:r>
                    <a:rPr lang="en-US" sz="900" b="1" i="0" u="none" strike="noStrike" baseline="0">
                      <a:solidFill>
                        <a:schemeClr val="bg1"/>
                      </a:solidFill>
                      <a:latin typeface="Aptos Narrow" panose="02110004020202020204"/>
                    </a:rPr>
                    <a:t>175K</a:t>
                  </a:r>
                </a:p>
              </cx:txPr>
              <cx:separator>, </cx:separato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2"/>
                </a:solidFill>
              </a:defRPr>
            </a:pPr>
            <a:endParaRPr lang="en-US" sz="900" b="1" i="0" u="none" strike="noStrike" baseline="0">
              <a:solidFill>
                <a:schemeClr val="tx2"/>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Total Sales By State</cx:v>
        </cx:txData>
      </cx:tx>
      <cx:txPr>
        <a:bodyPr spcFirstLastPara="1" vertOverflow="ellipsis" horzOverflow="overflow" wrap="square" lIns="0" tIns="0" rIns="0" bIns="0" anchor="ctr" anchorCtr="1"/>
        <a:lstStyle/>
        <a:p>
          <a:pPr algn="ctr" rtl="0">
            <a:defRPr/>
          </a:pPr>
          <a:r>
            <a:rPr lang="en-US" sz="2400" b="1" i="0" u="none" strike="noStrike" baseline="0">
              <a:solidFill>
                <a:schemeClr val="tx2"/>
              </a:solidFill>
              <a:latin typeface="Aptos Narrow" panose="02110004020202020204"/>
            </a:rPr>
            <a:t>Total Sales By State</a:t>
          </a:r>
        </a:p>
      </cx:txPr>
    </cx:title>
    <cx:plotArea>
      <cx:plotAreaRegion>
        <cx:plotSurface>
          <cx:spPr>
            <a:noFill/>
            <a:ln>
              <a:noFill/>
            </a:ln>
          </cx:spPr>
        </cx:plotSurface>
        <cx:series layoutId="regionMap" uniqueId="{69516119-945C-4FD0-B321-485484D6AD53}">
          <cx:dataLabels>
            <cx:txPr>
              <a:bodyPr spcFirstLastPara="1" vertOverflow="ellipsis" horzOverflow="overflow" wrap="square" lIns="0" tIns="0" rIns="0" bIns="0" anchor="ctr" anchorCtr="1"/>
              <a:lstStyle/>
              <a:p>
                <a:pPr algn="ctr" rtl="0">
                  <a:defRPr sz="1400" b="1">
                    <a:solidFill>
                      <a:schemeClr val="accent5">
                        <a:lumMod val="50000"/>
                      </a:schemeClr>
                    </a:solidFill>
                  </a:defRPr>
                </a:pPr>
                <a:endParaRPr lang="en-US" sz="1400" b="1" i="0" u="none" strike="noStrike" baseline="0">
                  <a:solidFill>
                    <a:schemeClr val="accent5">
                      <a:lumMod val="50000"/>
                    </a:schemeClr>
                  </a:solidFill>
                  <a:latin typeface="Aptos Narrow" panose="02110004020202020204"/>
                </a:endParaRPr>
              </a:p>
            </cx:txPr>
            <cx:visibility seriesName="0" categoryName="0" value="1"/>
          </cx:dataLabels>
          <cx:dataId val="0"/>
          <cx:layoutPr>
            <cx:geography cultureLanguage="en-US" cultureRegion="US" attribution="Powered by Bing">
              <cx:geoCache provider="{E9337A44-BEBE-4D9F-B70C-5C5E7DAFC167}">
                <cx:binary>7Htrb9y4tuVfCfJ5lOZb5MHtC4xUVa6yHSftOE4nXwQndot6UiIpidSvn11xujuu5CTnYC4wOMAE
jS7YqiqS+7G49trb//Up/ONT+3Bnn4Wu7d0/PoVfn2vvh3/88ov7pB+6O/eiqz5Z48wf/sUn0/1i
/vij+vTwy729W6q+/IUgzH75pO+sfwjP//u/4NvKB3NpPt35yvS/TQ82Xj+4qfXuB8++++jZ3X1X
9ZvKeVt98vjX5/ldW/1hbF/dPX/20PvKx5s4PPz6/Mn7nj/75fTbvln5WQub89M9fJamLwhnQiis
0Od/+Pmz1vTll8cJxuqFwClJMcPq878/17666+Dz/9qePu/o7v7ePjgHx/r8+vSzT84Aj/7382ef
zNT7o/VKMOSvz9/2lX+4f/bG3/kH9/xZ5Uz++IbcHA/y9s3nk//y1P7//V8nvwBbnPzmKxedGu5n
j77x0CtdmT/t83/vG4ZeMMw5Vil6NL186htJXsATmlKWPvqO/rn2o29+tpvve+XxUyf+eLX/j/TH
rjW2uv8fTBciX3AFLmH00eLoJF3AJUyCQ4j88oYTl/wLG/q+V/764Iljdpf/EY75cS5/DWZP3vnv
gpl6wRHlKaN/J8TXYKbUC4QlFVSxx4RiTxPmBGL++ba+76OTjz85yX8Gfh3atupNBfD69dmfhNy/
6RLAMEzY0ehfTK5OMEy9wEwKyiV/dAk8f1z7EcP+lR193xt/f/LJ/n99fvjPSJknu4bb/+phefbe
2OZP+/wP3C/khaKKMErJX/fH1+mS8hcCnnCBv/hO/Ln2o2/+lR193zd/f/LJKeGQ7/8j4OzJrsE3
Nw/h7n8waSh+wQSVTGL86JiTWwZwjILTVJqSv4jB10nz0+183ytfPvbkcHC23//fuOSf07S/+Ozm
zt9tPxPhr5jaj59+PjkQ9JOP/gjvHi17uP/1OWGEoq8A8PglT9Dqa8b11Qce7pz/9Xki0QtgDsCz
CUqB1XEKbl0eHh+xFxKnGPMUkFJhhiDVemO9/vU5wy9UyolQFKcCXjhQCmem4yMqX1Agh1gySoCk
Yyn/KkBemzaWpv/LGF9+ftZP3WtT9d79+hzz58+Gx7cd98pZqhSWhPMUUwmgLeF2HD7dXUORc3z3
/yqWpJx1z/lhDmgoNqRem2vdDsU5Z2zOaeTunaL1uhtste7wEopz2frhvXIovOW9HN4zUbt3iPbu
XRkQ2X5lye9sD8ju6e4IguPDBgkVApOnu1OTtAVeFDvUMzN3XLPwekS6v+x5SKpsrNp4pgY0524w
Dct+vDYlYOQnq0sKVxRmgguUSsHocXdf20aTdhBTNR6Ksvi9GwuaT8tUqZeNskZsxMDTS4JkL8BM
Ir0ITFVvcW2rD2Ht1/t0cuO8GdZIz8u2dNtGTO2Zb+3UbO1oxG+plkPMw5TyQ7F0/hIPdNgxNLBs
tVOR1aFTOGez615pEtGQp3jGOZLjGLMFp+lmmtYuZnLSyZhRL0I214K8L2XfZMbVOludNBepY+vW
mna61r3rdyayfs4ST2WzK0eldK4KXee0YuhdYm2ylU16M4XVtjlbx6bMUjH0V5aFcpvoZJkza+i8
j0lX5E2y0qxe/RSzNV3mMSsLofNB9zrvSIi/97XseJY4hS/5UhcbYaN/J5cidVmF2gVlCOswZ+AA
sZe0ibtFt+IsKFLlCSOLy5Ag47Wakvo35KoKb+pyRO9bg8TG9CmyG6mD2i4TtdVupkHGrIJUug6F
LENWjKNos5Vpf4MnowFO0mU6KKnactOT3l+HapI6x3RxRVYJjHYdbgqZ9YVv6JBxMeBky8qVXvTB
oiUry4osWaPVlNV2ZeDWOmF7PhOSZC0TNls4/z2to9xqLvrXTW/DzpUjsdnE9Zox6+s+K1HAO1TX
dmf9wl/HliRnK5Hl/ajJvGtQtVN+njeQqeogSNpdryTONPNmqs/XWtYbyX16p1M/7NcOrVvVDn4f
K2vWnSe+XLO0JlHk48yCz+exd2fS1/iiSGQ4VxIXt7Qm014uehmyNuX6gS1ofoUNDjyr+rR7IClr
TEbWkWYjr/ouU7gcqyzOK6eZSK2oN5B7b3SZ1PRqaqqJD1lddGJ5g21XhSEb097MeUGLsczrUPQ4
k4Nv7vtaF5XMvK3PCDLLfdPMHc7mRnezzoZ+mNFLNypb3c1V2w571c+MvHLOFufrtNJDi2g9/y5C
VarLyIm5WxPqp7xQU7CQFWPiP/XFVLcbq/yoc+ENq7Z+sn2yNYWML+eI+5g7lHq8neZkrd5EamLc
x3kkU54UfVdkprddubGTLocPTC22zZqk532mIu9tXi4N2q9jqeEq8P2l1Us1bEZEzZ0zKT1gG1sI
9YDMITauucYpgGYZNJy/Wav+Vb1O6RWZzKjyhChYzR7PFnXB39hixct25K5wmZ6Ze+crUbPMVjPs
PpTpuh9NWPeVWYb3ruDm/TIT5TLF52He6AUSeevQFJJsQmH6iGo7oZd1ZTm6UsVCp3wgg7mzrlV8
MyTtuvsM5QpOrnNWT2Trawk42iR+vgoVWW9bR5PK5M1C18adhYIU7bqBmwDHOz5NFg3ncq4QvDSl
UgziKOKS1ZnB6zL/3pehrVyWJLy/m6LvIHTs6i6MXcXV6DDseDazSXbL5Ks6Y4kdzkZJ2lex13PI
hKmIyxyuw29TVZJXzBhIrKqQ7SvL27HL+1IYvpFxng/BpJ5kaPa6u+wSm9YAiesCsdsN7NBjLOcr
NtpQZyvlxbTpnU0/JHO/xAyM06i8Ldceb4wUEWWTjtJmekyX9wYn5kqLqLqNFLXJConYoSSBbJvF
mY8O+7c0LOIwK1XzM+zV8tskWtpukoYV85nUcmQZllU3Z8SoIme8LnZ4Qs1LTediBMvE/lK3i70h
zRREluqJf+JzL+pspljvzNJsa2KSNW8xD5esrc1FoWd9OaWrdZkfZXsIoxz4VgaLL2jS+oMiZE0z
CKDkpoF7ZoUjq7hhamxNhscuJbngzslsMoTUWfRpH8/6hUZAv1nUdgM4Xua85GwXCgB811H37vM9
+oWqfbnEHznHJzNEW5X6i+7514//fWM6+O+zCvf3L4+y6d8/vfxTb/3hu84ezLEOcadvOu7mr++C
zXzZ3ZGsPfnhG+b4T7jho3z7Tx7+i8SRYgFk7y9l9hvi+HdB9BXbfPzQF/KY4heSYyJTyXCqhEyB
vX0hj6l6kQpEGNwEQnJQc6GG/pM8clA8oLZGSBxZnUiBNX0hj0d1USnKFaYIim8KX/jnGZ84Esjy
l5+/Jo+n3FFyATIkB5aEuJJCAE3+mh9BAI0zQqU5zDJpqrzpS/6K2mW4WttFbr4yzXfWAi48fM1T
j2tJhRHYQjHI4BMuNjuUrKPE/SGlC75aAdSv6omq2wgWuBzHVf2bzBPWY4gRkqKUEUXlydlsQkk6
SATrATUoswUNANx1WPGVD4weel8IugXegW8WUZGbHx82/fawHKWgnkjwHjDQk8OOCXLBONsfVuv9
fdd2TmQtnuVlxGsAjrOq24Kgnx35OybmYC0KZegx1o5h87U7vfO1XWTaHWyHw+um1f5+7rtqzVRl
w+sSxX97QYEhSGE5iF6Q8PhxQ1/x6xolYSDOqr1OCuCqcpCbqL3adpImH2gxCxAO/kqv78QQ/sau
KUiFAsodpcC45LTYiQ6jtSzCvJ9MGJtsEoUjr9Z1RHMmF9Z3eZwqfCXbnh3S2ODrceb9bT8M6ZJr
0azA4VKXXvtIyJTZmU9zNgzaXeKgwu+RyJ9EAU+/s198VNIgBJGCZD8pzvpOybLu/LTnKS3ZTdIR
Xly4skXjrjSj3HRjiZdzbHRsAbo9xzeQg/E6Ua3dE6SFOK+cpIcuDvyupM6KTIsWYskVxFx0q8Rw
6+tOn8+ItN22tzO+6ggCO4wNX/FmIq6ss8RWJFsiWeVu4AFfwX2b2O2UInMxJDFcYyg+XheVKoBx
29nwj3KmQwTCv4YZCoqR1BeW8vBaAEqITSXnRu1rNCfv6lar4nq0xELIFfVI+yx1MSmPHFRj/ABR
CqQvw1VVh5eeqZn9Fvq4XPZItxVca/WSzYoxkn0GAhs7yNMwu/A6WXx4rZrRyjwU4/B+qsnwfrWI
HsTc+DEP8zy8lx2dXyPnTJercQX4CqhW2xpbfictCtfGtphk3VwM76n24ToZE3zD/SQ31VrxO+gY
kP7QRxXeC+OBSAqGDfCXgofriVk46dCwJetaBwuqvipuSd00djPJhd+1E9hRrjPYzTJ8Mylw2ipH
dbuMK78TiQjXVenUdqQLp7toKi9zFRI9ZG4uwvVjrOq6BIanabVML6smuHugC0DmGIfDQuUwuDO3
zO2aJzY2+lylRdUdmjEZO58JouS09Yzod3pe1K0cAE83vpnSsO0igzgBUsLujIP6HigxJP/YqUsV
rbod2q4uM9ZXEBmhGZKclcFcWBTB/XQw4fU0xWHZzIKASSG7h/ch1F2Xl6ZZx908WXCS0pgeJl1X
Q7YMx7MuTLWZLI3df7Y/FDA8p5NkW91Apatkol0+9gpdfX6PL4o+7yKqATdWvU/grL9BWTRvFiCl
u2l0EMD6mB7CN8uwd64uigvsZiiiZ7dMm2YMUl1TlGIL5RU0dabMtxLVV34UbuCZ7BoS3gyiR7bM
ChOKedfWKGYFTeADfVthdFiwT4G0ll3S63PnfJWcRTTVy2Ysk1hcD0PP20wbDiVSrydfXJJVxfdC
keV+jsk450vt1ur1EhOyvHNgfn3m+n4+c0T3S7YiKMQSOSe5QU2VJXzmYGd3M9BCb0MVdVb0KgKb
b/NRj+Gw0JHtBgllGZdmyud52RcqhgtfmnAjusnkeigqcHsSrxhvRO5SjX93iIybQUeR+Rjwq0Ro
f73o0ZWZL2b+wbNGMYgvt9C8VFW4mNNk3jNpyg7KDWLaDJn1StoJKlgHsCm6Kj3vKy2uBtSrIptW
Fi9xv3Tg8JA4k611WZ31w+rvVaXHZeOSqaw2ENzqnBU+9BsFcofKQNyAWrV3vt/ghL31UG/mlR3v
epzWV3WLONuPCwXIximFoLNohpCKDXf3GsMPGeByuIZrDmKZFL2u9iIp4JZebXUWHUhXHIj7bRf1
VGdpeRQp+DyH6zXo4jZo4BYDw8P76JrQQo263AUjy9uaCwBMQ5qbOkH1OxABILGgOKSHAtSJsyql
9CAHhXSmVNFv4Bo1N4J327Wq+42DY5Q7TDvJz3m7IvVudQP+0NkkWQ+rZpM80M6udMnx4MKOWmyb
c0Eo/biWMxdb2zfnrRqKyyUZytcWxJ1DKdVNqvV423p7F7twRP8K37pOTZt6AjsFVQPO8wFX58oM
5MOUFNOSt3pBLwe1pG+IAKlnU83LgdMpmTd0GXEOeZlesMJYuVMgk7wKEwnTbmXktgOxamMCqEnZ
3OllwyIZ0yxpGZ+zjhb9VZ8m7GOLKbx/gBvLvuVakeKjkktls3EcCrNbpanajJTNxHIok5PLrq0m
MF1XDNnqefl7TKXZV6yXr1JN0aaGI52leLBNHknh3psggYsMnstLulRJ3oAgdrOAimW3VesYgAVr
S3tlpYuHSGt5lYSobm1n6m6TtMLdo7ZWl7zgAG+NWCFoxgkixZVIbsqQHENpKnu9KbXBVyDEHwVG
QQDTawXfMxPYjfBaXboFXJO3rQIc7KYa9pTKuGTVwOAXuukhBAMFrUK0Q9VtStIA3tvZ7qOeAQdn
Xjp3priQl2pok7yWBlau4TLpcprK8HqgsLzgy9iepRHucRCMqzNarOxujTUA/mcIhMqxsNs0KY+h
v6BWv/ZLL/tsGhZ2uUwTOktbvoJe5xN339MGbg5MLUQEqDv8Lm3hfnQVB5zueNXaTRxNqzet5ykw
hgglytnjtnDPbXs26hqYRJEkcH2lFtB+bK3dz3EKr/0M3LeTi9rite3jOVmI6F02xY6Fl1iUhObI
KpAtyDjoV4TPsOuqG+Csy7zCkr2tYnrNxqF1cFsIz0yXtbocmzZbJJrTNC8DE+dT4+oxr0Ye3xSJ
4e+FxgCs0Sb15TLYAApGO9UOrgxc3izpaiLgZisu2UqlA1xM8ZvWJOh8ALH0D29HdaanRYUM9gws
p0pSdUvCAmEhWws3+ag8vqF2hOuptKFvdhaEsRV2Uh0tOhrweMsjXOvTIDlcmBag6k1x9GhdU3DT
1EHEtQ7cmEAFXmSerMiiDXdDUm1byQt0i5PIOAM7AbV8I2iVTG9mEVox5NWiSy2v20YqAVfVoFYQ
JGU5xmoXmyop8VuQbApTnoXF8ywFneC6RYZvK8SKJi/artr4pS2yRURy1iUKOEhKNDpvmNVXtPNz
XiU6gpwbx01gXJ239Tq8BPeP10YCsjSzTn4PiarOE18W2ew0XD1RdvsSuhFZDGmya6eFwzlGselR
oTOUqgsWXZGPHf2tlADp1JbTDqMSb+yKu8yGMB7M7Mus9C2+7hlATAY0xGb1bKsMN8BIvOiaP5KK
8Z2cTbFXqwH5yI+z2UAGLjmgwh+9Hf9I2vhKBbYcIK6BGEwjeqX8gF7xLoK6hLpcuNjtw8THLXDj
4k0QU9zVcIlu6lEv28DYK4Y8exnI1P8G3oZ7uQ/tOdx83RnrmiRLQVvMZSe2pWpfTg1zGQVTvUJx
KN8OiZjeW0PolZm72uS0REAgw3jWqrbfiPk17fA1ML9+S5IF/cFFwc8pnVlVZR1RNeqzPl1YIfdJ
vT7wUYBD2AQpvOOcLnrTTQg0G2AE85AncAO7LE7zEUE0AoSA+wrQ0IMiNI0kOQgax+Gla1oI0k4D
2lTCQkSucwG+L0Kr3evYLHWVz0C7f1KKH6uOJ6W4BCEipRyEBQwSxGnZv86kVnDjDfuBfyb90Dki
mT0S3x+Xa99UP1JCM5SClgFlP4PC7Wl5CK0JP9UG5O62FwDGU5rim9HZpM1YwOZCsGPp8hkOf7zu
adMJlpUwS8KFgMqUQaX4dF0oyVtamzDsQ92KO590dt+50IbdkmrAL9P18VoIDVg8zkeW++PVQbc5
ta5UBKpiSHDYBD45dXQ1qCdYmP3CCyhAVmnJjTyibp06QHtfDvB/NFgoS47MG1p6AO6ft/D/FbvH
8YknMzp/Tjc8dm7B1X8JCt/odSejPl+JdsfC/ItkJwR0bikVXzd1HyU7GKiEVjBRSIIAB4LdUcL6
otiBzkehFQtDSgSasCCzfZHrsIRhDQJtY4VhGFPBROa/I9fRp/3M44oYdASBQbqCzrIkJ7JSC83J
Hi8Nf4BukJ/UlgwMugI5GuZqveV8Gpo7UOW52/VjdJFtPAlchzwxBfpY9pb1UI+Q0KTnSvMIl5NK
+nG/KKhxX7a8AzEgM03gw0fe+DqYTSJEW0PtkKYMP6TBxOm61SFt76TkQ/GJdnQUV6WoxoFmHa4c
bIUN3ELDEyOgM5uy5bYZMrPwrrvEaRxhy2XX4XhBOtrXfyQOugntT9LvKegchSgYjgH6BXkPPXnI
w6fJn+KumrTQ8qFYTF+Pe9+xlu1bqExsul9d6aslX6sBhnZbVFSk2H0VUd+TqI4i29/gCuunKQx3
wnyOBHkDw2aerr/WQFkEEtV9jRsK4OIN5fRYVpBkrHc2LKX1G6t9yXSWsGQd+tcLo9GRHLNVLPTc
C2j1Qg/YjFBIXCkuR3j2400eIeirPaYIBlFgfkvR45DQMSyf7jHoKiHa0uReJBako025pmU67lrJ
PEVZb70QHxqOCn/48bonvjmuyxRLCeEIBAp6uu4wRZOahMr7MkLMgUiBgDf+rllBelBo62qqXvVw
aXifaQ3tDvEIi4/Dw9/xzVNkhnlbmsJ0DpNEMS5BGT5B5pLPVYKCpvdJ2qYjzfmCBL+DREr8waxV
2l5VCbRTX9JmjNObxiG06szpqgWj/NgQ3+4EZHABgwkSZEEYbDwRpzXcQ20dkb1nYoGU20UsVgw8
wi6TY9tKFkx8sMeOz5g5kabig0Fxtmo7VwYNy0+88rQLAGaBORUGLQgJcxLgGnoSDV5UqI5NX3wq
1Ar1wpkZQSoHhll0TsUzaK4BPdj8+Pz4BMlgTYVg/uWYqNAV+EadL9VaczX45KOubNol+wAqASRE
F4yGEfJpqdnK8qpzkQwZzBRQMASvkJ7edIOoY94n2PZvVKc7229Gbiy57uaqdx9/vM2nRILBaA9F
DLoIHDq+GLLlBEumpQAlcVzDx2C9hSBAU4PAPygslCdZsHRO3gykGY9J4xdzfKmGcvqJf74xFsYi
BZEd5mhgZogBtD1NVzkS56MT5mPf8gQwvAb0WkE7jchHfkELDrjvSlDm7rqa94Codugs5nuZ1Mnc
ZKMGtD0if9Twqb5a2/mCgfQHwumPzYVPwxr+7oACqYSWB7RdgH6d3E+BLv2g+pV+BH1aJN229m5o
p9fj6quhz5cxjrC5JO1meGbi2Jm4kc0akzfLMBQHp2xbl3m3rihedHqEFk0GmqEofD5xlLTXolPl
2uWEqgCQSJIaBgPO0apa+NamKpZx/EmaYmj3PQFKKImAxQGPw8CWQRE+QQyIzH6c+3n4kHLDa54P
0JSDUCyKCVSLHK9QbYCUFx/Rs50YPJs+w8mACwmPoMajYtxNC/15DrFTFCfANhQkEnQYoEn4TVg0
oXFdoc3wYbCQReOWukaylwRrGi+omyKYQxUgIIP4E2JMoVFuF5gbAMBfxHU5rkWytx2r11ubTE5c
yUocCUJgc9eqs2biR/cYRxWEUJxTPl8Ptm7W27UVzdJkqG2Pl1YF1gcHmV5p+CWF7vJ6K7sQwHeU
1xFe3IpKLzcDd9TtRDodfdeEsgKCMX5eHnokCegv0oQavsIAeYCdV0l/5AZ+4F1zF5zox2GnZovn
N4ya1V9a2xQ2a9vOki5PyqIL+5LB5foeVJSC3c5oxhBkqSyBZ8AsjQGK8uNgP0VNsD60FmF8Dzqo
AqYCT0KDFrEvMShAH6BCdqAzB5gfHFy2mNq0BzqNCwDFj1c8RSMY32GIYLi3YaQNBgtPVnQWOb10
dHlP1+kYjMvEjvBHXNrA5S3mkYsPRU1XCMKFTN6VL1MAFojTH2/jSGefJAVNBTSt4a7gBFpaMPr4
FI5WOk9jokR320HHzX8ecOLJgwEhG9BIN67HW1ukpno9O1kC4gyam3JbSk9mk0HbcmlnkFTK8aIt
pHgTqG1h+MtByTRfe5mgKh/5CoURBBHIsTXIIlAis0LgY7JrBHFoZg3s4lDUjT9m/sw4fUXgvh9i
RhtLw3z24xOf4hqMEUoEdANODaelMOj59MSNKEDUH136dp56BCSWW0uAxM7rMW4ZkCy21zBaCWEb
GkXhpfSfmW0ihmNIU+grkOJNEcQxpMlYrVCRVgOhR4gcV4fwbmyh31OdrTw2kHUwT3jk1BhkG8hO
GJGCNPrxkcgJsklgQBKuTUA18CBMLJ9ANfTqutXUPXkrvaaQW34ojxvwCYVmx5c8hjHzCHsrNIir
PgesPEKKHUa4aBLo78ULmDw7/sqMIAffgZ6asn21tEc7jHEx4qoYA7yrghYEfE0sO+F2TZJaCpKe
nanLI9wXcNyfHO2EZcLRYDqCEQypAr2Eb5rvPjQ4bScT39IS9P8G5tZGCC2QCivzySPZkB7GaMy4
3qakP96PXWIwOCSIri3jdu0E9iW0ZpJpeQss1YI5lrSmEH10XgFN+ipREGJsgfE9QLcJYHNfkWEB
WPPASGDBykNTgeRQY2EwRVcyMIX3qU58zkHnhJQAbb2Gnx7tc4TC5u7HRjjJUQl0AdhVSjhoo9B4
PqW6eFmZiGJMbuYuNYAOj/SWaBnmJofKUpf9z2Dh5Do6LslgkATGfeEvE46zF0+TBNUGWOsQ0hs3
Qf/jzkfvIaDg7gf7sHpgoHHCsDL0IDIYuYpg8HYueqAsAHpgpcWG1r9OhZNFvSs8kwAGkJDztYU/
foAboIMe2jX0mOCi+uK2clx6MGVoZQ+5All0dEfZhKMjkrrC8KJireZrZDoDO+FNA3dTI/yxTv2x
tZmiTzERDn+8BAAkMPzJ5bcVFdBBl8B8aLzR0I4DBc9PMIeaFwsq6itBVmbjdtRWDDKDeS8F070W
5OnxHLUThenNAdhOcmGhGcleFp1OaT4uJpSfUNWi/VJMTGwaGM1s71ndrva6M6KDv3Ndcbu8YjNG
Yd3Iuld8yEfgj27aLQuHCTo76iKYTHSow5cUWaw2fW9hKLkOfrIwMxnkuNaZ7mcYEAZ1vJkhGebV
LrHNQsJrVu8UwRN7I1ofWZnD+CuMT59B+0njAvhbUfqD1ykwszwFyWtdoayFUBwOoYnFlI1uqMVu
VmlJN7xLwgqDNoZUtxN0eYoNZZ7gPEJ9amImSu/URsGMbpOXvC33KaF+Mxq0rBeF6hE6wwvW/4e9
L9vOE0fXvpV9A/QSSAw6Bb7B8xS7nZxoxUkKhBiEQCBx9f9D7B6S7lW19n+866Cy4nw2IDS87zM5
OlbBlNXkoNXQsWcfL5UKnvlAnPvkZkfnmwBAfvCIEyO138ESJeZ5S5eqH3I9DGE9PXC3teokJNCN
4zawrBtyrgYa1UUKoeOYvYVdk/Xfa4guF1diqvjxB7fzupJCtSukjedZ9GOclegDYqidRReo5JaH
aaDUaUnAlrf1jzrr6YxRdpDqGHaz0WHBlN5CM+n6gSZkTsih7xlEKReWC1m3uxhejdWhWap5Xa4B
G1ZSHgXrVhs/ij6i4wU0pXWVHTFXEqpyvYCDNEU7ZXLleRWwZJxLIJtb4y/WagpqeVplh9OmUHxl
2GAXDa3v6xBYSAkvMDnWQBQrRdkS3lqNqouDQKaZS+7aKE3xx/z+xUDKFv8GNyvD5bZhYuPbZkce
LZdNYnQVnUMXBOB4fBNDenByfRN2bR6zZT8XSRxIPE5FYxwqX53wCeFFA1oxru78qled3jciaNb2
mCoaRPpCWc+z5S5paCx5Dl5wxyRSM8e1ekkrIYLtirF2wkgF4LvC7ga79ljHVwEVJm2vQznKsL1v
mrXJxGFtsBFUh0GGFPeOLWu/Jb8ELSwOpKq9HEuiVWOysp8JBK+vURX1uF7XtJw/2wo6/cKg9cbI
RhksBMlShEm9/xDcP0oWcKJ8r+lZPeHpoZsPe5ocm3rdR4y2EC7wfJjqOXjqu3Tf8hn4kywt+DoP
mABbj3rjNHPT4XP6/VHrOd4wfGOT4j+cJZPA1do6RJPZh3J/PaFmdRT/PWzdPs494w2wpMAGBq8i
6FVWsx/jiIZmPBopUWkVaxb6FMRbVsc2wBtkdrQv0LJb2WO8gnobwKRtLHQ3WZPutyzxpvX2lGBm
4QoU/zS+icDtEywxwf7mYw9S7K3l3T40yxLiozhis3HFPSz9hMsWH89jDKXjGwC3Gl+LnR6SJxUz
wWnBVg4AKNcQMWAsPmaP2CaOH5k2wf5wYvY/B8Ni1pjio8bl8Rbvf6NTrG4okSZ4+hjq4P3j/xjk
988BKYjUTRrpDjcQ9kG9vCmZaGlOsqceDz1GG+IFcrCclSRPaMCrgefx+4satmXGVEPnbU0FTTL3
IgbVVS8+ueNQZGCUlqhr8ZFIA2MzBWAOsfBcEb8XvVUXR/him1ZkfOPvIzhorCDsa+/PVEcSPVqh
hz5Zw7OHnwHfRt5f7fv0SIRqMT4Jk/iOQwxGGD/RJb7GPK1Cs1+mZnWCL/phJGn9vIGAs/MlnpTu
w/s+kTbrLe4SD7n/lFCaCd8HPy7F7Jrmer/19wENtnXDX4aWDiw9BCTuVXOxRXHq9KnaQSRyWKUd
sKbBnO/IB4Ql45tc0mh8A1XcY/pMMSpWPLyByim5m4Bl7z8wWvY/2ALRA0akJ/ty6LZ4v//eJlW9
PtsW0md57CtIZp7qkYYVPavJp+F8Rd/nimwmPqenjyHnIB5xO05ShR+CE2DAxRstFc75JRy3hDyj
cmsyGD1gL+hlQaZK4OJxUyOqoZzhj5ovWgAGgGzwmmp7kQ67+6m0OF/xNeVt0mRHhWLR+UvKp9YN
Z5DbBAKAlrMWAnExVYANQx5afL6exwl/oGiM29tutPi/71bgdjFZQ0BFkMln7S20awKgwGoaXD2s
q2F5SXrh0AUIv+1zH0apBCCxo3CeQE9l6tZmh7bDEdsdXNALPl3EHEeV+0wS12C/qdphUOr8ASc3
c1ub5mjrFv3uN88mmEjPuqkxHCf6c82MQ9ZiwCaxKrG90Dob1vkZIrV6Tc7z+6M7XkG4WlLtNoUn
UtU6xYdkIyF2udmwffhCp/dZA7xqn+Lv+Gk2KWh68tBG+/POUkb4w2CC4/OjBPoY5LLdgCtzFqme
54AsfNLdUB0afCLx4d7DQvkzYV69gyxbGIPfPdp+NCK6qASUdUG+vUNvAm05UMMxhsTJn0So0Pp2
HXqnvphbABPxVaeSfT3NbJUA4SuVzdgqaSI8zrzJY6dpjuj19sGzku5QQWQzBSy+aSHAjK/gCMFT
foY9yYngchWTMfIW5osdpISfB9tPqgRN5gcGGMuLgxNN4Otjsuq4nUpAF2HCQO6jwf3CKhqiJcdh
yPHyt4BteKqk7/Zjo4vFPt2goAwx+d5HspkHINFUEkmXy3WLO5E+qM2uwZNBMQ1UYdMjT75gv8X8
ClYNXdqpYWR/BqH7AJs/2ssdpWol6lVU1ryD++RLwn09hm8MIoX2NklG7cWRgZufgz9WCdOGOOBE
o/DBTC3w76DI2jA1L0AkVzV/ItXYVFUhYk9r97imqG3G73yRcODA1pIBmjgZZZduN8hsk3rZmI3Y
kFucDvCIzWE4oKZM05jb0GKWdw2PigVfDNIlT1cwU678eJL3dznqBgBxAV4dXrWD+LndtO2y73/c
V/tugup/X7xy6vZP9D/Re9FE+9fARgf4hK/8/kFBbYxPoHPfuQ3ZCo2lXKFaFLfb7EN9aLBQ91XJ
u/1fPqYsakrsRByKX/zTOwS/b6dBVRjnDU3zMDIku7d1WsG2spIegD3zm+DRxTr2+yqvAuiuAN+D
J8IfEP9htxg3gvnNCPiHW+CW+50rCabxy8eFYsNxpI2YKsHTe8fWy2ZLVd702rIH9b5hQSuz/2SI
6XcwOmjHHYSENtgwVnZVNw4CbpjEBk8WCiE8M+QkDaaSjKq9jIMFE9dIl3a/LftzwQWDwjmSi9ju
i1xHO81Y9qvb52QqNlDkeVxDlNkd6qbFajy+Dwhw4H3TUwgKwM9lUMk1V3VE2zT7C+Drt4YeWM5u
kCAgVnmahP8BK9czOATg1dFTDUsR7jqtIPd6MuuAbXYM2L6CWoiSMQqLHPd7/4vu7tfebr98snM1
ZM8QwfV/a2yNdUOwTimgqvetsQEGvI8/CJX29s8v9RuAjtVEIFzAtQBZ4f/J3tb/m6B+hdo6Eygl
/zFHiHLDUEB9B91LysFZYUdO6v2lWtngDQ/MMLyyj83xz+/lVwghJgTzJwvj3X9CKeZ59Ou9iIVG
gG+b6omDVUu+yDjc6/FpQpLKYRtQOv/VOP/nBWGMB3AA4UQEcJH/hiuq2pCw7QgU5a7HQVEpnPi7
jB/b3MfK/vMHDHfY7l806P6EewgP/JhRFoWgo367oGsbVvVzmzx+7Bhrve2gvYc2J46Pjk3Zcmy0
2MyDXalvIPDp9/2cGmwNwbQxnEd/cUe/znTcEVopmGRAjXKY8sAO/jrmnpNgTT0dH9v3RbWirsMa
d1YJ7OuQ3ku8AghOPVYmpzgcUFoE9X4jjaaj3WAbRWd/jDs6xCR32Fp8ga1+xMexPkR4C3Eg+sli
feez9Ps2++cP8ftrxIuD1ofEYExC+Hx+h55w7o5z5ILltoZGFMO5/SyE9BT39sEHmWVI+vinhuO/
sLr/7XoxwYvc/4Pk57cxSx2qkSgj9vbj2HNVPTY5GbCzDnBqyup/Ba3B1hNmcC/h+SAsJ+w/tgO6
CiDRi2xu348lFMn720hVi3XRT+N+YPz5A+77y79NU0wI0E8MKxAhAwyI5m9Q7eo3J80Wq3PaB0bF
Rdp1Kf2SGCyYv1qC/3kpvLoMDF7G0OnDwPTr/OtE1HlbJdX5vRRZYqAjmEcRlIF/RYF/SDH+7cGA
FeJScLNFP4n57He6kBDwMqmsp5PZYHaZDlHsdjWCha3LDn9MWw8OvRimCtgqzzsBTwmU7nE1h90V
TmtIcKpiUBrIz3XEgD2Q+07EVTWcPWqDeLgVTqrQ+UJEoJw+T+MIReHBNBHrIS5s7RbNBYEdfYJZ
1MSA2q4pVGk0uefvfJ5K0IzQO9iLw9HdqKpeoM1GkZPIEJhIA6nGGY1GCoFfGzQar+KjQIHIfp/2
6r2sQIWe4bBIfm5j762GWgm27rXuImzdaA33MmBdogAF7RBl6BP6yOIDKLES+I7p1O7FXPBe22iQ
o1jtRGfhBtXsNHfhlsMeC4NKmei0bWz+D8hjxLEJced7IfOzggKztmJ8YcPbD/F0XIAsobdQSXTQ
sB0ET51CV7FcErAVsipa103op4Dnt037TFH2cnqb+Bm+4YsmIcEOBkyLAc7q3/swvvqJjmWtbAfY
FQhMCpYhb+oZEukisEO1ki4fKdRD0T0fOaSzh2pMWDx+ij1ftuET+Iad0UINCNXi7TBPIBE+SQ20
uSohQoKc4FibMQybogtRdP7h0XpO2WWcuDX6AiWtn7NbwGZCP/Rw+Kro0PRTQNAJY+OApx7JHeDS
D/3g8W7L1UWb8fnuYYPpHaVZGGeFZ16s14pP87TloKNXiW6aZwa8qKzJdGKknde3hHTK16VgKLj7
vEv7zrz2QF4Cm2fvlNvHXjSCD6+S6wzOCjQcfd0mkCd/1FkAvvc60fdwsNQfXWj7sxrs01ahZTMc
ihidL4YksNubqRpS3EakFNxcKlj4J2ziQ/akex60x07CA5zXVbU+xV7GTenlKk6SLfQsCd0uOrO7
5kw1PCIHICocj+vbVM4tAWa8mE8Ck/rMqhhqeay++q0xun2tiBxKx0OoV7OWzic0u4CUoj6+yjT5
Migsxx7+n+tkt9OnrK7xdklgjk3q2KEZpL3bmnYmB1Tl8yHzhMKVPyXdt1rbpyhk+sqwoLrqlmk+
xBMgaGhfqvMyWF7WfM0eUl2P4PW1/C6nUZRtraGVZ31fxoKPl9kWdUcverDAvY4ZfnTme5ji+/S4
4kdeZOjH3iC7tCfoHsT3kav2pFzYbrnnTXysGzI8abhzoQUHRAPXOx2q59Vt2dcWyQFo5W33ac0i
eSDRTC4Z4bXMhyCg1www3dHMU/9jalLxAPBQQq80U/49BNWDfibU4SMktrU8ao8UgHDq5sdpYQAc
sBWUk3f2kk7wdOVxt2aFSKGTzV4lcgH8BRQI9tsUsSY8DFbPaHNkV3uYy+PsRwZ1P4wQIjCXHYcc
oWTh3Dy4hSr0Sd1wFU9zOBYiq4evpJn0tUsZuZqScJ+hIt451GpZLx3K2RuSquUC6HdwKRWtozLD
7vc9XFcY+DaYCmu0zTr4vOpx/TEGgSsiGW5fYcMaIigKNOSD2zZh5iJmps2hmDIWMSmrcpeJrUZo
W0Mtb32YYiNGS1UsK23pJctIqy+NG80x0ja6itvO5UB6X+LVfyNWiFsWYvksk51LQItE5pXrlrSM
/UAPLJ37W10z89lrh5qMgN6u4FJQ0ECoIpUVzASBhXQfzPSQ06jtTwOAgjwi3fzgwl49TLWfVaHm
uXoeoZx/NU53UT466woRGt3kDe4PjGsGzA0Lz9VbwVy23vNoqtui35bma9PpLQfJ070gjG3MtV7C
Bw4S4UJH8CkiW0FcMtmzr1OWuOsGeD/MpQBccVEx58IGIzpSW10nWTBImIEV/2oCFDVlhvqsyeNm
Gu+TNVFHbPRJUnC5pecZztB76HSg7Vhr8xwNvT4tsB6eGr0kXw0Vzyv65OdthBX0NGqGeISxq354
DMipnlNrDygD/dNseIzQCjaCsVXVnJMaEQwJV4hvQB0a7qZY/sz7mb9Rp+mnxojhbdmW7YfFBC+X
dIhuGIQFJ4KTohzdOD+hvgzyeO2X68BM6stGhv5E21BAmQU4+bb2hOEsc9iRSCMz4EHwrJ1TEDOF
nvrmpGJrnqHtorj/JboMSU+PTUKnz8Dlxnve1+Yc+pY/dXBVXVWwjhxcii0XbXAnb3sYAC6NZet9
PwnzyWQZ+0bVgs0hGj1yI3yHxQNM6y5EysiVM+l6IVdHB+A2WX8SScdKtMdQWAL24BdbAA+BELV5
QJRL/ZwBOvk8btmMMIa6OmOxpTdbGMzQMCXy2HIRX4PhDmkxd7wts833FPPd9MetCoZ7BQj+HqJu
DceobsnRrM34Wc+WwYYYb9u14cxeQaikgA50w6eKbrzDnt25A01Vdg7B+RWL3thdtlQUyLwJvgci
ggYNuSlsk7yAUwy1bplaQNrZtYrpks4Hgvy5ds7/5TADytLeBsz3/z/uMkh97LOMlmU8IT6Jsl9M
ZaTr+eXvXrKMb126RwnxDy/ZEIDvv4JLMsVYJ2SdzfXIFxA9IVIv1ouejd0ddSx4SHsudZE4Uw+H
mmvzCIPh0h1A+fr6qpNqkGVg+hgiRCHC4JQu07Q9+qxHzstpLz1IyUc3tIPCqA1rpS4VenJkH4Up
Kpci7qxYbv67swhyPRGWa4gS8WpGIz6/xBLdn8E+YuBQS1A4VT1kRedlTtLLOHKkbz5t1ItogYdm
JNxeRtjsyEXGwAicxtb3pqyXKbZPHI4Q5JlEVctNbgJRtQqJSNw9SQrVTB7B5fYw+DDYTisazaYg
6RiR65U3ri8iAxz/Jm2xnZYQyG2IStrkZQPrWoEoMXU5w689NXetDxL4imDl64nrSuA0ndpVWjqK
u7t5Zk02lz5pkjYCwA4f02HIQG8WNvRRd2ChbetrOMqaJO96wLzFNruxz2nnQfyktlHnHj6e4VCB
KLxREjBp2TjpznCwh/DkZqROAYk1JrxQldGgI22c+jxawX4nczTfBjF3adE1AuYbGK8ooDhgdi+h
Dsz3haM0oUbD2zQMIqQHhJdFNipQwtXBUICbhxQNjqc6efQBG1IUZjbzsi2wk874wEAC6eQ3bEJj
lhxq3SLsqRrh3z+oLg3T+qAjB9PuTRgsiYXTCtlA52bM2NdqWb5sW109V7X+UnEdI0tlXLunFdqO
g8iEOREcHgSbRGJAf6XbVeuj9tZQaY9LbXihR73pPIVME4adLu6eTN8mpTGJz20mGfbXZe6+wXK1
HdOhBY1XOXEDhjEjReimdSw3HDbsnk81fUohIDIwbwLrwXzAhMmhh1u/h4NWDxrBTwgFStPqehr6
4cmO01wdrKsWcQHUuIJrs3P8Aq7IsYz6sT2qETlEvSLhgc/1cKVEHNxEyrGrSIO0HKoJ5DVHW1RG
kVi+9ja1p81FEdy/KQ7hkvBlnA4ahpVb6AfX+UKbVeR8WolDikDVFCyZFo0oqU5AQwpBpL2YEjzc
wQPkftoEonwFeO/x1IBfKw0WJezPXplbnPI4/GWi2lI2qC9wC+IRp448WkSlFLbX9Usjq/ALkDd3
hGiHnwbCu2Oq0+Y+aIgpli6pX5Fm8Az3NgBVNG7HNBLN52GN5iGP6TB8pkSYSxtRgcww5AVlhQQ4
eil0hIeuCBBu6ZYCzS69a9CWXC5rKL+pmqZflKjCVxXS9XoBc1vGehwuKCDjF4DvkSqxpyEPizZk
vEmEoKhbYb3dJyH7xtTeDPu+209tF01vA3IR4AtMJIhQgMlDcoHkKYQwTUa6GVzTNgAsTNcmLGiL
fSSHF6qJb1o9RW91Xc8qj1rcQ960aZ0hg6UbC8BfmBM1Uh8uusRGaTnXEHIa1Fqquuz0MP9do2ur
C6UpJV9w8K4m50G2LudgVkk5I93sDLNl9LzrBo7htiibSx/ouzh2zZtdMo3jAZ3ncbACaqhBxPQa
1J250h6iktxUKGmu3WT1m4pmJ4sJMOOSy6V13+bZY61gUaJPsxoo5nfkD+Afwcgth75Z6CVAavgO
V+k2FPOQjf5gkJCKY5fWM2yG6N/yAOXIXLZiDOJDMCKOoCDbEr/MU9t+TvXi4C6mU9mSYCS3doX5
E+xaxqEKQg2XJzOC5k4riqpL7H49PIFjXTco5ThKT6g4kABF4QIPCit2JZ7vSKwPRi9wGECRgklU
7LazhqnlWC0JqJROFQh2mGEM29tYxJ/5UUaoqWkvttd+sr26i4ZwnUp0FUJhS+PJsOnChLZCemFA
oqZnd4mliJ9T4Sjp1xay0aAvFuS2IT4KhJly5EbVQzLwAt22Q+yW3epuskUKO3fsyxr8VdbmFmpu
5st+8aJTVz4TESXFZNGA6ft2ATpEcweZN7dHY/UoX6tKsaEqVywV0Chw49De5ItDNuF8rFCr9Yho
sEH3xzRObokRxaBk1x/iEVzbkyARuJeThlAKNn3jGVzx943VCu+BBZBLwVxvLTgAeKENHv8HnKgp
wThOTe9LrmsXv8Zgmeqnd7A20DvhMLd8h0ajUDh9hRDUnbqHXmBnK7AOt/R7xQRxyQm66g3rbQwn
Lj/D8lwHdd5nALoCdLaiWRMcEdiO5xdbA1DIrmcUlO4W8R7Es8JWkx3VaQO7hbeFI68Zmjea2X7p
yridre+vqMXjbTkS6qNoQtDIRDvxROdYy+SQQKgq6SWxdvQDdEhyRo2D3qEajxoJDNiPg3koFVRI
NxHEXCjdNceO6bkEW56xk5zTznsNFHYBkioLSKpsu7JD1Tsm24NeobjhwA76IbveUPplBwHzugAL
tgiubR6ykbND6jfKTntyyovObPscQF0z76FjJMuZxdo5QG3SfSe9gmMf6vfaqMOQTLwuFwOdisu3
aAT5uMEe+1Nlf8lltdwj5mk5AweW1wNB2KWKEnvThN53B007iLUWDiJYB+1Tw92aXoyIA0hz2mvP
ctevqj+ZmUDF6DK99jDnLOq73ohQ2FoZbNAJzlFbznTzj5MMVocCIWgPqEDRIYpGx/HJJGzuStFl
7i3YhPMwrVfIJXjMlFRxiV/M0H8zBAR2PjULWoN+CxZ0I6YJ6wPKCTOdbR2r5XsVuB1xQUUd9cWm
6uoIn9YigmNnwwzinGjkfSEIAuYOzJPpHCLF73O7tCycilRE1VAAUJQxOtTUT7ddlhBbRiS28yuk
D5BN5EZDZVdA0zEuKJDCCLoigFu3FTrvLmcj6vAbB8LN5StV6SFVSXsZVAjAmCC8hrkC2jrdQboR
eTuVWR9zUFLBXJ/gW8CLSV0V5AiWGs9wxY9NYQGYvW0QLGBuCP5gAzLgOTd9TEIEsyCwyJWMiwzR
NdBW/AggXgJ42OjqOsA2PH1Bc7nWD2nTmb3qopE8o4JJLg1yveQbtkjqT3RhzeOwUnEDmWT1vTIh
Rj5bNwe5mrBARrZNulxLsj5nLrb3iEes8QiwsYEdTrsBu2nawaygYv4YAj6EMbsZ1osQoIUsV2hj
/r5SBh9hrCZ27lnTQJ5o4qdRVMNxjnrympgpzHkKHWJt2g0K/WnzOSxH/haeykiWkZ0WmLraHgJ5
Lhe+XFSJgTpt6jfIQSuxOtwub3dpBLrhQvepj45giMCzEgpjYVktdMHWi9xSoDCzTiEvpNU0oijo
/XRDrbbXVRTCKE3iSqdHCCH0p9UhMPLo5x5PCTVA+gUG+gyJDyjA78Zgr3injCFyATW1R7SKEhxy
FDXKusSB3kB5BbjkfuuAAORbonVyUAsEdiUlnTxso8P3VDHkdJCNdLpcqP5jnWo4x8XkCjj7/ecU
u8Vy5ebe6LIdl+xxis2MpJogjkc0BBIoUBcNN7QV0VVWtyqFTEh4uO1Dwa+CoI7efCvVpQv0BGP6
1BTQgEVf4YqxPXiGlPtCxlODBM2VSV/a1TdT3ppsFgdby6zF/mtoe9WEkY+Pc7LGL4GotbsFcqUo
wIAB4bOt7sLPkkPxkHcQYtwOUJiQQ7rGHk0Bj+BqGAVBCkoXNvUnFTuzFjg3UdWhPi9rJCxk+7gl
dytFfCNwl0Ege6ujryNUFlW+2PYznbrh1czDkNfIsH9MoaiEUKpaMOVb87mCzb5CbeWCIkDlcWMs
7D0TcJcvfWWDC9NgUZdGqvRutvNwOcdIkURHrq6BC6TnQJDsBYixTDENquRNRxtFQgCZHhfjows1
IdapaJZs3as10kE60wPiSacpO0+07pNy4wEKp05yd+rjaGkf4ZaViDzYptJgqrNipLE9oHwJr3o/
1NAGruFrLbx75WIOcz1ZAutkrJB31oo/ICsmJUIh5ucM5f4pZCJ8G6BAfyX4lj1eFAMHyf8rPDfZ
jQPJf9LIv8xdZr9CoDzfa4sMpjybBxJiHWz3vApgFDch6044DwyyQbKJlnD2XwFFC67XMTJ/bwB2
lJlDo4JUi37LXR0OL0HWsqempqwrGFD9C637EFQYlJaK0m/eAv03B6WBB5k3HFCqW5DQBD9L+oqO
duj0o2HTwOK7uUHIjztMWbZrk8wI/zNEAs433QiuAYTjcMc8pDT+tEbwakQlHYib6wti667ZLiDk
9vOzkG5FRmbPBnVuhqybWSGYIXNQZkvMVoPNS0HNAk4L+oiGhzIhJYR34YayMSNeFkYlSPO6sN4B
xUQCkouPjPVr9iXp+xmbyqhVi6SfFYG4BCGpSw+dQhn4pKogaGHQWEGOjDIeqioPLzQWDWTsLIYU
tNbDDzIGPp1KEJoQ6h0mvSJpC4ylrBTUQroSu4gccxDxSKeqqTYyPiw0m9HCSOoSY14GBCIvTQki
NkPfB8uQdIg4aobJDuW0JlkSHoimdhrfrNqW0Of4KVr6Yh0YSrJ80zV2hrOATbLhBRDr/UlYUhHe
nurKLen4d+RLbBHyfUW25xlBC58m7iqYJzTMVw1CO9oEuWc8S5fjn5OOv1nfQP7BQM3hlQXJCZke
hA+/UoE9Qc/ROM2/kQYukg/WO0pUDPrJ0K6C2nPNEC9YkI6ZKM1T08KIlCMeCafwTHuXPjc/ia4/
v69f2V7cFn5PSAK7Kgf/ChX47zGSMvawJlUy/a4GvXubunfhR6d4i4kYDKDL/oJ+/ZWT368IGzdG
Y/cOg/L9PcMPoGE2E/glfnTvV1zeVTUUwcKg5hHExSxEcAtxASwfsgFZ+f4q/i/N4T3N4ZffXPDv
aQ4wWoXguv+pBfiPPIenPVD/f8qvapjB4f8rzuHjGz8CHXjyN4ZXB6/1v2IbPjJYIfr4G8hDyEDi
3ZYOnO+fiQ4s/huHQRkbH4Uqh+7BrSCUf0b7778tKIa4KcHGD2covul/EcGK9fQrvQ8DeAgjHYHJ
N0RsCKzGvy40TiYYXdELowgNl4csZkgdYwadf7upQ6pRYqI7jh5pmyCheEAcfLh4foG5iqQrNayf
QGZ28HvCBgmfWHZWkmBnEU3TF/0ApjRN+vqg5uqx0vTM1AzlKtvj4Vn/slp1v0ZsztVaZUWgojoP
kwbF/MR4zru+zSemcECPrI2e5h7lltZRWmy06m7ZukyfesqhPEtnVkIk3X4nIHB8Rp/RkP1B9Yyq
WNgHz/382AxJfBrXmAFmbGz3CFWbvRx0Nl75tEYP4MYOBgq6yRL6S3ft1yS96EAAHRrAypfMCH6c
J0vRqA9bgkguQm5NEkQo0MHXlgskIF2eunGnU0nvzxvimrDx7nRDPMbXxGTnto0eNQnR7sCbcdMp
HOkC0GnjEAm/WxMPqlYeov5MHGdExRaYMMMh60OEn1UK4WDrCBEpoEy8rO5qQ7TeMY2D9LJrmqQQ
g0CiHkv10UWV68+upyHEixNS9xXK4THux3L19Qv3YfS8dnFy4Vi6fO5D8Gn1NPKSINBc3GpULeTQ
DrUE3AhZT0iuFkgJt6feUKXsQa5DFnzDaRemW45fCRBsR5ugAsxtP0xbQeIBOEzA5hFpTLDePsLj
l93yCpqiw5qN1OXGL+N66pDYesYm6tCG9yAHZcjSO9chVD9IZzLnXgbd/2PvzJbkNq40/ERwILHj
cgq19r6TrRtEi01i3xNAAk8/XxYlW2x5yPBcOxzBkGh1FwpIZJ7zn39J5QbE2KZpTTL3yi96M8o1
Vr4zitWA7j+F8MtzaocbA9CkNbZgkipZD03br31/3eQl4gIajyagXtnwi6hXI5Cdeq0v/LiWXv/a
WLH70K8t/FzQxiYz8mJDodjn8z0m/tWhhqvsJ7e2v+KGuGdGao7rwVnbXj6EjI4W75nTZTAfDQj5
AZKQMC+hn1pJNSprb6J+VJjVFR4DMHVN57m03b4b4nqMRGmKT03QqnsUm2u1WfK6o9uAA0tHYiRq
mwlskeArDBh4ZkhGXtLCzYqttdL4b/C5ggwi4JahTe/e3RUh9bbprPihLlOjxQLO7XDVLwA3Ywj0
1Q0qdYROVbuYt+s0e1hRGv4cR2OXNvVGyLq+WOh/j01dGjtmfnaCaGNcMJaHWrqxjV59KrIyZFjc
efZvXepY2zKpkls9xbz1YFbv5NQyQ4E0OB+4APMajqm7q5hN7FRdYj2/1O2dB6X7JVTMOzd+h8/I
xqFbKDcM9PuTlefxKWXwiQGib8xYkUvO8UQqdysMIVfmW7XPI18LuByuLZeNALPfwYaQD+Pk13cY
micHH+d0pCruLUBg8hSXrboEnKdy6ShgXs+7/H8PxF8ciALfkp+dh/+DuL6pfzgKv//IHyehMIlS
c2CuUcxwRsIx/acbuRA6y8bxvrMhQ9OD7fmHtxFhk/Dc9BuDfaH+f/51FBJ5hOERHiY+2TOobv+j
JBt0jh9PwsDluvDMtjgNnb/xMauO3kwV3ow0qYV1hJ3fLEn/3GD13ZiXTTsFHHJ558t1PBRobyrz
E9wZauyibqvhyaocufbM8G00XmUPhWXm+JtwDggeMw/swcNIIq8zQazCrBgmOPhVEEuAE+sxN+bZ
ABKC2VtNJxC9asC/Dfyulu11XbJHoHXKAuCLoK3xoMzVRWNUk3nKM2+5Xpw4fsrtroUs5H3GKnU6
zM3ka8kkskY3b6/yihaiytUoNq5bWE+pl611lKXQ+jlpZxo9FNHEoQBZz9uyX/FQ9koPV1MA2Tez
tQDhiAearvFAAai2UjlrA+sRJ8MQF7vyUKupPKgJKf3WDZvs5LEB+DchgSR5NCwmOlzDoAn32kUe
ZF9MI96f6DbTyimObdzP+3ztOVXArfnFQDyxorKOJxwf4/pVzot4mLElmg6NzJEaDsOEFyBDPBUN
ybJuhqLqt7nbTZ9RiCwv8dr4XtQnXatIeoC6DYDo8kUBf0frM843HSJHUR4Gy+sZRxbTzkvaTmwG
0V/NKDU1mQhuGEJjnNGyYnZP+Hz7L2G+qCtLzuFwyHKnk/t06CF3TSz1LbL1xbzvvGJnSaOuDrYs
44jNX+F3mksfnUCeG5E7QSnZYMzTN1tzpAtkQlaR0BGnW+ZrY7C35nnezZj0RTQ4U7Jf4P5wo5O2
dSMxlPM3TJjNtxUq9L5wdaBSEWf9Dvb/8lZhAmbtEfS5B8zJ20dR9+klEtLycwNZcBObk5ij1kgk
uuc0MbdW798iWcFQ2krjHRNwdHq0g4JFI5SYdklSdvtlYtCW+n14qzhWDl3cj5wcTnKB8bbyN41d
FahzbegvbjpSgOVGc4KzbZ1kBVcIj7P4N94GmCgoM8Pf42oSZHoMcioOiewstulsPM195e8ZQfmY
VNXx8Ahq9cWcXWM7LcG6xQEHTIo3IDs1PigyJBY1hVHiBeKq8krnokjd4BW2snXAatKLOT5WIbZE
6yQbalLD3g5x9wQ/q7/pAnP9vZRVvEWPtryMWVsd4xV+ZWQYZphvWhKJdlNrDLdLo+qbzkXKuZFN
nmcba8piCqoi2Io0bp69hBpnNkL8u8G9P8lOk4lAvsqHwmmtaFihtjCNPcgGAmnvx864QSlk3rtp
N0YLhNFw39SEFLGzxCK+POP+oyvb276i0sS+q/xai2I5dRQmkdJ04gkrWp0u9CU3M2eLdG6OXKa+
R60WZSxoval5+YReyY1qklXUNpwsvy+2AEg8RywwurQdvbt5gA6gg4hccPv+e5/631PxF6eiSxjA
z07Fv4cdn4PTzj/158HI6SdsjCM43UgqI1jjXwej5fyDw8/UjgZn5xXxz4PRsYjpgIJMiIx+tyGF
/7NHtHEKtPmFfmB+PzbFf9IjfsBimNrgJIdVp1ZimDhb6Crgr7IQiYa87cZR3RD8ggnYDJDLu49i
NyqI7rr3DHe5yNVUFzvTLOQrAUrTM9anCvlRWHef/nL3/g3f/mMIg74a6I6aH47JQ2DpjJS/Xo1D
LV2E6TjdWF0tbhJiFfAK9xvm0WqSCGin2RlffV7kbNNXAaamaHI44ND3+g7gr1+/h1Kat/yOlLlM
WYpndAyBOCyeG38VyIvVL7As6wOt/XzF9OvoShBSmZQXH644Y7KO/k3eIKBPkq2HDcDzRHiHvZf+
0rg4aSmRbzOfEe7qeyD7S2HahwoYGQfcqZHvqRoGgfFu624xtW7oi6rUhOrZuwXK2iZP74oRYhTz
uWELpy98GdLuEssA3IWxRfSusx7v6MPPn8OPuJReFEBhps+D8FgbuH38+KX8xWD+1pbDDfBB+NIk
AWajDj18SyQXzs6z6sPHNhbl559/rF5rfyHtI3/wUUD4RJCyFvnjA1xBO5U47ZDgGB6QpYIgeryB
f47EPE5ffv5JWtfw8ZNC0wJ7AycN/eDDOms5VdeOg/EGtrHzhiMGVtaxDBZrQ3e1Mzu0upFtLkET
wSOdq18tmo+4DN/SMi0XJ0eS1tkdPnw8eowM1A/CoU+YBs5qo/tWkFxdHlDpDzvmVw1gA4/+MJfd
DJe0aPyvDMAxWAgX50p5jLAje84hp+UQxJ8hPVn2Ng2W5WuLQ/CWOJwKWTwM0v7o2t46/gK2FH9/
UGhv2DZQjeAEA4D54/owvdElFjI2rsUYV28Zcx+iOIxC1s7GXjCvupjTrPgdTTZU4bVDuwomnUVM
0fxv0l/XJlrSxGeCkE9fMxSP75Pbpv7Fzx8xkqaPDxnTGBaRBxsArw/q/x+v0uuDzES+bF9T0bVx
GGxlmK4HbecB5DONI3rLzryfqsUdMYVMfXgXNYVj3x5KfdQXBIs9tJiXqo1fzsmnOa8IcRuYC4D8
tM/QPINtjCAzGs91BMN+aoo4H+qbWRcanS45kkRQfTCwphKxprQ6QgcsH6w8uUugd6pNOfrdjaSK
ked6xtOljcjo6re9M670x3OQX5W6DKK+dS5SXRqt5yppNlOGMKz57GSc66hZl1RCF1drrr60A1Ta
ETUog89K+vt46MYTZpjWU5di83qIfYN6bU0LfPjPVVxWd8Zvoy7tWthDJ+TO7Ul0YfmeTa3He6/L
QXJcqAwnXST2ulxcdOEoHCu8he6mdoxcur04V5glyjj4pmB/XTTpIrQabMrRNrxNY3jOW1S78shR
Y80Rmn26MemXn1VlppdWH7aPQAGUumFuWFRM1foWeE2/G0xF1uhUBMneYCb0BjNs/oaCh/oZvQ21
dH2uq5UusW1dbC/nurvXJXgp7epIWA/k+3OFTm1OtZ6fK3c/nhkxnOt5R5f29rnK76n3E62Gu591
E5Cd+4H83BvY5z5B2b66IvhnLWM0fJ2sgHsyzdV8T+OU4LXXYTaUnn2HPVt588VaqlzaIGpyHFvz
RhYSSQzcim49oP6RMTKKDCZ9bpXNo4n53ylfbGykR55BDJ/QxJMeZk+AqUis0zRlWczdDru8xIz6
Uor4Nu3I/GqOxeJjGL6oMpRX3iBtVtQcNwKj9JGzcO8ZaR7fTrw6XhIBrzC2FjZuf3uyS/pww8wI
xsBOQa4j/jAktHazxDQhaKViDApIuZzj/Vz6RAINMVXB3q2Tao2ClfCKqLYKSOlVqm24p2FJBoIE
DKS9TZIF3wwAnczcmo0l0Y4EY3DjUrHGF7XtS9/No1oN3bocB1qzHq5lkvqos4eJYJiwH2oc7kuv
Wo7mMFRt5FrMryNfuUt56PFmMSIeq/XJaCs8+2EzFTQoRWUat7D7DMj8QGGfCJoJq5NNEGQJICu9
h3WUNtxwmCDiMp3TwSdiKKX9PcT91NaPHMb2BYM5q9iPLVewayQRertAqJV5Wk6QzXUVIP/YGbwq
PcIiMV70mDuX2yS2k3HrI+SjxTwbc9dY965fmZGGHvQ/CTUSl6q0Owkq/iMTJ1JX0N509jZrsni7
jnHBUHfu2xAbmzl3Ihvt8cocPV+NSwzfnb1oYwjwfhr67U7gvdmc0kzMYMKhk9IS8N8BwDF9Z/kk
aDIVmRjrBrqd8VvPuHnBMIH3yLoRK5ad2SaYHMN+WsrZGm+8NlyaLfijvHbHmiMpYfTGD4RwwOw9
nkKifoXIR7JNh88KUaazu2aX2JrJJ4dp3purYvg8gWDx4q+ATGs3eCtYAvwanXxg4+cWMdncZXjq
vJbzTGWRJ/n0yNRx/r3tUxti35zEhEO5OMfXQczvccsGV6VzBBXUSdu5H3SclZAQ5Dazh3FTJPGi
UTscPPLs2MNAhQnuQ7m5Pec31GanF2eedwPRFwP292pxSE0yOw2OpHPNhTXgvuKSEyx8YTbM6q7Y
JQmSFaGi7R3C2LrLiectHqygJnJYOfk8XksldfGZLurOLQhm2jVzxUc3zUoYhLIquaJr8PWX1+lZ
M/sT1wUvgpydmm8xdhgwkApC+lEUFhOvTlsmRXZfYzkE53ekKviejCQsWae3nXAWRvV2mxImmmJq
Nl5XxD7pzNyxg+WK/NveAcNbetPgZYr4RmwgcPx0nSzrilw4O7xA6EvgKq49BesC8vTbXENhg4oH
rG9LZQ6XCWVuDiaG/PQx4LQgfcgUN12YdK8O4rlOO8Nk1gXZN+FIBiVEhO3S+x3cXPTFh9bitmrm
+cI8oXDv1DjASuowGS4+zWBHwxG2b/UNVxK9h2QdSR/0AYG9yxBTkciBE+snw4yrfTW3CXMeh21u
6ef0IUO0dwmlMne3rtVb2CWUrsNxlFrhS48bbbIrrZrXZDViOzw5TKi6rxUb8nIRCJbUDqEGayR3
4QfuYQxOOw6ZubsU/WgxZwlLOXHS2pNJ6d3lv/UhKjhjoUy/WEPZi3dUWcuAF7nwJ0QfFr9KVUJr
eWZEraeWxzIz5wo93L+mSV6rxYcLNw3dJvCHo1Mxkz+us9boQace1kNbFk1zXXvKuTIkfLNd2tXV
dJlgX5VGgTtU6ROVCME0yC8R6vnZMBEyPBB+HM5T0HEKLN1jCT89+ywaskymDVqSYnluJVIAfhn6
FdAdaB4XRtzOvwMLGROWQYNXnDLGhvcKvGA99FDAM2YDGu3LLJnbd4qxkntTea3mmbeT6V07IkVA
R2rOPOxmaPEoSgMiviDE+uRwBMNQ7oSyVb+dSvQkB7LKWP0FudD+donh0EUx8Gj3CeaPeMpTYBBe
hyx8Ya1Xw10dgobsR6sNMU2pUvj5anzFFWsOCMgtJv+Z8BtgyxlproNSqMS7r4tx8+VwZ0Xv2szm
adI4AN9ltiyaK79vU/sOUUXpnbCoC/leShnJddEbOtJmgJ1KQFY1yuuyjLn+Hhua/ZAGRYpq0zRP
S+fw3i8e6ltAxdS/Plel/0VSfoGk2C4xpX8p4P82cP/0htt5ncim/mHc/v3H/omlEKAgbNf7c+BO
g/jnuB0sxYem/EdGwp9ppwwlTMtxQhIkPT2U4BL+HLW7/3Ax37ZDHHIwv4UP8J/AKD82RMzsCcVk
ooXBhADn+Zsv6Nqs3WgMo3dfTSXlUJ2p8R7SivQ2CnPX3/5yY/4NSvJjX3P+MDoaONEmnk04lzBP
+StIkrjKgc8vnXs849pX6E/W08LY9KXIZO9BYzLb14TO9y2c8v74//hoTdvR4aMeN/XHj84MVO+y
Ec79GmJhVGMpA2a0YNqz80dPPOGlwnk+mD3ZTkOMZdgvGk/96//Vtutv7lu4r5KSEaDt1/SIH765
ZWdJzTDWvi9xR8xgNUHnikw5ru1F1uiPU1q79vOv/Dc72/OHslQc4cOj+JtZSd2SIJ60oXXPVmTB
S8Ae2Ko8th1tQPDSSjLHHPRXhNCIsR8QR47y3dOGt6XhcR86wqsPrZ/k6jjgphfv1pW8LoJIOaFj
d0LNNrUxYBDzN8rmoRUVE4OyJkbs59/jR0zn+73DV5okVcsVQH0fgKpgDuxRUeDei9FgrYwlVUw5
EhAQDEo8ldnSXMLSHd5//qk/zt3++NSQ1wO4kg8OPzwxzzD9XLm9uM/FJJ5qEtYRhtbpNzNX3f05
sdZ1WnHj+rTmqH7JMfr55//9xWTsh8uOj5cf6+bju0IaN7xbtNkAmYy8Mv3CLCEQVjJ14hcGO0Kj
Nh9WJyNGjSmZfCBDzR9XJyxHiZ/oKO4daJ8PRpvSHk2ZlrhTxA7vqnBQEZuefjtNeik8CnhZDBTt
d3mRGr943P/ui8MoY7ckYMD+26q1UFqEnRmb9yOkjS5y/LhsmHBVQItZXYT/j5fEZ9vjveR/PsjW
j99dtAwvDHuy7nuUDNsa/TaVkc4gGnUWbNXnzgmmBvFwNGvlJiRb7aaaQjSpMBQgBoh8bS4Nb1KY
x7ua22JaSDMKxpZCkiCbprBL+K05b5kb1GomZcYcy/3P18qZd/jhAfoaEzQFRwWo4IdXJMc8FkVg
KO7jGFrnfvWJsjuvGyWr9rXvKyMqg5l9b+EGnpPtEhIP0DAtYXdsF50xmxVOVx7WeSU5T2DV/I7C
9lfZV/9mF/QhkmLohKUTg4UPl2koC6eQ2BH3LiEBVCn6Nou2b1+FSZglAXy/WtnWx8WkZ/cOXFwb
Ppn2bvrwiZVMrNwsluF+hpl76crKfYtDpf/Ato7AT1vd9bZH6kqcxdSd5pSn9Wael/AxG3FZQAey
yHfMalnpJjuAiXn5a4Zd0RXROc3l+RYNnBoe2JcOUUQWfrkAm14ZmE6eLJ8vtC5jc/nzx803+PDC
cliDM/s2KxcYE2OaHxftGhSh32VLct+wSpBVLyujZt/Ibzu7XOSxntJpBmFlyrvFchA6LAriON2H
aZLlm5LfbUYLNNbIyq1phx+Av5/Qastj6uFTjQYkWeyNEbvxusUmI8S9IJ2N59aoErk1/abpN3Oy
6Ai90AfbB63mzciHedxxBAC5FTmRbw6cgHuYAullMFT5lVUFzc2Ux363DZoezKu1SuMzzW9xK/DB
+2IWg9iW1AGIP5cVKdmipvR9cZvFu5BLWm8zetbmAjuyysYuJW/vOjMlrEOlIfNVpxmIImSg0dFw
+Eb7MtbYlGzt2Pcfw7BLTQxkk8Lb9NaEuqVykx6OAMMPTHClFfxOAgduBXU1yOK4qlUCXI+jAwuI
gELjFMMRubKSUQ8RpvgCh8fwcZknGBM+9p39vaFxNlhAsnajbrCKFCAJcO/OT6oSa1KAjRgr6jl8
SdKRY7dgjfjLyCvnNYSPd7ijY3NcMsPyIRZxdUh134bQoUw4TxMoAdmIwTIVCqOFH4OcTesZ6/iS
AK4zMiWBTPIqKPxi5GQWqQjaaK1Hohcu4EHky7VnN92VocJA7JOlqVLkyZkKTk6SpfhvhvJLUEMK
Q0yamgczy3tstKrkprecft8j8Wq6BtdHgn8+C9yVL6wpUFsmgGgx0DBEbqbRCXJR90gNmt+qcMBV
Gc/PTee16TsLRX1NxjiXgIBJDcOAxxOlsURXlTA5quhKIxZWZdoAErVSwWYxjGUTMGBywAUj5WZJ
+2QwWC5g/uGo6VzUNU67T/4UI41lAZRL42OPUQWahLcwfvSKDdxW0lYKHAlnCwvwwiHEKNVyT/w1
iVcho+IzylzIY1VY5KjUFzChYG+YuvhZXXKyi4I7jRN+c2kmAcUQOzjjlmDWsFA5E6pQJXH5rHA8
Q/uO8OEG/RuYxeTrANUQn8JDtrAqN2mA08YedyV+B04x7SuYIE/WEysPNcsbIzJhYm5n/MMJVU4G
Hj22Da995iT3ox+sMloXQqtjd8ZBNjOpV0l1ZjeqCNxW8Rq+zKj53gcCd0/eSFin4bAP+U4VkuBJ
L43GNgVlqirNGllgD/Au2y4Z53hHv4we4qBiwSalqKHfdKar/6OmDK+knNif2c7ieFM6YZWAe0v+
JiGDYtgAD4ob6Kb8BT6MTbEPXG4OfHe+ksQod8DIVOQ3mJSyxeDeElwlnU7a9hv1AG2eQz0z2FHP
eyQ1XHCFDwTvRN71x7gJhvcu1Lcy1CHiAwRX0CV9tdU4ks5td466ayg7LRSA2XKHhph/xBLY6W/r
quiPSQJiNa48kcmhMlysWTxNYiUXzgInGhFavdhlbj3lscXxLBW99TlmebG49wLjTAJyeX9zMItp
eM9A1x9y/U/MPUGskpzq09T8owBP612oy6NWB8eeQaYcFbSNKdKwPJwLhbXoAHHOgYuWor6HXsij
7bgYZQX5u4MtJPfCJ2a56Qzzxkx5pT1y6W6GHpDlimXEs7P01dZNx8EzNP1xiLkiMzcpwklDI3ZD
FO0rgjZO86WwyLCPrZAqfViBK6bGW1CUDsAxKBdzKqimmQEcOgwkquhc4Iy6VCnWXL5/b37O8Ysk
BGjI010cONFGAdXDb73RuQYJCa7SynXeUh+77wPHDhfYWow3NgEsqXwHRhj/XhopH16fXyERuyCg
k+p1GcTJg2Zmvsc/lWD3cOAZtXGg6UvDe5gIDuDacdnbGt2qFGmVHcQiKAxA1k8eT5qhqu2f+DrN
pT0Z3kO2jMuygVTL1cL76o/zzIlLrhJ1eV2KGzPJOZmA9vnN+US56gB/j9ftnBjpsWKgQ5WG2TAq
Y21yuNMRmlcwcFnAcJm5Z1IE4QsTBf8pL4Ku3EkseA7w41kjZVq6b2k1c0/hWfP9z5tAUdrqYSFz
K4jKIguvvIUwbdTUvHCe/vhqBr1FCkM5JkX7moumuQx1QjzlPtLI2OapZtYQoI2z9X2YKUGB0eIX
4loV4C+gZ48Y6rIA6MWdN1sNiN+4x5P8M3Al55XoqFwMl3jd67VBjb4Tfcnmg5Y3Ge5CFQPlBo1+
QHnnsDWhT+uOJGOFL5lcFab3tKPDbvUkRZE2eW831pxUjwTTu292nosnywjoAcKcNgQ3IPE023pq
gi+mmDbs8yGprlnYvsJe0+itmBWiLb4hJxE1MhYZ4G9Nnx3ODe/KsB5Q3uYVTWhRM7ZuczPT0j6N
HX/Z+NARdlJXaSvQOzIgXTGej80F3dG8bUvGTTbxB4CIbhte1Ra+OvloVVtAaDoZfdeQuUM4RKVW
ksWgLyf1+BZEYzlvrR6kRLVOmi2LmtdqXex469srE4ChFAG8rYTtKCOQNrLOkaSw61x7w/gP0nBd
xOohzWLPxqnO7444jAExYudbug+oAus+qmcdsWz0pvvm4GiXofeDlVArk7YVS4ZT0TVGswvJEy8v
qsnjp8sxtbpHvEtmlkhccKNXfbjga6r3PkVAyqFJSF5HdTAluiVn8LfCWGRNnG/A971IN+5TbrEv
6I21T3xOnPPajQm0wFdDtiS7+Nnye88xdH9en441xoccIOAAN9TByXkMWCI4SPZHB/nxRZosffDH
gqjmKvjW+hNKc+YDPcm/dbgrMWZ4SyANPJ1XhYfAbN0UFvaaJGjxImtaDExpbkIxGBhBoFTD30G6
SNOiZS2MCMcXQIje1dnjmf5Cxlyx+rLeJbuNCe1wWCiEevxpLCgWDl+BJSee3NRr5q0oE94sn+yY
BwuFlL0n20rdEbTLbm9n4tb1rfWeTp1FbRoCLFvObNrnHRD5B1O3JkZtF0myFzi+Zc5dsv2Z10Yf
QETjJLDb4OpLNoUmwch93xn4tu/qc1J6PkpeM7vTkyMIoOqhWpzeY9huh/DLFwo/N+F7j8sUsLrR
lhjb3OkV9nXUQjjmiwAjGTlOjErEgAXb91ELYn+uwg0k9yPJGla7KbBdfZLuSBGCDjJ8Mec2O+BW
o7+vH853DrYYj2OgqlvLdr+k2KLhcpIPR7fExMXH9+2SuVH+LbGRbeMSSKSRR0sdTQ0mdLbieMyz
lhMJl7w1kkCeRB/ki/eCmSf3OWM4t2nceVUHY8ztvVkHy7RBHInR26SqU4Zx6rWN4zGcoMatTnT2
6liLtl6ism3r67ixm2+hwphoj2CRzZAik2HRYMlgp9SAn1ynN/+LPNZzWXhQ1FSj09DBlHV50sPO
pxqUjXziksicxyS3eDx91fJnh0QSqS0JWXcggDAY7ZkNh9EKk4CJGgdfffXQkfPzgNPX2bwRJwy4
M5fnRrkgavwSDpkeZjHLiBHfc3nx6gM2WQ31gRPPXKk6HyYYEbNjuVlTfG2oMTldwhaVuj7DsXqO
X3DNYQWdG8MEt6T2oiyRrSPiYE9rPOXHl+Bp/dFPG9Ktw8Q5zW0IX0y5IfHpcni31gU7IbtwTvRg
PNfaszg/+5zDbawSdqvVy6yniU+Ozvsmjo5sjiEH5m7pat6JUtebmjSCHjjAhzNuga9gdreviGSI
BZDse33HK4QcnCI1NooLwuf3XqJ3ZhgunED0dunRQvb71Zk8xmpuO/LGnYeWzN7CK+N7hdGBkRic
zFVRB87J91fTP9GwKXkc6G82wTgSm4lCaV86lhXQq0hY28Uqnkj0BbJzcb2JwHm4JX5ucGzEsUUn
UXkcLB76lSe0PsiRO98+ta4SN/C/9XZwLplds/rmJUidQMkqc5/gcxTscOG09nxy+pTi5/esUm+9
Sp0le27HpNhihxCyO9PtYFRYWiPMCa/C2GHB1e+OfPMGidca1sHO7m11tBLX+DK2tvuehyMDcKrK
b02pBsrtuUw21FUWyMVgwsofmkMJuPLZ4XJhisQxkv2uI2V31zWqu3Btld1kfhtsk9zLPlWtTB5h
4KB7HpnxbYvBNYkTxRUgtNv4OTX84kvTLfwmtzazgUq5DpO7FZNbPBnNZBYReqQ+Z/ozea9nWOG/
E55fTnjOIab/t6TyJeuTrM7efpzvnH/oj/mO7/7Dcsi6AigGbdKjnH/OdwL7HyTiOForeybR2mA5
f4pIwn84eLiD5ZjId5kOgEH/MeSxPbiyHgN7X+eGWpb3H+kpfaEZY/8CCLkorW6BnXfG0RmCfACM
gslrmmZJxDHAEBTu9dQEEa4jEJDqpcO9D4+AOv5tqQOXYjhI0mdzbJPIMQHNIPyNN3bjZfCBJigN
PuzwXQ+KfJcuCXalXl0+NfXCvgnMeupi+YQticI1duzeTLstetwDuMHPZNzXL5YGRVvcaEE0aFbe
UVI0l40uwJwFWO474UHpVsxuPf4jy3PCF0lE4NdC+eq5sJtKfQ39MPTzi2xw5hskAru+gpmRqPzS
RGIWHDwi1KhKnUTmWAqOzs1IqpbYWmljPBmO22okop52+NokG7/ri81QZZ2zpWxQN4LENXwO0uC3
sigD6xJZQMBtaSwd6zQnV3kL7DMWHrJP07IbTNLm2d2LznTIPil+d6q1vkxwfuXcXp2t2zvF5x5i
HZV4jB7D91yqOnt+OfeiAD0iORFNliERrNq7OGQHPaiYVt5Uk/GK9VO2HQelnlNCLrdFRu+5YUTd
+S8MaSaJilXRwaz9StuOqxLAbxwmml5EVWjd4rrEqMdwqcjwpHDeRnKSVgQ0wMBOAoJJoqZ4whBU
3+VCcC84ksRTeGavnLvmJJN0QmWrUQFpl9TYfUMtOtg2h7AvB2ohu60pWgN3ogcPUvZiit2O82eu
AT2/9x3nfySknTI1bj3Kom48l3xpxc8QZVH4V23NSM7CMBGFKUqIl9zBGydyNZwhIfjoZiuBHnU+
JIOmABA4s3sZB0lO1mCCenwGC0hZ4WtU40TUl9+gjFQypD1IOXdahV/BAe5Mz+BcDStdlYYQcIpo
Lq1EcPQTrswX8vVNsToCBC5lsVKNGIGu22fRge0zCuPuIgFq4f9UlARJPFE6uktv5xhO+KWDE0Xj
WTf4kkE2G0g8TE5S59BvoEPL93PjlxWaVPRHO9B0dNFlntMpNUY9wZRg7sTnYcGiKw5Pf3kwIAov
2FzcwX5W/M35THTw7DwpdW59Bqn7LcKsHAMOJL6qlnkXZJN3df5E7AsZltEv2ydcOlmb3UR6RZRD
VnqZ+4K6GSk4nAdnJrzz0PfCeTOxsAi+j0E8E3yeegGciwEH+EqWu859kpP4WdjoNU+ZnfXDLvZG
ipPO0kzAxC41OKAnmkR6e58cmS/Gy6qvkqSdMTmWC6awEWNSLtZtPVaZYdnEuvdljVlCMVBxY3jI
c8aGo1sf5axBJiwteaTfYSfaeHO4kUtIe+wBxC99w7+HeLzmG5xUqPINDcEVzbmcr7rs4M8lO9QZ
Y3IqUyz7DCOib+vqsiJzD6UUqDcERuxraG8PzThRHfqiUmOUtoWKlF/IGRqutR6H1ZsfoLequwku
3avNSrPxTMeFiXWKL/omdGAPy2CMmtYlxNUl435C9oNwdqzqBCixH/wbT9c9eUhzQIHjpXD/fAHQ
tCAtLfuhfZXOOGBHnlvqcWIVH/I5qPYrlIDInBL3fszk8CU3bGFvSobPL2VYqseAeOnIt3oWttXP
PV+GG3DlmY7Bt6twrd+sjVtjRIHXkY0kDmN+av1kWo84X/vHmcn9F0Jm6C4ERl04DFNnszkAuZ6S
RM/BIM/gEKnSmPxVnx0EY+GJD6zm21m4zg403EJ0LO0Z19kYQ/iqxxWd+sc+NGWQplHPiXGvW4KH
EmgKN62izOlEitR6Buvy9zAHl6+OX9kXcS+zYz4F4h1CLuHJCRPgvckWeNX1XvbV7tT8NLrucmor
yDRLDvsVtfQzJX//kloOaUNdgR1iGQYZbaOBg5kySMPD0Iu/U/XeDKplVyfm+pUpSsEbMJfDZeDi
e4k0zsf6q1pj+3Up8uESU1R6IhQH4jSufXFNhhk8LpAm8GolYWBltApXGG6ivu+rryhzUuKIgn4i
MBJY+aLGOuymnI0HUSHO32F2gGK+CKZBADqwm9+vjp2eJjM8yMkjghFXp+3QFe31jIR9UxhjfEcY
JbsJadXErLbjA+7Vn21KwUTn4a3JAejLvmqL2rSeY8ZcL3gB9o/Yr92l7tQ9EPcGkTYZxANMT/+x
9vHXKUclg9uOefAxw1hVh/+ZnyH5qUsnDp7WxPI+jfAKD40iRv6ApzEufTy3sj1OvbYVtecj4yMg
xPZ/2TuP5byRdE3fysSsBx2wCWAiZjG/pzciVZI2CIqS4IEEEkiYq58nSXV0iTpNTe/PoquLEgsm
keYzr3FvFRrsG1FjaLyvsCKGrLhW2yXpBhuBadTIZheNvAopMwTOvH4mWRwyua+wB7J3AI6nL5gP
1cjT+vg3H2yqvDVeBZRHtpbjo6Tmde02mu3hwcXL73OO+bfiKPTsm7GAwQZUVp5Rx2dWT17xZeZ4
v5iqcbweXPuLEc66kmpFr466jxTbELLaJajOYgdW2P2wxJZ/sVAuu0O1ffihMQH6slCs6p7mwa70
XS76JL0Y+rU8Q6+22cqu/0RzKrkjN01wwiwTCiLOfKkHtI8rqOM6FAhvKs+66ftB7BUWegvtmvp7
NUxUXdccVVW0Wu7QF9SfsRZPdikNs1syyOBmHidkTMsmq7sNTU15HVpJeWUnndvsMvDwd36JvHno
j4g71hXoQV/M51LVzZd8RD8oaOVjAjz7vLT7jxgta2yJmKeUEz47bnqG/6O6tJBS/DRNqYcuREnv
y0mUgxBfll2o1EdVALuDqzHsT4DYkL8IXRJ7G54EEHMJ2G/KBp83jJwtYmEeYGHpIkuOkiEFHqaK
nWeX9RS1JgP9KynAN6bgnum4tT51sKHcibmqdg7ZKHuh9PfZLGJOipgeY+pDa24E9f4D8iP2vHFd
6d1FqS9uKbIMH1ooBRz0jUY/COOEbbnOB2QZ9BUaz9BVx/RR2B3aFb2V7xzUurcIoAWHGGD7B9JF
jYoo4cfBxS9yhypUgbArujSbcRABUpgqy27rGfvlEtrMg933+mLBwekvq+c/1JgfXrED6VM+KyTX
ELi+8wYbjcgGFcbd4KLX79Vrd58FdaW3S6Om/dg2eQY4t3XOR78Y73Kj3tQn4iwaiuiyLdPl0VZV
IjZBPX7MxuxTAe4YtXonIqCYdfqopdHOUzOqJJ3yzoXExn22U4hMcRYd6PLwHQYkIVAqru0YCDsI
pv6ASFPASqhRdJfwYhF5HTkdq4zuLZLT1VFOfvRRxry4lnP/ISna8AAZLin2HIfTKSpUvuuMpkJE
z8eee+c+S0RDK6fI/N26pOqi9RcfYe9sMQLifnug8zR7mHTH81VYz8i0huw334puFD8ihGH3eSmC
9ZSBGn+WIfXRuAefX5nQCmI6NvV66TZ4adbttqoLsc+tDt8xsOdbIPbj1YSBzS5ZqmELMlhj9Ru6
F2VR62t6ItJ75Hwrrwa0yzKKkPFc3xag3reqDNr7sZ5TcV/FlrduA0zPNnooCAsoxn4tHdfGxpra
IwvIJhYshVPeUEj4kKLjetmUSu1pzcbztsBz+U4RBly5VK/YeRcv/RTWuml3q4eoHPJUn9PRae9X
cO6IH6fZoSvH5TJQQXDdNVmH+GzXWbuxDdC0a6vhYna65Qj+dL51gkE9ZFN9jiXLhYzWedfFbneD
eYt6FuyWR8Bh/Tm6EQk90ugjgdp0CBUw1bD37wq9AHANNN2VQzHXaXWu8PRzDjn+Awu1c3T7Idc0
bYGon1jvMWKUX+cSF2+mD4TmjWxqin0N9ZnGS9bLEj31+nnRs7q14mW9wf60z/focQXj12iQDxLp
0DLc9PkIB+dYW2xuoFPFscu88L51qr8k+r3ZRVN1YXLpNfYTFBN5NaPysckj5sJZOeUJ37lYSpDx
RRbeQ8wK7L/ymn/rp01fNsltKxVYWKRJ6CRsAzn9RTuz3fpeH6XhberK7pbTD/o2J+j0B1ygSXz/
nhjHdmgAlnR2MFMjT38DfSoJlhJhcN7BYlKnIC8McRM5lPTsfdDGr5CNACQnNzJkjog02HPf+vpE
PcF8R6Xx9NI5Ik+lgYN8ELEanwGDBOxoiZzbmXh0ZcN9re08z/87/d7evr7Q/2jG+hZFu0H9n//5
+90NtAsnMbA3sUfP9VfAiLSwnkCIEyu/QroPYpqiHeyThVCi6k/tbHFXMYTEg69F9/df3fkVX2be
HTqwC/jRBYWIj9mbQZ6AriMH1LcnhQsGmPAppZkYlh19zUKRQWEoxcu/9GuHVBKu2H0zkgM0aVid
Uh+U3/sP9CsOyTwPqF4PQK4jwM/6b58njadxQZSIMmzfU4H1KD+gdO8+rEArvsW980cs368wJHND
HzBfAG0ytH3iwzfAV5RF4fHaqj1hikN3PSMTUpzGT6UFZ3bntuNzViGydp3qaPTO+l6gPLjFOzCr
r4qggKxisZvvRdfQ5X6hZNSWADrau7TtdDYAZS1bZpIP65hYvRag71Pbi6nioP7xwRUWDdBupjue
Q+H6jBR28NQGeho+KHhS6kC3HC1no7Dt+V9WksgSy5SZbD5FBJsELzWtHI6JBzy2QIJUi/rGPtH8
iFbdfPDilDQONWp+/wXCi/bdPF+mJMSWOTBtsmrHSu5oK47qgH0PnZzIdAQXI5J347fIrB8BDMBC
UU7Ufn4pgLxUgf+7vNkM+bD8qbyJsgvz8d+XNx++N9jyqO/ff6lvvv5XP+ubkfMPdDEMTpIZzMV+
Ytdj+x8k6RBV2dRQu+Gf/6ptin8ALMe2kHVPhfMF8fzP2qb/D9q2oKTo3pplSDHyP9CK81/YsH/f
wiPjkIimjw2r16ZZ+mZ3CSm/WNkUNGcWcrgOIhdhAi+LwHaCgTzUwAI3jgjd6XJwl2Vbq27ZOWr2
joBKwlNX+zk+JIminR6EVLc6XzzMpV3uRW43uzQVKthOvYd4lJg/1TMeC7vFC7ynOG2cM1fa1XaM
g2nbZSkC1kn4DQn/4Ux7Kj0GsAZ2AvdKAm1AYSvCOcdF23TiYg8fWIDo6oD4BubJTVQCoFvaT77s
oickFOszvA3Wg50LGtFhuLORUtxqjAFunD6JTg18zQcXyk8OW9GnCMZ5037KnLE7utpaz5WuEMUm
ixNfkyiU6KnWskLwt09TYmYESMtiiC5Bbdj349S7ADPCOz068ZWNXs8uqtP0S5VhZhR7pT6t4Uj4
ldMtBFvaH1EOaU5T7m/L3lvuWtmGZ33jNtAzkYpbR+3cNGF8njbljlZQeWtFibVBfxoo1jLh22wU
o8eyCz70ttfsp8630bn3fdyzZ3U2qtXCXmZ1zn1wxeeVauS+dDsa3FaxmlymvepEhqEFrmLk9NM0
PlDP8vcU/sLLNEFlBkh2fcBaK+Cqar2T2lVXYW4lm3Lk2Jvr+XkpRzKzqUC1NSzV3Yq0+mZaREVg
3WK4K+fl3s+L8OuI2g+9yy8oG6ujI73iNFLeMOiP5KOO8vaAQpj4RhJXLlecJsVVGmDGUyGhhuQD
sNt9REawy7MIYV3R94dOoPm82I5LuTRwN8jrEe4sffwV04DpRwrk9LDaDXXzLjGC9Mgz3vnLpKrL
pZCPGRxEZKrb5ckSQOQ3zRrYVzjU6ovIUAnb2uYj5zF5tUzRYxJuEu2ytYzOE1s0N56jyWIm5zFD
N3nA1MvvyPHa8m4GdnROHIikEefShd/lAknsykdAOXesOjyN1pgvBxBrVP9ilO3K7TqCYUan6VA0
Lsbuq8mcMl8CU3K6lMZX65K+jxGs2DUOcB/yR7vZ0m6DODqh2LgrOiqNyqlhPLhrDQYsOMVBV24y
0GJXvXCf2pdIEvgLUaUkvhR5H95TKj8myGFYZ4jwm0AUWnRBWKrjqYmfV/ymiVnxC0dNjkBWjW5U
P8cv8a1PpItW6fgY0Ca/7aOR3uAeXekHP1HFPu5HZ59W+PdMLXUsjLwUPTkJiPVezhbSxlu07tKT
9FH7e3QpqZTzLrBLUK27BspyeN6oIFLWrg4K10aWTzDuNWZFh0QUJLTwhxP784piMK6K0kqvO4oB
4V92EFFi3it4ZXcNWovJtyLpsObJ13jDDodknG/5e3tsPzBzAzKyuB6nlxJ3uUXSigjKHuLiKwWC
xTpFjQYxELRUmDYtPdcSJNSLssicGcRWWscfawPNKCGJMFPshZ6Dk5HDbqCnzbfNEPrfyOuG8ugm
s5ancIHmsAP+RyoIOTuJ901gkNBrlRIk1jNRgJeuIG9x/6Aa+AJBYO8jaBtKep949sEAxHI5L7Di
gcjb3oSoU7TC9IMyb3gRALF3bautTRrOCAyDehM3syl9IX3Mj1ReaG8GjDEoyWR5qCb6MD1k2R7p
xL6zt8iPT8fC98QVhNbuDJwV634Okl1QVv6wdUcvPI6Omx2bUEfHFpeA28atUB8Af7npUX2+nLMg
u0hI6w5YvYOlqfwoZFGBa+x2I9r3m6EQ7nkUUvqyGppIZO7sX6nI930KtPVgwwf/QN2s2AtXrViY
IF5A5b5prsNsbO8j6kDXg+j05wCUIS5AXnyx0KGHo947O7wuUuTGhhUptXWs7E1Nheq5W7qvnFH9
NSGYOEwh0I1c5wgqunZnf6D9kcCTLaLHANPsO9+3Eg4HYBEVNmU37RBZKCgu9rlu7OR5dUVwu+Dk
pEL4nWydyanmUp/KkAKIquPos6ad0W6GxJUnBMrmi3AN1yvi1gg4x1zuUHwuvmRU5M8DCrzXgK4O
KAuAMx7stdgOHhCIDaYm2BkuyXor4qLARyM+KqTsH8ldhrNF6PGIAdh6RFyMIkuBjd4WFxK9nVDy
vKFXiuERbOfoIsdoYR+DVtnJnqr/xP0/gJgONi6AegDJSXYrl3TaagQf9n4Rp0dYttFB0kBHqXHy
M7bG1f/keR3JvA5i+aQjd7hCDNT5rke3PQToBO1LJ3FOQnXeX9bM/dwYhxDpqPQA3gUfFOyOr0t7
6j6OrMOrsR/6W8ox8WUUOlgtZE2BMdQM/YdawzVFOKoKbiVO1aq/0FfLLxdMHv9K2tG+xpAr5iJK
EAnUq+mktjb2QB6AzhmM1jZn5d8GYPKOJEn9UxQ2AMZFufPAnMM/CWaMFnBmOANDHd/hZbNeOIi7
fp1UirUeIhP7cmnts8xO/0r6RmwdsA8EDyHuR9ZiaMglEC3bsT7Ry7X3PvjqqyDP7QvPUuTWnP7d
brY8SbqV+QWo8eHRooQX0WNMldr4YJjQfsfQQVOa23aBjaptHCH8A/172HZ1hOjOBgsVJ+VqNEDg
7rKoez0AnsqDpxeE6+xn5AqhXbAT9H2Jk1ujxZKFH0DjRClHXlrnafagxCLzu/+O7/9/4nv0mmG1
/Pvw/v9WQMZ/wS68/hc/Q3vHjf8BbCoSsJ+gXQkTPr+G99hQIBJtA0sgYUUlSgBP+IlcCNG4pIph
A2uIAohapp7wM7oP+KsAfmcEOglCkuv9R9G94bn+rT5jHgc4HxgJiPS8J2nDr4ULNNyXusb8+Htm
r7L4AUc18ewdkb2F/P4wFO7yEfZTPhzU4lX4JChcyp9npFabS6cN0KA9SMunl1oSMrboRcaJjZVI
VLGiH3u7RogWcKEUq0BNHrlDa0v7pfM1rlQjbjSYdI2IMaD+JDFoSTnDp0dokmTTmAqDONz5WOBg
5LOOrOwjQT8GU5uZDiki7BW9WoSTG10oCTZbZQno7r99yP+iqvPGrN0XmAV56FxF/C8wkkFvRqdV
AjkatQbfpZo0ECqc0DDN2PS+55VXcUqLD3NcJ2/qH53o8+XBN8zPngL+2PM+DcIb8+P7j+QaRtW/
sjEeKaRHDukqQICUitNbiXzTsaxb1affqKEF5ZX08Q04X/0Ruj5SvCLH57HG39oxAHsZjZCFZigx
m8KWbfnUzmrBnyocA6s4B3Gg7Gy/Juk67tZq5lPsh2HN1o9ZLxJr3gvw9eJ6XVEezvZ17CuOGhsj
pDD+A3v31yKhj/yEmYOkljTnYsFa+HUSJlmJAElZNd/tCQLJB4zMrPa+rpJ2vX1/9FhRfx88buR5
AaxvrAUiBi96Q1dbqrqLVzEn31C5QQNjL8EA+zYxACscEYjCv5lUGxhFbxFU1rCVThrqe0zdm+LH
+09CUv/2SYhCDW0uImylbvnrKzt0rhDuKcQ3rShdXgdyKdCPgkgIY/OcBvsaiP90kAE8RWwlNLrt
kFF48+6Wk1p4BIbeczV2fbvsugVJsHKjozVZpj/cy6yLv01SxpmNC4FCHORdKhDhmw/qEjqVlLjd
b7OTqtz/jipPmGVniRyZdzQAzRBXixgpur0/rL/NpIA5BClR2C7lQEhSvw4rpAmFg3WpnvGnGKN1
U4RGGCJxrZzRff9Wb7TOzKylwknVVVB3ZPN+y30sEI0tJ5RlvqnKD0jmEMFqHitsM7tgO1D8SOXN
HK+JXV+2OeGEvQ90Vq4fCxVK6W3qig2RThDdqfgOQXeIndtMm0C6hPQWLadx8v36TzT93z5MYDST
4WjxdWwE/N5saE6MuM/s2s0zvMuep4CmXxY/NAKIkMraWrQeTlqIDyZ/GqzfP0zMV6E0TQYOUf/t
tpVYjj3LPrC+roHluCCBcZIacc6KZIZkneNViHadWCZl+ARFGBrCrut7FL+2NaxW/ZDX64TEDRDj
dfhKZaiIDx7Q3eUiAAsOn+P9T8u6eDOBecCQAIxlEpuy29tvG6ST7Ouxb79mUQ6lCqdmkCO3CtdY
JtW62OmijzEILXFteUnOalIN5gYWJd5lYbOMSz9dnpmAdfGD7gcjw/EHVwFgoIO43Y/XDRgnd3aX
YB5T8UmlMf4+uE8ChBk2ugL+RcZEl5tjGGV/zReBU2K2aIuOKjd0l7mK7lBKG+bP62JCiE03rwlj
gba6xyYPn1bgQOP6XcD67rKJzpgUflF/F9Po5M7GGxK13rL84+BTA059/divbcEzwtmOSesdMrVP
GBrJotmPdJfXj+vghfpB953Q96rgT6YN0Ts7CCp5AHxx+8xQtaAQ5mV5uaCQKC0WehJxDY/UuChw
VYNrKrA6p0Lk8pvCyY0ffS5CVQuymTkb7oYpNMLVSzcXbMGKhmaK31wac2srn2J+ffUmczcrXaS4
BliOYFQX5djQJb7u8qvKBzp/nChCNhcZZjvj+TjjaCi3M5arDB2Jn7NcgBDJOCztZDBnJh4M1GhO
uEMM2O+0fiNLvINeXyAoBlqAmybEs6bY2XZiMaCB3TD9sFswm1hVh7ZV79HWASK0B42MpNtWYcTa
//ManYQUtvfyhEbIlinXYj/mZWvAGIxevnDrWZJKnmPKwDulr6NKQWhi5IJIjvzCNA1ZeU5DaaSL
52RYLNR7zwqJ2hYJSQbKyhJ2vB4bvZkubTxwanno9TFpqKUV9X0zBG2IU5lnFDTgTxQua0o3ccys
SV04ccvWm20uiIqBk4QHtLvKyDu30Ggkg0apiDFsZ12YLiIbo5N8iCpbMCbUMOHrndHQ1iDf0hVu
Q7QrnNnj7xZwpuYlihiK7VXnIQ6X7lscsHni0NXsAvt+hW6GGpybmPnbw0HkpzTyOk+fxxjCcZV2
aX2WAsSIiJ9QtIYeY8APA4+08Pb84TQW5lno4pPibwENswSXCI2Hduet2PuctIg8A8yr88jEbYkG
8HStjO3PJ6pe/LCNvcX4TRV+bMa4w+q4+EFBDhG+zQr0kCtVhIAoMA+zz/iktjBT1ITW+kFGDf/s
nKhiAYcF/K5rQkdIBMgf5qzzpV9Ws3kYWa+novN6s6T92Fy0p8TPlwgUcSOcHel4+iHMYRvWe/C3
Ui0nPduqqK+M3SAX7HrAvhAUiMXMrPby3DhHlfHqBKc5qoAR7gr7Ic6CPNY7B8VgszNlFanjQdjW
IShpKSFDWy6pb2PzCg4TsztbrrfBssxM/0ihwOvv45pWVEOgMLXiWgT0xHsQKwNkl63Amj2/aR0I
V0BYi9F84SbX1F8PmNgobZ3lykY6BPWwDpTrdq6UsiZ8glXIMyYWCu7PnU+ZF0yychpepsG5K20/
xHWX+M11q9qYWq1ABm+q9mzEbDf7gUYZVm6pHNs4poksohljGVcM2SnB4QWV3U1Uss2K55WCEXUn
NtuFd6b2DSg0gzU7Z1l6WbaUe8PrYaYKwOTJC7OlhMO0dPJQYvrNT/Y4K+ZQgrxemV60RsVHHjqX
yh+CA4HHVqk6uNIUI0u+R7OZIT2N3TXuWy5bLt4eI1+pQVyAs6Bd6olroblhdsGRwWfm2rlMBn2w
Bznxm6QwHX839InZl0pb1/MdJCkTEWL0lLI9SX8WjN+A2Ya41owia8FxB8WE0h2NgvaMr98twUUE
h9E/RRVy5OkF9eiRW/sOxgbywHbJcaQXGXLK42smWXkRGukMwjCMHdNxFhBvYIpF/cL+sESZ5d/M
9tJDsGGLCvyTRC2OV0JhAI2CtXZNiGVbU7k811FHNvIzD2HXN4MztZ3XxseyZ1eN92lWTIAbxmJd
cTxHwTrddcnUJHvfHpPuA9QyXj5vOfyXF+UgnjgsJotRglEfsrCLcSWcPkW0ahnBn9O6zifzd3DB
cSPaYjlpAmfw7Ga7V5jSrdB+mJXe3gt7g4cgEk3xmwmtNGfl+lFCU2ozZTDHr100hIqdirFho6Wy
Oov4AucWqJ9dz9VDjLUETY2+7/LuHGMHDc2q1aN8lug1WpAAa8u/SnhSb4vsY959ydlz0eoPm7b6
5gPP7qmyi7p/mhBJnG6wAaQ0Cf4TIp5ESVjiOAHNDy5950PyGg/g3iN93XdZQikRJk3tXEJZxQ0n
iQbtINBJc4NNHsvPteAU1j1SbLAPtQnp135aIHOGS+XGG9lby/AZ6MDoI9s/LH6KnQWFdpQbK3dJ
2o2EGw/loF2SFLvWjJOsAuJeTeu6i3Os1fpD4q7AdWcWxwiMobxCq8CRBx2HKTBXArT1AbZY1nLw
AXI4VwsNio0HRt7ZLujvtstGpIOKd3DMQmM9D4R2m+J1e4ISMOy61p7WiyRGIefoTE7mHgAsOg1+
QmG15kgZeIF1K8u29h/xtOuL9mjLEGedfYzz3/xgVHuHK0sNjXVPWV+tHwfoUiB4eiF6yqUQX8Gp
DgL5tyNGpDDsN7aGbr2LEeRG7jYf4H+trR/V7SYGw+tm2xBH5y766tRF1HzLXIk8CWhEXCS/xzAs
kQceQ9pylJ1VMNjHIWm6gCJfaQeVOCboT4lrKuFWibmUkIS12feMHhAOUNs2ok3W7sAnLSumwB6K
fEYGgpcpbn9G3/YCdM25p6/QAtue2twcqLL2ahk8Tksgpb+TydRj7dvadkqMsugwIBpLqK/KQz8v
JtaEzQTc7AjRSptjJWYjYXF3kQkfew5wlkOGwzpbQ406PVsJ8kewTg4FSp8pLQYPU8LoYu1Si5CU
Fqrm6AnwV+SUQYQjddfjEoZc8zAG2JZCelDIW3i7sHBWnnbxdV3Fx7Grc/EJPHTDozgS4lV8RAOF
WoNE35JtMlCKyD5CH1O6R98NiIInm9gNzVa0DtnLiggd8+mCRnMycYbXULn2mJaL1TvFvlsREjUu
Gb91Vo81iJYNcQnAdaB+dW82xLpyOaNRt/IJTej/DQwQLq/m5IxozfCkPVqy3HukPt/CE/UDhEq2
+JHOXMwuWtgHGwVAl+dXcWH2ydIPjYOJWzgxT9QkEveQJ3B3Jl6NYSWsEHDGXnydpq5poWEiwn0J
NUFzLA5SmliqkaEJWUDtmTFC9E4Mzo/RUggH7WAPYF+KI0lD3QBJAFg+yKjYUHbrK/bwxYRIL+Ue
oWpzSv08wXynZRzL1jYVCxGjwY7Hk5dYDKRMqem3xyWvSTow72Jg2WYK8wSjsjDnPv1zJNaOJbQZ
JZwW6kNNxhXbeoADsSudZomotVuVmYqU2JluQT0nwSf0hKg9vX5GDkzH+Uj6Nw4PUZfQxjp4RePw
jbDhDbF5bdJST9ntinN4En/WJcq+5SmTIq2nM59wVD+sIV6WuMGt0hSf+h6eSXYmsVbjWvYAbXmC
3LuYRD4SHZOlpl7nzNt8svtw2KFCT5RCR8NE8xpPsD442TJVOrpdh8xt80uRhDbPs6ygRtXe83qb
V9UlQeZDRZefJdLVnSl4wS3kFxKNfehT4VSkxnnnmAnmJWPeucfODSvi7PT1dM20Tjk0x3YiUN16
niQKRKnYxJuDMPMR75mCyNpmBIofYNkbfuDPzW8TlWC6OlUogRqXEZ4LO8csNKFhKcbUBPOeNE/7
ujzKIeC7VOPU8lF7MBZDfenNnk6/YDibQmFF8qvEBafumAsVvVViguLg976Zu1Xjxs1VDaydjkJa
qQhZYi5QewS1U7vwbUdL19yrWXtewTa8GooVgEIKnEVaUr40jPP+SffA4Wvsd0Y5sLksk+9d+pMz
lA04D5d5BuvTJIGFBNf7YOPgxgdRfkx4SeLJd8Zxfl0uPOCty4XAUnjWx9lF/vdJZ87MoCSvkY9K
bU2sodqo523zGTlOKAWvGXG0NjGBwZymNtlXk3YeP6XkLMh/WpY1P3t67NZb2wIOsvUymZGO6KxP
Ff1cIb3xQayVB5/HmhzG38pik3SjA2WisH52TJIfwpbhD1PZMj8SlaR8taGmoNvu5shC6TnvddAQ
o8RBu35k1M2OuzodKeNZF8oGvBf5A9NJIGHPhfpkNVulZE8WJxkGmNbu8VRn6p+cyMlIVcqIOOp1
6TW6MqFVZdVwvtCVaSvV7QatoTwBYZ9M/Qgt2xfR39COpubGBhLWoF6bribjDmJrYCAnJzRLnGyZ
TpUQpW/UsqYiPSZZgwwlbOlVnUXj7FSnCHV7DBXG0PKJD7wZ3/jwIBBJ4TKxP/TsVUXXmEgUqUN2
8S24AJM1IndQskq7QiPifEXAP4qtonLlVvs41SYLfE0sqmQ1D92u87SgLt7hdwHpLVrJeH2Mr5no
JEk2s3/KmoZPil+WeXR0ojkJ97Tak2HY01w0ygmS4gi/uC7MKMgXZsMa+Iw4ac2lyvOGTnGuVjoD
mdeUT147mwwd8z6zc4AJMoFu7ZRmVr5fNfovakaAQJGfND4lqEK+KbACH0FDI66mr3MymDxTZxYC
/TsL9EQVbxR9Tz7p+7d8W1WjTIX4WgC81nfciMDp13LnIpsmsgcxfA3EZLo3r1OjAr3D0fWf3sp4
U7gw3WkY0Zp6U1l1kdxaNdWJr7kPeYjIU/ge6k0zmzXz4P17vdXbCx1KxyEKhW4IzOD3rpSyje8V
quhfZ69GyesCc2f4wdsAMAHLEKlg0DNoqLRsGiOSNmgpjxgmR9VWDi55N1UI09mISXnN3vO6M//s
fTQ97tmESGGA/+NlKLqJn95//N++CgxNlAKRlfRIx8Hn/fpV5j5BFw9v6Kchd2aegwPKpIUcrqRQ
79/qtznnURgG5ifoBKGQ8rbeTRiVu9i/ySeoC7iRnZIFJbSPzgp91CVJT+ki/+Hl3rZQHD4MgEQc
i6iauggL/PpyPZSJKKV+/wTd1exRA3JM6+2Ys7Pfpy7snmWXxMT7BBMLP3+vANz3N+x2dXD2/ru/
HWa6psAEKNLSJg0cNDx/fZIJ4pee4tT7Qk2C1BFRBapUEeg4dsD37/R2lN3As3lbD6H0kA7S2+J1
SWAYeU7hfIExFkKLkJVJzfGD8zjkM9dEje/f8I0ka+iih0rZmSYvBocETW9mEESWlc1k6RHlp0+U
7Xsw7GxzbIoL3zXpO/xYEbtBSCLehmWAeMz+/QfwfxtcwSQ2OG6IhiGv7v46uGSJ2MLJsMH9017S
Zk8vC2dgqh5ZXBxfwxbdZyY0Bv1v9u+fRXELQAjpRS0GWDpn0+vg1EVgSjyU/hdWcYsyCdnCWkUN
R4IqJzTJdhHmGhGWt045sFuHU2AOS422I6SkLLENishjdyIWGcKR4pEz9XgXEL5Rotvj9odGOUBq
3WF10paWia2UVibssnp00ygjoyfPNxMyJ7YJFdQHzmLZSx4rfC3QK0J7ds2ydE3QVETIQBDxuY4J
lpMCrBpVG5VOjH+UFj2VSVfPKMhcZA0uvn+wqPltwoW+i2R0gPclMKDfpvZIZpFZqCV9brPOI2ZN
5WBSoHgdTATws2T9/hc3q+XvLTuz1cYvPRqMjxBqfdMZolG2gDGPps9xKkyNccxjUV4F+KGX1rWt
bJ5g41fxSBI1O4kJCi38KvnD9x/j7ZvjwQGDAmAzRHDW3Ev7+/npHigvrAvnfzVg8Ce+Zfa5bCl/
nud1P9SPbjm5/aWrhj8I876d5B7BWehRKRLYpuHE9maSA/VEoVEq9UVDy10/ghwy06IopIms3n8v
982S5upRKCB8ipDOm+fZb6KDFA35qmq0+9ggxYM/EOXLIT2klFHJdHNMI1gLNLxr/i+kYMO8nI2+
EclaAOpIUtalBEPKY/r3cgK+SR0BYC8Rdp6SoYDaZVVkWEOZstZsmTJAhLADi1BHwpSJy5ruyIO2
HI+Xs8qAsyhNLdMpcjTCo2RVDjz27syy2EerQ9Paqf+qcf9vWTJvxpsxAHcF8B39GkjXv3VMA7T6
41qgHTPWhTmZk5ZWRYmhSUvm/P54G9mPv89n803ZvMCdw8mhrv92Pk8tnCfp+MlD5Lcv9xoDSqel
hrfM0cRWzxb02nuvAOkwCs3cmCrpz596PZoKgTXZDG7gh6aeSS4o2elcvAKoKFhlgRv2pWKpCjpY
si6nI7qKJExYwyakxzmad6QlPxt/dItME8lCbZC1s2JLyd/ptjYffA0K7gL1mHA4fC1NYNxparxW
kJkvWThELdMm1Gz87W7oc1NY/tlCY0Uydwt6Hpx7SUKVw9ssTj1RAnl/SKNfP5+x3qOTbxsdlYCz
8Dd54Y430JEtk+dKe+Gnose49uDSHj2JMpI+Nf5sOMAmii+WKK+SnfRBstfoKnzUKGuCh43GhqZp
6m1iazEo6mzoHhPyV3WL8o/Otlmk3VMeF3c1rbZnLX0lN6JHZG5LL0fcwNdrLzJEe644kbLVyEjq
cmfBev5rpY+sIbXDhAJfDVsI+dag/GitFobwA1Dnaavi/tbnVEIsFFG7K1gNejfIpdvTE68+ZvTw
kZJy6RIUcqCc15YTLbzBqb6AmghgMb8ojK2djY2Q7MMHl/P5SWatg+19LzJKGGD8jm7RII0SeuPH
3PMycFC25Tc7mEioQ40xmoyW7D8IH7IItanxhDVvcaBNsEgUN2guY8cT5zBn/VqfQzHcw/XTFGyy
ovhrjATKv1EC/hh5gfZhLUZKYj4UJqp9lr+1hX3nD4v91V0G9QV8pg9yM0BdYRb1RRni5eHnS/4H
oeRfN2smBG1lNrOAUMHHmvEtnKal/BN2Qdp843shQ+gmmEGKCrtePpstHv8w/X5Z0K83CwHKmWOe
GO5tRAKJj9Cuj5tvSDvUYIRm+8FpqK/C0i2vtO+N5H9pW9/RIsSj8v17/zbzX14TrA4tGzbxt7CJ
MVBxW/p9/a1rjOmKV6FZcag9B+Db+zd6udK/juGXt/RdF+CBsabzIN38GnfhDVS6uOJm35ypZc14
LsfFpiXhgVudVeF949bJfa4SC5B6FcRy52mZV0edBwJzgAHYF2A9cdOLPj5vrC585Lz9f+ydx3bd
SNalX6VXz5ELJuAGPQFwLc2lEylpgkWKIry3gafvD1RmtUjpF7tqXBMtVaVI3AsTOHHO3t/uqJOG
vL8vCooXEoMKmJO9Jq6hcZcvxQBOu6Q9ez3qUn9wU/apnlZpKjbvDNN6ASnOU+zConuTMYvTJpfG
WuvK57SKekYJQ7vVIlN9VOceehrX74Na6J0Ij1OylgGUQZwXQCn6+5JAU/BqC0cuz2JYT36cGPHO
qNJ8Py/zY6m5+ReCbeZg0COGHg2osb3An14Gf74y5nrm31wZexVrrnoQ0sJ5jb8rkLQsLBgfxPZz
NDA4oJ0G2WgmXNwNUP8uPcgDfOR20UOuhCJRMO2pin1F3+oCtvTYe7kdKadFi8TeWCSNszZ0vxYJ
/XS/zZSLRJb2uTTkjswl444eaH6qFC6aZzEYk/7Sz4xdUrLWfLt2V5Mvm+/tJJIXaaXJpWHDmoNM
YO6TqKpPhdnnq2q4G55kHg+fVFPPrpXS4QVhzdq0NfR+GjyjTaK7CSdT6pMQxxeIZ5giY0948Apy
SRmE8E68FabinCexFA8aXW089Flmzh/c9uu5e39uSXWlBrXYzdrvQwIGWsJcdzt8bhJhXirwx+8J
8JHg25pSvdSm1fH/58v5zjPLXQUzbFXdokfCGoBc7e2DBgI0bwtend/TOhVH2mZKAdhHKmc0KtMt
g4ielR6Q+XNtqPl9Es39eUI+0rUyusb2z5/F+vXWotRk+dSReKPEfS8GbKfC7JwIF2E0M2Bg316F
XyuwU2PQFBLQt6pndDiKCtE3nMNYBmlsmfsYOWxAn8R1gRormELayrI/J30+rq1fWuil0sUXmZV0
+8aAvWUNcXSITDsSHqw+ffI6EE2YAGqgIPg2iDR1ADnWO4XTsk2zXrnAFjjyDyYbyk0Xyys5T7zO
UlCV2whcBVAlLcnOC8a8VJRGQT573uQlkpIpZYbL0PPeHNmaUot0t70+l4e4yI0WLCdyGe5ExkU+
LsDuynCTkpErirqZiSZzpd7K88gHKVhfTLWLeL5KYFv5nL9KOyBOmdqdCp/woW+r5PMA/uJFJHpC
qwcC/keNr1/XH+4Ugkqo3TXoAL/09QydSWg2T9l3km9Um5QtvEGoPCRTQy4Zeyr7eemG8GCVypMc
0wmcqTXWxX9ww+Jrp2w2UK4KegNvb1iUUh1OFjv/HhaWHILXC2ItQ5yfJ7nVb9WFWLIGX/dWWmQP
1m44f4mh5NTcJzAh/3zHvmvQvT49q1UV37mpo7V8r9hdMEyN2A/T75GtWreNpXU3eq4ogU1j94z3
4nA55E1/rEVZHPLZ0EBJ2LzI7Lyfr9ZgZATJ5TSeJ8pgvKCcb0zPAQN8+8GnfLsHWD+lhd7V5BFH
M82m8t0pI5NBFm4jhu90vZvoE5WF2fl0EqU3dCpR0taYMVPqFssJnNasXmIAcZm34NuZdnCnunvT
zaNz1Z6yTzqMFCYkvAWAhbY5pztKCaptGPf+uND/xUTeyfr7//nfj89FQppExyblW/+zI5r9/lrT
/c9Giy1Bx8nzW6fFj5/5x0Wt/sWvQEOOJpeBGKicf6wWimP/ZWHSXauqdf/yarL+hxKpEQWGvdk1
+GUqpRfF399eC6LDzPWJc17f97rlmv+Ok/rt3YiSlFgsOoIamyf+yk359gFeOwCLU1fDXtfxNgAw
d4vCF3oMm3EwXFz8ZlueM/bj9LlstD6qX968Yk1TpT1MS3EVLNPc+aVv2zTR4o7L3O+mgUwSWxbW
Rkv0PJB2Uux/uixXP97bP8Mw3m4L/j4UTWlVpWTi1L177KD1jZpGDbJD1QYNWNcmz+jwzjJaaP6D
b8WpdGmDa1z094X5os1ZLYXod/mMg2xmeh20PYiefraHD7a/bxvfP74VawkuGeYShvneBj+P/ZAh
ret3LpBxWpM6cZygeBjnBRHiNZ+GguI1YQgfiNTGf2sD8s/BkdOvdzHMiHfFZw8TLjTqvt8pTOQI
RZoZHmqi+SCs6dcLh2yTxZJxEgFk9Kve3qEdkstubMJh17qC16143XyYc2OPm3QFwX3wpd62xNYv
ZTJKouwBq8dt8tqD/qnXZ8JJxOuIaz+SFkq3rP1uG/oL7IrC0/LiDI1h/cFLlEf5pzrzxxHZPq4U
WY023Gsh9tMRMZrA+TOqYZciY0By6DIxUt1q8+f7/201+/dRBE4fB0Ww4AX09jSKIdTWbLFhZ6CI
9AxFOY+I/abY0v1ZLcwPvtPvziLb738d7d1Fo51K8oCZDztnnDRaaqSIjAVR5LBa0QC7TJ6z7OnP
X/Bd8t2Pb8hYwDJR29LSe7+UyTizALPy2GmxJUCMiPyeSTwlULU4+6ECBz00N/Yocdvnonu26Hge
a9PYD1FbgdNzx80wU4C2k11/m2cUPBIOrafTvLpdWslWKY58LWuWDxYm7TfXf50WUcitjetf7jin
iywkwzxGyYTb3hNIF21vns1xoyiG6iWd1vg12uwA9zs+1nwWX9XFBnRP5M+ljdUV8WnknpiPRh88
C+ZvPxrr8/qE4+x6vwUi14HIcDPvgarGG3y5ZpCgV0XnZ/WMXaLu05wYiOcmy80D2qXlcS7Tlu5j
QQ+sYF4Pb6skiqNLvUaWqmcQBB2ETIc95vXyLBr0lnpnUQ4L85agGfs+YEKJ2rBvsdSSAg3UzgkR
QCeN3wrF3tKAoW3AnATg2nzssxY1mgI1sA9N15tz8ywW2adhcrrLTJBmJRkPbVtjSIJJ6U+Vay/7
JrGJ7RC54eEXDM8Bm63Ut2bcpSVxBID6XjJp3PROn3koCbN9T0PwxG8ut3++W399QCA+UBjw1PMO
/mVIPneROZjTetG7+FLJ6BMljnrQkvluWMJ6MwwwRf+DI9IUhjlE8MEv1bHbzqPjLlm/a8PwoHVi
k2sRvARxjgcbsIdrff7z8X5dt9c+A5p8qlyX0udd0wjvyMh8beh3CPjo7YxiOkTVROCK3soPXri/
3qYwZXQ4Q/BlGGO836pGg8kOB4PQznVG86xSGu1QTcDe//yFfnsUzKmUKatj772uocBiUUCl5XVH
I7EFsOcq+6GJnKs/H+ZdE2Bdx/g2joawAZkvU1f97UqdEX6uWWwwd/OsVUFFOsQWiAlUmQ7RKAQL
cNEGNz5T4ejYOg9kS+8qkSUfLUvGL68lGLKI1VZzFuO+902/pqnEkow2AOU5tzdT4+ZbqHf9Vkx9
stKDF3HQAFlsWrX6nleTfZP16bSj6TZeFMtiHM2s+qgRqf/2M0E0xyWJz41p/9tTEwl0VGFsdLsy
GsoDraWNq0LJWMq+uQy7ms6yDeoqJ97cz/HYnIY6ketuXg9cB4ifXebfc20eLzPCzJZl+jqkiu43
SV/fynJIvLpPzD3ttOlYyvxSUfuPiovffwGmiNikaRuqr87nn9/1GrJM6Uyc1FjeRK1db9ElRZ9I
2uOl39hpAJ1T9Qsky7yx2uLIeObRIYqoay33MNRhiF2oBfOpVu418NyKQdLyfQGofiQQx92SQS6D
KUsV3hV9vm3hHX/wSnjXePhxd7Jh+dc3eHd3Tj1AFPQUBLOAWT6u6QnH3pxpwCi4NpKWRX6wJONK
9WBUcvS7WnzUdDB+exfQ7mTIRN+TAebbu4AEEoHqeOh2qQJUzRuAIT9RVl3Zoish/arPVT7OD7au
xd+Qj/UgfPy00oGpG+Q8jlG31aGyBYghbW9KtAkwqj6gfuWAu9lMUx9vl/ZdlprGUmnf2ka2MRHe
BpbiPsCPb/dAGtVzxUShtlTVoz2qt5bkQJEAE19PROF9cM5/Ld0ci92gwBBvWtgC3p1yLKU2wCIW
hCbNH8pwR8RjHiiLGiNdM40P6sTfLNv0TtgYvtpkaaa8Pbldnllly6Kzq6PyxU3gk2L0Sz0xE2D2
54Vu/U3/r7/6eietjljandD4aFK9e5ibMBpqOzS5k9roLsN8/IAhgW4i5kk4qTKDeKlaCjgjixS/
Px/6N29fCzghMiWDFxOF99sv2WPZ1wFbdais5Zewd65mu7lRRfiS2/0TW17rgxfUa+35y3dlToRO
jQ035ty3B3RHpZsTXGU7tuHlzWBQ98jQCGQJydQYl+9qWNxVST4HkawpbjAh+WMXtQRvfiSV+u3N
ZIJAxMewohrevZbhBo8mZMJuB7aXYM8avAdZlUxTkipCVv+Rpfw3L01LpXJECsbe+xcFB5yYLCrQ
Ye+kbOddVGshNCkn/mCP+NvzizRPcCdxepFNvD2/aadFFfFQ3Y49cus7WDaDsUzpQYeOcphQ1vjR
KAaGngS6TWQN+XQD8g2BC2fLYn20Rv66KUetwq6QTTkz+F9kSpMczCXuMj7M2KubOLKjbdcuF3JE
ZRqhEvRXgvMutokcrbJB/eCxemcB//FcUQ1xsqnbkTe8u9f6aAx1oKwtDHQRP8GwIJZzaqP+1CWa
WXiTVVnonQZ+gadAw6agtprcDNS0znSvIDsy8yEeTBdjbETArrFhab4ZfZi1/ZuFxnEty2I/CmSQ
EcPbSxYrDiITpDU70AftdhDLuBEdlixq+eSDU/KbQzFSoWGughkgC/7d456QjVc3rd3s+iUsXgR+
yusF5nbrKRaZx39eWn57LO5EhFI8y7+sanVZL33tiGZn6kl77Zqata3kiv1ve7qI/2o0/qaj9ZtF
jGqXtgglIoOj950KHUZGWg0cCTB6FBCuWt8WUaNveLthgJsLQUJuLD9YOX/79dhfCyZCGtKZd1cN
bXvZ4+FsdlLXgDCbpEslaaEHrcrQ+8/fzzV/86JfFVcrNNJ2DFast7eIk4lqiJCv7yyBL2KLjb0H
UheLacHhFZYMpdpODxgB9/hijXFStuwch3mzzLZRXBeOycMFyHRxD2En83u9HjGVtiDlsfvkOeE2
fdjEjxW+zIvMcGCioi8Eb9YBDUfBwFcyfNuqHAergQlteTJUA3M/ynxyXlt7wfjSxsy2s1i7swad
tJJczMhPUiIkrI3h1rH+2Z20BHN7SrMkIv5YteKzOUY5GbRJ1safurzS5CFnYGzu4kQrxEZRa+1Y
LPOs7DpyOrtLsygH50L0gwyvrU7Lyy3/W5m2xQSib0aX4WZlUGajiC5gS5l2MJgMonFBNfntqBCU
fGxLpdprK3SZTLtWB1IdJ/dFB3TMmwlbSw92hBgfAndF4gaeCxltilqW7Xk6sp0kt9atp3zXdZOb
BfNoyjmoRhmqZ4ChQ5W+A3FsQV2Ya3GVEJT0aHch/RIEjrO/IHRqb2szUew1FiyVVwQrjLdlItoe
V0TD1FitCifakJMXDUzR4nnbOLObkJ4boS0RdbQsftel7m4lvVebPFy1ByppZNjjO9P5lMYNqrS8
qACBixjQfFrX5r5whmv6vNthNOuHkNjpz7niqDd9aU1eWKTzXiE+YmM07mlgZlY23XaO7fImhCIz
iphE94X4Ql1kU5C5WbGNhvFojKQB6nX3mGaW8MxBDzF+w0In/fVZGMq0GUvZ8Rlae2d1k7pxRWLt
hLtg9JsEAj4ivc46Uc9Pdk+snxhkit57fFwapqYjMDBvnMkNSfJ7VcWGp1jNlekW7UZTy+Qqg6Po
D2qinTlFHl8YE9eD3QJpvcSEzoth7gBYAJ0HqEz6ZXgIXQE1MM0GiorOJgZekArQ2cs1cXCHphfo
hMEz8Ed2yuguMUFtj9k868GiZs1mxlrhpXE4+pmdFaTkxSudwLkKHXFTKDHhopMTb3HMLr5U+iEA
d6fv0K+rN2GU11/xIKvnZWw7AeJNBCBq375YSlP62GbrwKFhvSNO3Dzg38DRUobzwVAT/dBJ4txo
Uhx1bd4mZq1tM1N+LtShAQQR7m1TEM8uP5tzCEJUdWnUDeHnwlIiGE1Z4RzGwS4JvGnCAEnvXeY6
4bHDKx1A83c2aioUrkNDCE/qLkHMvuEmaZXxqgFrctMNQNgmozvvZWh7+bwk5FGDz22meo9cLtkz
5SzAODvji+j6gaxTsJZZkI1Jv0hMVk1JCLZHpdmSzlklbo/xzUEMpnPzPBTYAefAbthH8DJlkUij
YfpSc+4vGzQEtEdCbLaZdlCREG+Uqsejpy3OGX8hR4MHgvgI3ZTduSNhwndfZNzC7PakHoopCxY8
Ml+QT27VNHIiInX4zDtb0atvGGmyem9kcDiDwmltIqsrjQAXRbHQQmX4qZmMy9FUjrRnVeD2VZPs
25YzBdSxzFEDFiNxfOl89RpGDKA0Sw5TCuDSdJMG/YPubHGCTgsmTppxMd76J0sNqSfp79YbkgHz
s5qX7DcM4ZFFVGhUET9kklpC8KN1K8YsfHFp7g8+VQBo0Br0AYJth+Sr0Sle2pqQMbKaOu1rOdtt
wBbNPLmlTiKyW05BF3dy11Ox3DlSpF/Gjt8jlXzeVL3eHJeK/XSCM+egC6N7oAvHGCSFmb/tx4E7
ITbc5nMcOQ3RNyLb4jtuPtvkGO3TNuxz0mv6bJtItXsAJibZH1bTFFihWcB6WDoejlxXTD9TRRYQ
fmr6AB+NA/7RLLBpIW/Ylbot0RJIWPdFXfHvewJ37jGWR8vGMRNCg9xoChO/UkXj+uQ5kHYICmG9
B5XpGGHpxt4d5ygi2kHfdpxO5R7sJV/RBqgQn2F25aNa2Xg/6kSIXERhGJ0Sp0EhCDDhAjSkcy5i
wW81kOAIiMK3Y6+bJHkC4ziS0B6f0qmrv9K60zc0zsxT1PKobsqqWLYLGtMtKBNR7JhlR6c8r0fb
JxDMPPEQNTxUXF2a8M0xA791QhZWP7XQga7F0mp3XcL5TtC479ATEX0Qc1KVVsgzhVvzujbb+slc
d5hAaZYaxDBekR1nNtnDQeTXKgNJCa1ojjU0nfNl7OqnXtbtZ2RA+max7eYb+r52Za/FnNaGwKxj
RDdiN7jEaLpTZ54EplGINpUbneYEUQj1blHI5wUtqgPnVp9w3nrGBGT0XOO1XAcoJyJfiZ2m8aIy
TktWqAF+BA5w7a7WpHlKzCr8VFtxhGtuqL4SmonckfDo2NOVJdQ85KfdszkY+ibqneYoW5WIF2UY
z9qCL498df7kKCnrYhQme6Pmp2tViU6D21gwahyTCrwkvO8kjCY/tCi6Qq93aeIESTaFx7jo+Qfh
6MLpjCYUVOlSV4O38JzTxiq7BylpWoPM654R0Zh+SHzGQWv79S4f4npg5qKbtwmy1HtyVQfbx9nQ
HHOAtjdO39bEO8fWrYInMyclYopP0ipK0lpE2X7Om2W+cqxuuFfrObtJ1sutg6I+N1MtvGnEyIEy
RW6hw8EjpsiITwKX1J1DpNWVGinyRV0IJVZmYWJaaJ3wRi9IlGqAv55bxsRvrJbshpJ9/oQ6tnte
plEox6WlJb5BOiRf7Jo2nx8OMUAA+i3AYEuAE6VvKZVdspIvBcBUxQpvcP1wd9cDmO9DMY5In+OB
O2lRmpal1xLcaaxZ8SnP0krzC22prhQDsDUT05xrrXZOPB4so3JK3+36lwqvmsnsArFtU0zNi1Kl
2r2ISIUdp077bo0pfnseveaa1WJ5qfS0bn1LL2Xmt6k5fCdCe0GCO9rc+3XNabF4k3c7dcq01nuN
4FsQpty4vcpqZlvj97l2mms8+zT+G72+7Ecyxgj3a6613olOoUWWWQ86DAWDYxxYx0ghlkhhDiXM
mYcGe6F63SpOxxpfZVia4NJw8hCYXbAnDrc17EIWMXRE9E17Y2AgbDhfl87pL8OiJkoqz8e9wFZ9
aHhtnhsEGA4ekqzkCpnmak8X3ScCtcntXeKXHi0fKNa6roNwrI0nE+LgVtTk1NVCAlsy5tI3R8Pa
aZwvj4kmZm1kF2uaYCGJw2rnq9dM2lIQnKvnkfBzpbrtXXEBwj1hFqkm7GVaIp8HN71s6P+oQzwe
06JuVwKsdVKnQruMbXLiLYO4t1lNlAs4JPUJfWV4a4V6dXDnhOygHj4XvCiGjY1mqgcz6Y+jlDlc
gWG8IFW1PSdqojxGcSk9Sn1KwFV/Rgv10QUvcACSQXRwNRrPAG6OTaJqLGkOf5DXviktDcZNL87m
ORUP1NuqJ9W5enKndc5U9duYzjK5mJXNtCymIB2xIz04GEdv1DIm2WWu9xbU68CdlASQSVPtnWl5
pP9XfCHXdiGotmJrpSsiYqFnh+PbEuSsn2ZZd8gUFcxyqKinrBD1thsGBl/aUAdUqORBw2rZEdre
3Q6NYrHUudHN0HGQwQztq0F1kXmyjyGiilBgF0PNvdX1+T5J7Ps5VYsd7dKYOpBSzisSWaFym+KL
BK4Swjr9EBqL9hSr4bQdoZDvwGksAfATI5hGHsYOV7E3ZbQKIymtM4oL8ZAKc1eac0XMV8oCXKXs
TiOrcXdu7rovI/CJh7nGBewWUBDJxhJ3dTynkJBcsQUGZZ4V8LnvNdO2ryWI/a05dnOztakLPaC9
0Saa5/r7wqhJhyzQJ5dNym0A6y9KvBX8y7JWyxjEbgrwpwZyzgDBw7Ok4yu2KOhFlD6mcs6O0VTu
+6zJU88Uynkl0/l6UVHzJUqx5VHckqyZUqiZJgWZPVwWwgw/4UWmzBAjRBXwt15NbveNo7ZLkBWG
c9ZJAg9DTBGxCZ8zM1rzBDGjqvx4cjWGFvlykLIaLyzAlyU1mpLxwFnlsSbW9JSnRlx5TbrkPHc4
7lKM15CLSYuZxguobOnn1X26g11Z8sqZ4XI0S01LY0gUVO+h0ZyTrZqyq7NHNIhDm2ZHFzfzDRTP
YwuNeB8SJjo6XbYapKuzrpxsVv0qZzhKEBhO8f6cvi+UlC7da7PifnaZmbLPeWxhd/lFDBG5QULs
Q5OIHW8ce+3zLEV7AKfypC3Wd6BmzVcq1vxr3hUVi1anfLJzU9nigo82+OWKa2lRseSy1Rh6u/0C
KQZyHOXQvAdgOCZHxagmEYy22tl7G6YR7xhhVSdlQgPuldKuTrRvKkiZhLoSMJDnLEJ4H9KvRZGW
13rjFNdWQh8ZThALKOae/jnvdPWpJFDsuQlhy/o6GdCnBhXA0QTicitJ8pk+t1Q8XDfCebYkteW8
JRTLOOQ16Y/kN9RfeFvSO1vyNVI+oiF5AIWs31EfszPNilgco2zunsle7J874AlsTOVQvGRiFQx3
Sx9+BZulPWU4hnEsE4F71TVz+BWQM5twESaK69cw854Vs0b+qyOhtDdLZpa3OSw9LhI4u2prR+S9
bYU70dEY5pjbIwZ8hFK1zKvb2BrISMP2Gn7FLMHPuEShtqBQCHoNBBHTtVcakni2seNTblJ4Kw5A
P8TObGJA4HtpIsruLFnMnn2jWo5a7E/1lETkNWn85kXBV34QE+3HIBauVHaKXEuAngkpQUpz4Z6n
sYoql2xEilbgMVwlZeFV5+fzEH4d2xH9foSbb/bCyCxe9GHgqENjSC2YcCB8/XEyzVGJkIQznkz8
pVNRptnaAnmI/US1I/AIKEAD5sWnF8SpR6xf3prox8pdTmzu/aosSNhgZnO2h5m6uCedMFOgJ+aC
d6btq1tzQlHBJWTe6k9hw/eDAEI/pK3VLD3rUDGMu2KlhF64Yz++jBa9UW/QYSdcWIoW32Vy1HeE
FpUPheba15ntNqFf1456N+Hgk/uZNnx4EgNfeq+PKp+RqpxPnZQhF8+Sc6kw/6tMQGMqpkKP3j86
avoynMWRYHhCi0u9e07YvSQeH9Y9l93YfU/SLs137oDtmcK3SNIdmDh99nMox9S7XM5lX9L/O06g
alQA+j0VnUlgQ3pQIQJXm5bZChmcTWJiqyghY/KzAKlmv0D0Di8ZT1Th6wssolM8GqrfrCVkbpeE
A+ZoAz9pqapvmrxSj8ykYQBi17guImc+R8uU3C9LPH2adHjKr/3A/2pQP9KgqiqN0X91hoPH/vF/
fX+FhF8+FohXYX0/PRZvJaivP/KPAlX8xbwccTYWWQcdv0rP9u8sH8f5S5AAgXuegQE9+FU/+I8C
1USBaq8KDqYYlkUH9l8KVEP9S2ff7KL4Y3erMon/dxSo7yZEYP9xQq6fghqLVsh7CWOq1broDKHs
XSxjKd1kuewHV3R3P52T33TL3zWuXw+DQ8vGeQknAg3H217ywu5BjsuoEOUrNPozhQyMQXVOxQTl
8YPO9bsZ23qs1wm5IOSB3cVrX/unKT/XIu3c0Qj3UqvcE8/c+o7XjKNYcKTVNDs+mmeCwuTj/zRg
5JA2Al7qWDT46LVUVMb1T4cEMmI2mt2GezrTISG1TdWfVy20Hg8XRmX6Dg6BeyTKhr6lzzSCSGMJ
kDurmlguscvRhRkZq7N405KqyevaA4Fk1ZFuywtzTtrzBjLhjqGtu5vYou3Q++uIFee1+tCKa5LT
3V2utP0nraeEcccWtl9YJJehpCajyML7ZLC/hqCqFock6uQGqGlxTYW7QDCD6hPjZbtnx3ehDjLZ
THZekjSbq/tFB2suGOY6fpwaw7Xe8TJdjKU6wZBJP+lqQiNVDfOt2cSlT7d9pCNXTnu1CtGULaCR
HMJSvBZi5EaL59ojRqY7s7W+uoQBOOHEzIxHNY+UfW5NTbC0xA02LPpkJ85uaPnO2kzrSO47t5YV
gVgt8eCpzUS3rXXEVl0bcEmmsGPHDPfamrN/NOrcH227uKzTrY1NsOQdw33uqzFdGk81ivIJInv9
Bai888CrWb9xI9XlTat27nPqdHXqaW7LRrfQJRR7qr9529JsICkP0xT1A7oHXiUiP5Ge4tS+hS7j
3B6m4UziPrnHnJb7WZjQOtNz7r0UMqdHyhENDYOczzlR/XBO5U3cuGQjgZL6UtgVXEP6tVtntNgA
z6ABn9uiiHdxGX+TbVoHEWOSs8h1hhokFvS1TcfJicswv2ig9D8IQ1euSYxeztUFwq7XzVqGBWVU
FcKkCKsnoVu5FVZiHkKhgqmYSphXErsO3cvhGcJ4T1rn2plfosUqSZVO3COnoIO2YH1rmPJMIBYu
yzWWnuT1ZxqrkwdCCBpbPwNJiD65nUJmR1jnO4V3KYVKMfvdTMugYlrru2FieXbdn5EYLVAA9hHq
INVJHwF4A1NV7K/AtIwgriy5mW2ruQmnXD+34u6KORc6VseheHZHnh7GPOOFkQl9k2ps3wsbgGmr
9BeZXi5PPZlNPlfWfKJtkp3oV+pBtvT9TWP2ME9756Zp3GRDy+KzMrTGpb7ETO3k0l0q9rJsJtea
bsvSpbjU3HErC3FdTsWDbYQVTuTMoUviMeSFzlRa8FjpMwzYbin55pTq3an11Fu6lN5aVGTmxtIH
2hIyp9l07oBOnQ8oZCJZ+HHUEEsWKkoEKaqbyPEmnWnopogTURGJI0FV3In2R4IHbWCUvHe2RAfq
ap0dkQFMxg6bKTj0ntmodH17pyx307jg95rZtzpbW2a6eSiQO6lBQoHhbDt4VI0gD6S3tlE2LdHN
mJn8S9qUI+21ph3QtBRkY11FNPYJz6mtpovP3FAZkRB34WR+0Wt4tEQQlaECxIZgav0+HSbF3DYz
a+Szja0aCglpi8oxk/SP2lsYA2XR7DS3y75QU2e37kjzoGWush7MZm8OPvbeJlepBa6qhwSqDhYb
gnmkaqXRP9EMWWd+Zm8Yx0kPGyLFZ3OvFwr18pzJRAbF4mp3wCbX4WGz/t92aIW3ICenb7SFQofU
BahcIjPYK+Qzxx1wgwbZkItDTX19TPBYb/piWEof1CwlmOIAVmgEA3HfHm1tqxF4H+RtQkhY7fZ+
2anU+oqMC64Als255W8NeT23lMlkm0E2WdsB41Rcz4aovwskE+d8kLXC1QVwT+kWSzBYUQ7GBZLu
wVFz95SbifVIGgGfz8hHbYvUsLhe1cgZ0eUFnw2mD//NJL/yRXfa/N5Q+/mKnppFD2ApqtuoiNla
dBhZNBYPXCM8t3nw3yrw/yvxBdMKNcv/XAYe8jwpGee9sS/9+KF/CkH7rxWWgKMFgM9aCPH7/i4E
Xe0vZMGURlSKOBFeXUp/F4JC5z/BxaBqARMC9uenQtD6a9Uuo6hYyUCuaun/TiFIJfquiEEdRRWD
nQUUB+KVteT8uYhJrAR7ptbFx5laJqEVV7G2pDSSkEYqnSdnTTA4Td3bOmvoV69KkdBXR8dEN9X1
VbOnEkEi6VS5dVwWW5A8PVYgKnpVna8HtlVip6W2VK4zyJkPBKsyu6GHGaXQunOmzQQHjuf5BDbY
y0MmvNhbySlkMjZYZBWS/QYhvl0Oi7aQxl2mlbtZyK5o4X/ifSEQrGLkCHpj9ISjNE9uKu1vDjGw
Qe+49KkWwg+9eAXF+dKhNoCJDpPu3AUsA+C3sC4mwoq9YhxuOuZLWxtoR+TJfFQp1jBa3tZpKq/n
WO0v20jHyp3S3trYcwVjLnXmyPRKU40cz0rrm9ysRxqwEyCJpZL7CIH+Ua/b5EyLnd2c6C3DgYo4
Q7M0LV/vYnok/aRnGu81Ol2it/UHUsF1LyG74lbTUTO4sfga0ZY+mZV0A+adxtWgp+1hrKQIYk2/
iq2lC5jk2RtF8padgRhdGbaSXxrldGOqkAepOJnZ1LMdf6NLW+8E5iRek2V2phUFbVlrbm7G1rA5
7VCkLmidiEvIewafbViGc3XaNHpVXYaEILyko+VuR0T+285EjRxRI9xglftmhhR9BH+FzAhiSP4d
f9CqenCFoq0W39Kvc/M4TkTZ2byXb9O2M26M2Z3PjNqerphhMqTK4qcUE9CjWVlTsETzGaE2MjDX
1w4hi8JrrVq5xmla3OZtVvhllneXFKmx33NG/NDNrltYXJfKnA1+whP7KSMDwROdPl9KJslBTfWw
0QCHBAoN4UAdw+gOkjvbkNxp6CmlZeXya9O03ah1rZ0ZOOGPUh0gdczTKRr+L3vntRS5tmbrJ1KH
vLmVUumABJIq3I0CCkpmyky5KfP0/Yndu8/uE3FM3/fNihWxqlhAyvzzH98Ywy4fPVWz+EHqD64e
Wvmjz3E7XLukSMKNmLjYmkUMglQaBvy5OazaWF91kyvac8fh1hS2fUMOcyg7y94bXPZ3DTa1N9VR
gMHUNWSMi5mxQxulQdSylL1rSf0/UJWW7rV2vMEw35/1zL1Tqm9Zhbk1YlxDAaRfzNrRqkllDXuu
QcR/5NOR8Sxy1+FZ08o9xt8r5Je+T7wbW7EAIr7rdSEm/yGzunuNN7FBQeYuKO2rQWJoXPvyTy89
71QVzfOyEby0crxXHnbXLV+LbtfcvKFEkB3K9kktX1qa4DEyAIMpaHqxR3rd1RIkR8lB726iLjtO
RpmSRW+/8TDs701ZUbXcdzTSi9Q5LW1vP9vITPATDJ5VAtKsWSa3lXb2cMCE7PrekCraePSq7lAi
G7PcPK9DfjtUA2WYA/6SOr/UCQkXNCeFjJoVZpiiiqdJ5nsxFXNki6K/+olVPkrfSU/wvAj6q7BO
OCnmR5K910M9CKga0sAO+LzdO7tTHLSs6dQtdiJ29EhMj5M9PI+0pBw1QtYvEw1vNTdY09uT/lQX
GsFYu9bozIJewMmqblk0XarO/2zahrHQXYNfhbUwlZjUttMokjwslp/fO1n/UdvSPjkEz4Zrbny4
Ujk44Tp9eO87fmSkabnrZGneUKJZ7YGJuaT1tKQnxC7R+bPyYeGxG2Yzzzvssyy8PTpV1zEANUx4
PjOvkluwzMs7OasIE1Wut09tNz/VuosI69fVPenqeK9otxrlQ+ok+OvllMEkm7bHAc5ROovUojlJ
oZAGaUfHfiTr4DoU3l9JdHeUmiz6pswvmd18I28h/QYCq9yavILIziFSUxBIp0AezV1tb1AwtffN
odovGbtYHu4QT/P4nNF6bdjHRdXDuSJkfuTdorV/hIaaQwp+AV/GvGm695TwIcoWJJ8fBUWo6+1s
d+7jzAv7yeoSbhExcemdukE5r72Rd+dsrRYKtEF3Pgeu/jwysJJkEZ3Zno1kLb1rC7Fk7hIOZucG
/+y5XRJtTwVonR6TlrpFwLb7rBzLJ8Rli45LBWKVCXKpo2CdsjcYxD5Wpl0dDcr3Pnwsj0EIBwLf
ni6DfZtaVJ6Hni0BNtYJm5ySPveHpRQBL/OqPUoe7X9rmqgwytrmdDeovidswWx1FNVlJmqfmTYN
0TutmaPyOr7oqA4fbafnb7yTU4odq/Gut9bqPlFO8FcnMBXypkysK/la6oVurfVS6d4JNLT8JvLX
/XLIms/DPLPaEbVKlXEKRHUizvtU8bSNeuaHZbeUnb+VtvJbxGaQ+c+jWpzb0u3LL62guehcjSYs
IqPq9Ji0tvvMeySI5bym+3FZTC2ibUQmOPkMkie6fJ7/CDI0bB5GafIMS6c2GJxDdrVk2kNeuOQ9
mcTdvcHpiItVSgodVDLYXmQyQ5/InhNf9tCKq5zY0JN8YUY5jewnYdBxb4iMm1U2Q3u/thbL4X7q
fbpBwbYq0l8D/U6SBvrmTMv0nfhZ++7biEm1VgSwqWmQYmprF+3cGYV6AO1jRWz1nfbH1hesm4hC
wPnIvsfRg5E4etok34N0rmloXJPxJI3BmnZFXrQLXraqeKGOxrZDv7GGa2EnhHprs9VeXJIjT9xz
rJFHU5cLUekz8WsiC2LL6/S3JBgSO65znRpcQ2nOgVNLfk0CqR/Y13tRPY7Upba+XZA0lhV+6Biq
iixhEh0zDe2Z3ll350pKPRY19juiNzmDl3LdnCx23OpOG8FhDDH8YGCHkLqPxtgPu95xglvCD0eU
6wRSffYKeeo9m5y4ipibN9EVgxfmKdlmEXx58yoWU9bxgBxBFl3Rrt/AktYdEfTEEZnuJ9mRwW8v
q6uPhjrqvZWRSLLjEZ8QZawEWdnQjTwRHcLqTznI8l2w2t67crryKDMJuW2mzgqQZC3Wpzd12c2Q
GNZzMBDwGfqVNdth26k+rBuzObIK51/FOgqfqh2cPjSAtCqazcz4UIFCqKwd+Z7ayfDoBAOLoWI2
9beRPoMkTvVp5FrS+zEkNtT4ClpiWmPiNVJam5sieQUvq38v6+D2tE1l883Yj8uB+hsN1bbjvFgB
mp2KVDzo65i/trV3oRdq12TsxZBs44k25IiirYBkrkC/jJ6d7tKAdr4dwU3mPXKXRuhe6h1a1jSS
RCBlf2KcNLEJNDJ9ru3Fw95De4gWGpplLJHR5zpabppe+sFkewGXfDKLUh1W2xl2q7TK/ajr4y2p
YLE7dtV3VpgjGO/oenCx+EmpM68x57hD95sgmOTTtZuEEDodXo5Pc+0jSczFXWbO4pQyZkGqJQ4L
tLxLQdVSYRdf2KVVHXbbP6SWlTxarOmuge19KRNaMnJHzw567micD5LxtpNzwGoNt/CN6KogSnVm
REK0z5xhtX5fd+1In0fQggCbqXjtsThSMZNMpM5kuTMQYyJNN26Tdb0RmiHPEyrPLT9heWvaef4n
WSmmJENpOFayJQA8sOpTW1JKQSr0iyStZoyIg+g+Uqv1Hkg61L4NPe/+kQvwP1rJ/0srMclC+L+d
kg/fTZfm/1Us+cff+echWf83n0gtTqCECmIk2TIc/6mWOP9GEzcYJxEuP9kO/Kf/VEv+VR3BHMpk
52Dnxj353zoT8xL+387EsO+crjkUg9vbmLC3xf+/LPYDs6n9pPHLo+WnbxMNpuHQo9m6nv5KxvIT
r/1jvTGyfmUwRkOp8zLY92C0w8bTQkCZJ2uqllO/0baUfzq8siBwu0WXO2+jcgcVdH+XhMSIJoPZ
JfcWc9vG8bIv0K/aD9u7Ub4W5Sv40PN8T4vDHI+pdy02Knha853wh+qGjNSJr8Z7xZraNu4109wR
xN+dAYC32Pl7YoJJQtzo4wIMudt4ZKdPnF3jTV5kMAX9MikgZzyBYM42lplD2+O00c39kL64dpWH
5kY+exsDPWw0dLFx0fpGSLMgA0zdqGmwp9gGox7BqRlNmMY3wroCtWYtVeAeV9Ous+Gw843IFhub
bW2UtmRFenA2crvbGO5po7knG6K0BPCmj8Xa2xvznW/0NwDIhwltsyHNZ1b3FTc8UHexUePrQJUY
nyoFPhDlFWj58BPLpN0n22Z71Nr5KC345dlrjCvP3PKVqVC+4GHeU3L+uBpDdRU4hIlQ8juGStx/
AgiuvOtYVUyxiZwRtXUrXkfoukdMjfbJ6jlhWRbB9Bz/VPfUWlryZNqGc2OLBf1fqxzyeuntQ6GV
+aWjOP6VdDOQSZSs57my6ElomhHItYEQzlTAYn8S8GB4Kx+9iVTUurSALkpTOcfB8uWblxeo+YWn
yuda1M6NU7IhJb7MuNj1Dx1hlJgJUl12t5yQ/B3JaQa/vMBkNZiNsJY9b+tz1ydsK9eGFWirrRA9
Le+8NsxLQbG90SAf6VDQRHdaVHhNXvHumbAYuzkh/Bl/TfJcmOAOvsU0NVd582SIxrhY7tzc2Jta
DhpUvEvC4POQhRjLz1ysxn5bnMQD2sHD4qj8Mg6CWXVM7Tnuc6Kj14lsY2uYcCI6RGXsOkabj1a3
ymc2vfpnN3rWSbOskTmaPKEj4RH8mUzNlOVQ3gDEn2/9KGCQcLUEIgx8SfylhGPRtbE8mPRoPztj
soij0yt++HZJl6tX6nyPFd1BV7am0DiN44rIYksbS7/kCxqErbTxzwJ4UUiX81DJt4z775Czutvi
IqADkznvma0yztDS4Ai6tECVebuyChot+U0D2/yQjETx/XxnBUkm/l6NBl++JAXvMV0zcEqnYyVk
JZn/aM8bRrwte8sNaqmdevzVF/YUIY/gIMu3H/wH6sPvNvz25oo/WCaFeXLUP8KzmyXWaco7FJNd
vP9caYUz8H9biQagyXGB7fpZfPvUMd1Pcst0BGRBiQRGfQZtMV+mevN8DJXtPXZOap8akcxXA/5l
13UQXGbK+HKUig91ZKN+1iiKpikomUjMnarha/AyDuJ6496jiy83bWKY10Qv/OvUbi12XJEEawVO
8h6YMMWTw/o6/JE0NeXzf/QWglnLNNOeqFpjnnEhhNoUcq0phyD++bSqibU3kee9H/UiqandI7Ei
agp+c4tnO7cG24QkdH+2gG7Klx+3qgmPXuNwXfkHfpk3xuAlMtsmj/pivTALXVS7PFC/80u16LfK
ad7rHPoXxTUK/DtzGGEg04eMpkC0zOxIBdJfZwpuCDBnVQY9VJvede4tSKvsMLjrc9r17s7RZ//W
xQwBaO/EotdCUy6k65l1cx14j42ccsigoYPTvUKK/O6Jlr+4ime4MPx053rSigyPpIi8Wi4ESO6m
mV6ypDlbtZc8GIM23xuzWez9JsXZMvluhrgsitAPlB0vUjDG48E7KlXS7OaLNttpnfHFziZSrfnd
1tQ2tKgHN8W6tb2YFUd+0/nTGcOx9p1H9tqImWq0YHjS5E1Lzdde8/8QxV7ByPTVnml+4MhWE5pS
WWQR9sRhhmZnqki6bvPE8tem+6JYvyrlgLawRto8mns5sHUoRnkOPAE0OWQUNa18wLlr7Od2TMJi
WgT5V8ZvdwFwAvA5iXmpThAG1nHiIbzT0ULjuRYkoAcj6N6K7t00b60+4q4ir/p2Ebp37rjwcXq4
+s5RyZtuVG1EomHI9uYvO5irzH3vOzfhhe2p1d89AGfOjuLXQPjDx7JoVGMVnChyq/UjfawZgTEF
nO0gsSkLWleeB5Yqj2mxWoA+rPCjFRI3SJ7aqv/KFkZWnfLRC/L0ROBVqnIUpMHUl5BWnTFelVnf
NoZ7KXnmP3JZsXZ0E+OBRFCbcZ56AbggrTiKWsid3WuKMihTfvfkd8bU7Z2WCnXakvJjLBtz1/qU
qiGKvup0y0R6w9s+gLsiNGP8Q4zVW5tZB31pk9+TIckhsoQKHVhwAvhx4XW28zshKSZyuQ2h0Or0
lVKiHr3L2g1YO285vaQxQ4L/hYKgrqwrjd9iabcZAvgD95W7nCdi6aG3zcSnfE4VvwtvBDDs7eq7
T7ziG7a4RFSuvJB49wQrmwa+6drTXvT83bSyYg5X+sVLiuaRRm6khaxlsrIQxCfZ+Rep5PReU4n2
PpmGxfGZXC2HCYu1cL5yvLVQKqshh7TPas62Cd6kYMuVTG8VthLj3JuJMYesQd2LGbTj3k/bSueW
SJ8Hd9buXYp+ImEBl/MhNmj0XarFiljvW8/pbK6YGryDsmpphvY68Rqcx+bS+IZ3tvFExknrVHHS
t6wyyLW4wuLmRUxzHAGYHDS1y5D6zolJQRwMvWnjfC6TqJycxo6zbv5bV6Z5bxC8/nvq8omDr9e+
uHRlEn5E5yYIHXSCN/XUx9Bujzf9JCqmMIh77aw3PMCkYbbHBk8/Z7ahwBezJHiEDJ9vq8Qyapef
Xl/6Yd8l071wNf2uS+puX1pNd2hNrPDjJBB0ZHc342Ak7OOQminMoL++FV3XyF1BBxFutbaLVvY3
bIr6cl/Z+hA1nbAPNGLeIa4uhw77T2iOibV3yl49rIIZTygaPxtX+ffLhDOyLfoJb5fQ3qwhuLDJ
6r8njz1h6y7DPqABbD+W7JGJogfz6PJ8N3bs8AmfMTe/x5U3aHNPUxL7w2Bcwl6fnGdLzod5mtMd
O6+nxbW8C0qLEWLGYTNSGwcXHC8qjS5uVJN+E6B7sNgehIoipVjlxRjPVAeec2X00Vj0yWlqk9s8
ba924jg7L/GLEwV9801SkPSBDYSmNCMGgb8GgqerceONmptvmWhbR8ZBVHQqPdKI0O64hTdVnx94
0/ihrBD803QT/8U/SADvBwuYfxAB5wcXKH7QgWWjCOYfoMD5B13AexvUoPrBDvofBCETPzyC+wMn
8DZ8gTt81DiP76sfgsEep6dkoxqMjW8AA2r2hXLsOyDM13a18niV7jUP2L8UGyGRbaxEGTjFfbvx
E/1GUhQbU2H0xnA3bZxFDnDRpQvGpY3B8Dcag7YQ+2z/IBqsrx+AYs1b4NT2mm4kB6HmJC0AdyBu
bnVqY/ExbeRH/gOBkIp/rjQUq7Sglku0fR0plc9RsvEjciNJwPzzg+4HvyiwmkMH3GTduBP4qS/P
nBD72qq7uAbpy439J0OdwL8At7L8ICzFD86Sgpt+6oDVXxSjFLfTxr2Yfk/q8sbCdCiauhoDPWyZ
ZUBl1CBO6w9As672cmvjVHyUG19Tdnp512fVHw6gVFA1ZguIMw0bz1ojJ+VgOu3G6wxaW315PxDP
REnVnoxqte82xofxxY1NXBrXIQnWiBnoam1MkPWDBxkbKaTbQbvzNnpo3jgidyOKyO+vb9cfzKhd
hvJe1K3n4O6FQ6rbnm1pstFJlZHxKtB/oCWOhg1zQBn4X/4P1qRSx7jiy/AJyIV6Wjf+af1BodQP
FuX+IFKjPtW/6s366GwmSDZ/zb7nwRj7xnrKN6ske9acFzT2SZZ/05uxWSrdH3elU2fUJxbF1ICE
N1xCKUNJ8ePErDdTJvjhZtBEKP7xazI9b/ZNquA2M6e1GTshatXfbDN7epvts9sMoDNOUAQ88JPN
HIoD4VZ0LCVlinGUClT1kGaDvFqbrVRsBtN1s5o6m+mUNul8V2xGVL6x3xz8kp0XZM1eK7Crlj/O
1f9hI/5/2Ajaj2z2Iv9nNuLX9/zxX8CI//gb/7HzCSwQB9LJA2PDGTxmwf/c+Ri6u4W00geFuEDm
6saN/nPn44JTEFrqbZl9OmGH/wuMMJ1/o92DXBlbJ9l0IyP+O2CEYVtb0sG/4J14GxysB8AbW0Ak
csu2JfqXLZA+UJ7WMg7wUjC7F6XZ+ABKiqVms7yshtbGmWb04cwkdvUm/67vpXrFptY+SYC7Vu/6
80gCM8drb70jVIFsQ9pykoOimuVhrFvtY/SgGwI4/fZI/7AH5eOYaf9AI9liPdo2nFkVanVpeNAP
nW9eAljWhvgC9OqC4pa1sQ5SDFLe+bLTt0JdjMEzTB7gPEEUIE2FjWM81bGoyanr2t8ULZEbFXp1
VRrnLJhdMySTJxhiD+dAv88AzeV5sDkum3jnBeFM4GnLQgtfVazG2WsW89le0r7lCNcYEK6DTTXp
gTDzxTmNdHjzrIfN8opfgF04vkLDE6qF7XOajwIk6yt1i9TbrWZP+17c8SBSsJ69l+tP87qhjgPf
Qn+gqN288XWLNfToYr1NyAdX0TR4pEUovShUvDbFQlRzUxwrrHFv8LMDQj7dukf2DD5Wdd95w2aN
8GKlGU7y/CnFUsuHNRZ3LaevY2FOz0WTW4dimNhLV0F6FNM/ukTS7CXn+ZTGi8pPnj/fkThxk03j
+NKnsAxj2T9YFe6PsFYB+Erq/hnmZHPGT29rwRRmYi8Ws3Wig/mZrFjki8AozkSKfKZ508VWIsan
1R+RLVYN5xe/Us0iZM7xyJruvcxDE60PpHxe1Zo/u6X5tynz4Wbtm4la4vSyZq3H2WB4a6r+XKmm
PoohZ62YA0hyMuCJKWF3JFWpHcWXGfXBoTDFM/bXbZ7SmlhU6tvNa/euctfkYQoal1FqK4HGghv2
pGSIZRQHW9nwZKu6NwvLhWpTzPVGUkY2K/lbFmPdnT9MZkxCgH7yGhaUNYXb4aihpzL5+p/5aOLj
UE7+icQ2n+duWWLZOto1JaYXjif9Thhf7uHanjimcSDE83HQJetGqh3yYy1cF1sViCOJZo4GZjPu
B9/BW+7a2b7rzGCf0kNOeJIWHJQ7fTeOqOisHppdwrMjFBhd8IHN+WdjcVagoLOK0xT3faBX/a5p
tt7SGpDBWbHrEZ9HnYUGO+Cb8y/DITWzKymNKRMmgnoKK5JsQjDSF4cEjtCC+TxnrRNEmqR2wRqd
7n1cvagw2LGy2tzC51v2leOiE4mvBOQGxfQP49j5LUUtq/a3gdbGTEgeoYPdHLh41xWKt+JSAXKY
Qh+vi6Em76m0hXxwdbOqcY92+UViKNhz1GG09xKvj4xyLH71bjVEg26s6SEnce1cE61aRYs18H/j
whJrmEzDH0LYrUhPlHqgvsxg2uKyYCNUwtfO8/KFI1/X49Szl/M45PWRWohlCg4Dl9YcaRyht/xR
wxGADkTsG21L4xpuerl353HM/i6g99xrU7BlPeitnC7ELfZvPYiIMtHsEfrRJ3Ua0oLqMOVw0zSl
m6wuG34yMZ28pXAPXkawWzGj5VI4pcUOnjVOuCvktWytmMGJ+A3c3IwZ6ytQWvDs5XK+lIX2wS31
gjufhFO8gXFF3DyzmH3BMCN2XWkWN2y0vpLe73a5KfPnqitKmtQJSLkz8ScYIQwoLXRGZTy0VfK7
LU1BWEBgBbfSLpuzEQx7kgXVrRpzecWioT0Ju/c+zMrJd6kIODNWAZjSiKm1CafZNOOkqef9Ui76
nZss7NKSod+lpM1y2qccna9T7xtN58y03bXCTtzHalXWnnPkHGttmR28Uj2UmZ3H+dIfJ0PPII4H
zO+tv/rhkrj142Qtb/XYOEc6toM/ndk/UiGbUeUgLIVsMby6S1GFua5rMQ0hJ7s0fNhXEgbDwZDD
36Sx7bjQBg1u3clgz0djV+t4SGUzY0BI/XSf4KMKUc4v+eSL+1XT1d1CJxMmwNFj6p3NcO4Lbi0W
rSjABGJmgU2lOhEVUVBskIdBGtaWFEKaxx2SvRetFHmwmGBnoA90QAzCdkJ36pwwNaYrFZJmKPxG
xI1dsfsem+DYzjMutxaGA14raujQhKUKqj+LbFSsb7jVaNA1IHvR7oqqwbVJaUv/K8iLYGf5Ytm1
G4/TD+0p0ALOlJr8S4b17yr3mngNphEjAWdqGsHXSLPtJs7qOWOrWc1nTbRfSqx35ZCMN8ZMLN46
sVhASK/vTSaTW3Pmg2UjQUNIPuinldzMo4azh+MEaI+iHSjyUxA/zednHgWUOIU+PO9a931dty0Q
OlacieHdbIS4cUiZZDkL0ZVY0xLKpTBuuQb6Q59jQJ6E+Du6ZbCf5fqeSr4qbl+eZQXm67ukMRLO
x+RB8eJPPytpTBGdJd1DIswkIpynh1LyFS93kxItPX3DrflXBu23PeTlnhzzmRAc+6UCA48q0bfP
pc+XWtFjQjnOw99utM0I85vYkSjAQrGnuxv3XPGISia3ndx6q0gh3U+eeB+rRAet4+7iKaVe/KXh
hTFYT3nucsJLObmDtPNcd/Py02QbRgUD5WSjXbkcUL0lqgOthldfq1vTMKd4oKE7Utby2WcA4opo
wXDaapAnGoHZcrf+c6+bK0E9PWRQzVLZDckixQs/Ccm3z4mueOO2F8PdMNX+L05PW9qHvjyRYnNy
yxkpqQzSx7Evpwc05uLNK9wn/Fds28v0YptNf7RGP7WiOStkjGzGLxqNzP4dOAJUzXFxDw5+bK+J
S6IpgD6ftJpowKSsJcxdFRhR2pgQNnPt7LCTsByVRnOvQFmPOnlZR292/PdJ9HAI+vynkMlwD7Cq
FbFSmToWcrDuncpVAKXFTPaCLkl3dmhBC0wVUPHmOFwRenVtaQa+TkSn6BFPTY0Rw5Rm5Nh9+bfv
KDzcbtSUz9TT8eQsXuceIBwdbhk655tj1wfrGI3UH+yW1HoivZXIk0G/BV4qXnuUjk9qtc/llCXr
rmjI425T6wv0x3nCCmH+MdJCq6IVbRaCPh/nk5waFvu5oMQctHWZ/+ilX8LjjP3TOnUtLpTeI+dO
w01Zuw9gjBw4vcHbKV4H89HQ1oLL2VXeV5J6OCbM3rsPBid/cUAS7owxd3ZdRf0UoTYyko1cS9Qi
j3P5YDVX0MoujxZ+FZdZmCwT9ASc2RvkmAJqIJju1Nwv9zW1dIfU6AqAyGnYY9IzY8n3dRg6VzsU
TpFUh9Yr8xeeZuKFV9z4Wk6z/iSKITnqhZefdGdi4k1a98wWXUNTIJZLUPcykX9uYqe7URoQZrBm
3TnQ0MvCjCCKmIKu4GzCrERZhUsnnO1a7lyV6vGq993jQCvDi+6v45cDOEkVdxPcNPQ+3sPRdL8b
y6FoyuubYthhwcXu7iDXMl2tz0E3VBz8HaeffuFfMQM26kCYuzWQFgxJKRcV5wX3ww2exaqKfcjr
31Pir+5rKjQ2qMqfebP65JpxI3bzEC6dO6exLWz34kLZAl9OrsawMj6ROI5huM9q7a7Eo/aWVOR0
E1BS2Tgy5vIEmaTvCtzhfmjbQmPxuG2o9GROHhV/9IhkNZ9BQJ4Qi2qGsHb8rCtygrXMI3N5WNOb
rmYkLWvVDuFQqeqXkU2YI3TPPEx+JW7pvmox6ABwNykxZFJbyx5kRjr7yainx9J2CLJwCB0MWTaI
WBXGeFvV64jNuqjBtub0wZRWAiDkFV1zP6fZ7OxAuPQW+c/3XJNhoZJZgL4UjqNpyv6LcTNnCU6A
UzvZT81AGg2i37g0vtf1xyLIKpTnAqvjDUHxWoR934jLVdYdG46M5yidnbjECX87DvQ1vZg+MORu
Jf/NO3aCe/ET30Cy0zVQ39ucTRhg6qJ3BeuqFHnYHBWlnZo38fSh5+hWDZo8jn1gXOd24CxgtNqW
BEb65gC31k6dPEEoFLtxsPJbSUlTlJij97fqWJXpwIVr2OVsig9zJX/1An/WG0nUxAug/t0N3I+h
36+rs3N73/9ufJke3bFiBDcGpMo277zntUCwz12eznFAdu2+N/v1Q2ewvpkW6SBslpfGA1UjHXQ8
r2Y7PEqZy9dstqsrtIRzXuEEI5McjZ2TGRa2tgwFIN2s/A08Y6S35HjOQhlRR0DAxWbZt9vSstHH
VBUP8xxEa20Uccq7juG8xThmEm03lt5JkzXcFQf3K3mzwb4Tuvnh2LN9rEQnw0TwZCob6Yde3mSH
PLUUXVkO8Ss5rFco+mz6LANNUVVi31tzFnzpdXcPOAnHPuggZKa5HFuDCBExjukt4X7+jF/QnmKu
m3Yvg9mJ20VwvuGi1GnnyLFLJRX2rZLXeDJr4r1npqeNwauOWk4YLU6fKaont/ZDfzMpaLq2kIVs
WfsmIcS5DjztfkAUgk7LjoRElXcA7oS9pDX1WSkJ1hv7m31L6dp3SZLnPGhbWNVG497tt6hBic+i
zKhc7soKD/qgeOlMy2M26MFFzamIizp3j3SDObQckG6s901zznXjwSeKDFsR22AsoelH79XFrm4I
MGCwa/2LIOYnmitdxEYJu1uUgfWWIvjDofQY2bHbVm+a7N9aOhhDwsUONjEAethI9QUc3wN76SRx
VLDTBgdPIGWHVeBcQzQvCDFhQc/nzl3LD+LSMzb1DcFP9fyKzf8mSwm5W9uvuihfWZZv19uoN/FI
o2cTzpYVuz6qYZkHybnIe+dD9HMSVqlO3ABRB3oESAMS0sH8b/xBe9u4Rc3VQsS7oQsI087ObyHr
BFpcr+u70Ubmj5XUFawd83ahKwS3bf0zYxc9BZhiYkKUVpRAX/+eao5oxVCoY2XD70ygQI8wk2wE
JKFs2TycCdHBSecL74xla5dlizz5OO54AWvibHqVelxFRh9w3n5yXmMUA2xfdvZaVKd6lApUR/XL
ixq2CCU13VlWlTwzSv3KtRbfWjd4Nxk5TxGxFQyOTXZKprXtwT+0bler8T0w2rvJoKchK8xnYCYR
Fcq299JFAZto+Xih+68KLfrDdtiTVISi4/xaGwIonFWYN/WS0dVVvw3S649Lnz11rvGXAhnmv4Xp
qE5l/ZQ15ht1LkS6qdr+6h1SMPS0s3YkazzPJCT9lbLS1n1a+5S9sPVg+J4lJsTVra7+MrDYxtNn
7Abpk1qhk8cZzkpBSAbLdG0NzDVYNpKEtdMwTXuntxcWvhXaNdyQcxCjFVxrHlgUn1iYSfjxAIdC
v8OcyJ1Qxa4uurNZM0queTpz1El2fFTSuxOFA6VB6mkKp6ixzl5FboSuuZZ1rPzS6ONRz+TFNFz/
xL/wn0Tt/zVT80rtOQ8PP8/OALrivDi8XA1r+pMIObYHoYk0nl2kac8rKjzg85lUDmycuvGMUaBG
ntoC1c1tFyjrNFoCWhQ8w6XIw8HbkBAgfCBHzgZ9gSxH1ezUdCSE9kgJ8Hvqr+eZCz4qc6mfRKrd
JRTrUqnutHHRekS6qYEMVeHFnnBLqldY/7WBjrrLqE8I4EyJPO1BXaoeg6L/0rEF7ABlyPif68fW
lqScVot3qm2MSZ42ZAfOLiwQgTbvSZt4yQ27B8rVSHRDiY3S0iJjWZfIxU317+yd2XLcxrqlX+XE
uYcCicTY0acjuuaJxVkcbhAUJWEGEkNievr+INunvR3R7r3vt+9suUiqWAD+XP9a3xKHEYPspnF0
eyy7yES5YKlpZs53NYTBvTZMZLhwSNZxNb1nERs4q5vkzsuaZJV28lvo9OJx8AH8ueM0NGt6bocf
DrytR+59ZENcp1l7Zq1PTY0YZYp0LULDvsGpbqCzJIm1bcwsOwRuCcg1b9fhLKFRW8kQ6K0XCXbR
qUlfe83zUeBFI9kyqY9W4CNwcCgWm8yY58/MisMRn1xmfBDMbm49MzcOKQ88XOEeQB8/o3vFI5O8
9gIQbBuiFaeGIO4W8Nb0jTmLSytSxQc4ZP+WJo7wZu5i/cnu62fUiEmBhTXaE2at4H4e7XDtJB7B
aZWYw7M/OvrOsmJ7vjajX7Fz8opqjwpawFLqpKJMIXB3glWvt3GzZNwoK4HxB2RU7RJFn6NNecYV
x77Trx0eBock7J+myHlmQnAegQpUu4i90oHrYNq6TSs4XPlfMZFwh49L6zEycY20scTH04YfBdyU
dVqEPoYUy0qg7haZcR4shppLziaXDE4fn5khunEXuQR7mjRx9ckuuf+s3M5U6T4Kh3ERifJ4NaCF
LUXkrsAeOaeMd0OlnAX823xtlF2f69r3e/Jy4KVX2kTjm1QarifuC29uNQbyOmAwfur5Au7Gr/X8
orMOIw5se0QjBGpIN3gJb6RW7PD59NRsuAcqz+oyucxLwoeFpwxWHbQGJiY88ythESXiMb9MQtxl
3orMZXvZxCAHMp12B1aT0FuMsWZopUO+XEVG3q+pCB4fHa06xCczU+6KYxjGO8sIvrKUjL47mKui
DaGBaNygqU0PU9aPuMy40LYz62jSIO3SV2zxiGYELQgQS/VzYLzesiK4n6DgESx3zZPCq71xlKbt
I4FRN0a99ZKmTOAbx+aGPTeOAGlEDecqr3voqlBmmHibqLrLZ4Pgh53oE5k2dBly0/5NA0T2JVOG
eTUp5dxbyqfxVUP0vIfv6z0EBoWJVIGGAQzJ2KI8NslOMEX7R9aYiKGE1rlKccniJC8cv7SYGWOI
tU5LGM8baJjeYLpKWwiEQZReUfg7nidBI/NzSp7E2XUuy/tGFbjsOzzlG1gad7ASYJG4k7K2Ehnq
icKl6JTa3CrJ3U0/c1WIt1C0DGqz2/kblI7mGgcBYaYoTeoX7bLnHhbXbFTZPMz4SG047CRbM2rT
vTIGKpCQRs9NOHrHfjC7rWrd7IJrD29P5gnzUs3V8NylJRtnd0yKTWwMNrhrO+R20rENzmp1dabB
PxSxiLZtP6s9MXt7LVW2YGCbobvx80K+ot4aPMQG9WQy312Acg073TH9I2d6qDRG/DDhLYIPErHr
Z5dBmVRb3Ogu+DR6IbbcnMKDG+PkN6ZZwEHi0pCpFW+Tmix7LPy7cnTHI30c/ckFXwCPgci33XHq
0EyMa/Tm5gSwUN8YjZddSBJ/K/1RbPuQCGDqTx+gCOK1RX/NGocDsqIIsTfWzfTVSGS48xoRb5U1
y63BB30f96pd981kHbMW0Ou6ysrJQmgjVyRH1sACK2TnVMyy5gyVI8dYx1FhPgBIg7XpiVbf+UAu
LAa9PN9QFd/nD6MTJ5sp5mGTUlkDp41t8MXw8E04rG/QWAWTRhXvROZj7Kzmq5PN/HczvG/lON0O
XYkO3Gdfg9Z6lRE3a8cot4kt5w1KyUdQNqAR6GnfDEOMNcTIzU3pGdXOEpl9GICswkZ5oIKRo4JN
/VugTfB40XwrqZRe5Wn9oto6vXMjfQgNi6Rf3e372e7fjZE1iCWNV2kKk+ZPJuSxBn6heh7Uo68/
iiCt7wdd3+vKyiEcVj6PdrEcBOPcuPVlMME4s+IjZcbWxe6N7xRs6ZvKKunC5f6/SliDIfQE9ms3
4A6MivHSK4VvO69f/r22/qfW1q7195H+lx9t9x9fCbIk5T9GFuRvr/x9fe15X9gjuZTwCuFYeNL+
FFmwvlA2gpJCP6OwTddiTf5Hrt9ksc1nA3NM4FKZ57FzZszv4v/6T+l9oU7chf+EpMay2Q3+lfW1
6/8VTuT/SkvYjudxMuan/GtpwEQ8lzVbfGwLT58rv3Qk2RrVniVwEx7fHfRChmXx0AoD5DPkSZO1
5yY3xXAAk4cIGYba2zVglR+pWGH8lnnwNfG7HKGf25tMdFCdq9Gpd5oVFOjzLHaObTh7FEukOpzX
gCgHrkPfyZ2VnVFL3wdTxjOMdvQ6xNvsZ2yIG+j4fM796FmUbQCCjTr0deCmQPyHr6IFY7fUb03P
c9fPLB9x9Sf90npEDvQ+Gipx6qqFKTKWLXpxuDySZyOsHxzogxdeIkjNsv/es5K/T0KVQrUZ0+HQ
yLq6mQfa1/Hsmi9z0/TkGszpKVSMoFPTxndW0BKMDVj0r4KcaXlrYcHaJCLNdy42SKgCw1Q8RjEi
LM4ehUTOHzOPinMgkucqQ3eM/A6zFHl5H6Ps2qjNahP1FX4wVP3uMVOpd4d6L+9DW5roQzxpxK6a
9KLY+ca8CTT1oqAk7a2lUCBcelQQjXgLsc3Ya5u8OqxSz1uFo2T8gTtOg8KFFZ6F9Ty+5WTQdxtr
Mu184/WxtbadAWEij2b70hkNZNkW+XflkxGHzt8dgqHsnu12SkFqJrPYGr1F8Wc6sSlt2tLh9+Ho
y+xbhy413xLgdBvN32Wbhd3XsJzMUzA0z1M22etgMsv3BjmMFKLy8Af78cbJJp5qgA3zNIoeAB3L
ctN7VX7jp0V9zekF4a3G8e6tVIFzPNKti6xvhIsq2L+FTWjdT3WVbp3IHS/TrH50lkRtLzHnYXNM
ort5IA8+BvmqSV25hsYxkk7FH5wLl8qA0gjvhexeCSGinXRedoxdiF3noYPidD8Cbaw/mihq382h
1j9RSsW9CzX0nEa1fMSnmm4MjPgXp21rl7RNwVs2wP280Zb5Poy2vhpMfFtrMH/YZfFOdgPbI1pn
Tcjc1kgR0rwFbiVItjcT3vMo1k/QAUCz92G+deuQNkWKtHVxMG3y0TvQjfRs5OUwvMcRQY2NmFg9
Eu6pW9wdaQPHlN/y1vG6YpuUbW8CRli4U2ZsXhT1DiwsBMUVvbLuBke8zW3wZhJqaUxJc5zHkMmh
KFHB2vbiutkjJ7CKjSz3xQn9J4L8P4AWsG9JCYxuG/x7ByfvsXBizQBhGdCSBL3aOpCxEw98hWjl
IXJe2zo5M2gMx1GUBTXtrOlHBJZ2sG7aoGU57YdjE611o96KxFD6oSErxY/U7lJDh3c9judVU2eK
xh5EubZ3RxKMjP22jI8Z40F9b82WXxyoVCU+6NPkcM6kmWbbpFWszUazcm5aR4ZbTyJ6xEUotrXq
mIw8zqBCuf6L3RTUL3TzuTQ9g2BOG+8zP8dFh+K7c8KpxxswDTsYyey2xzx7HR1M7UVaD2fa4OjG
wGKiwkkgJiDircjCOvdxVaDqA4VnjwkNyIeOsU7roj6lGbNIpbXa93ZLrxT+3puhdwbegXSen2ro
Fken8zHdYjP6CpAi1vlZm1m0KfIWfm6yeNlGQ4LBVWeS369WOBIWa1rrCNdi3uKxVWeA4tWNyGUN
qNI2SIfXVW3hdteO9I4ZtlvuVE19L5m7n3zHjxkMFfBQB0F9Pal52ocGq5d1kGcZ1pWA88LoDWfO
E7iLmv49z3wIp72OMWB6wPUJyv2yhFzzOZp+AmPngNZ73i4mJZKjqCq9H8P2k3V2TXQhZh8Uu6XY
EKTXRwbMfF1VYUPASr/zYHF3tNr1h3KuB65SBMuZ09swuGsm9u7TKnnabD3bay9wOaGOROIx8lz/
IA1sBInpqXVTYvHNF4BHPDeHFmVwJXjAbktcSmtRGv3BakrzaE6eWPAg8dEdSBu52C3ObjdwXKsa
2FiKOUx7IjiPpZcgI+cPoYsTw2sJ45KOYQWA8eKnZie2bM5YpRWKe+8gyDEH0qqPdSAAXpP8rTfm
KO8aUa2NCs8UxhJ7uolVlFwTQiDrLFfIT3MWbIhQidPU1eGOOfHMNqTesgsEZl81WGwKNWxTrEoX
uFecc7QdH5s5+OYHXXGMnOZ7HUR6q7PhW1HYemuKiZFf87gRTXz0mzY66CGXADT8aw8uvmtLeZWF
haRPKcs957Ji1xhYgqf0QZutcT/EKcl7l7438ChcjfmVndu8G90MYjVahmOu3L51d87cNhub/TIR
jl53FMOO07OdsdoG2zXYD7VOIvA/aTfpmwlrarW1eHI2KysZkffJfU0ResRQTeYWqXumoIss+/yI
2hQYrwOQlmmTwDyalxOkhY8tK+lgGzOR5/bW64SYDrg1Hh1Wl+lm7mdGmTbL7WufiYaPFZjHlZWm
0FVNQdaZyo3RWZl6rm+tyiKiDYF6fpFss1+W/NDJ46B01nVJt99kDACZC290F42nP5luNnDrz0ve
gz7uDhMsoi2kHIXQY7gfE3utDfNceuoJnsiVg177wL4uORWLrYgC0y2RiGE3sbj5jkuPOiHm+Lt2
8uvd4NdiJ9m7kKUvub1mteQNyqZs3MVmFOGrC3FxpYsGoZakUFBIJJuGY8fGnDkLDCQphxVPN457
la3kuVGazUJnNQoXojVpygp4cpkoojzbVv4Ug4ZpPaT1OcvjE0yNEl3Qb3uNejnpcx5nxpGjjcvg
F6KyrkxpU2hMnBNnfzfXUFMcmsEq+ms5vUjNwhH/Op6eBVIDtDy99+OmfkgDWi0wMU40ayyFSlAW
ICZS8n2YAT/22HtGwCHm1Hj02jdT9wKAPKBxMxCXIvWLRb0fp1dM6faOlTLu/JBEYjJ3GPz9cpC8
HtxUW2FqiRID47eRtIhr8JKv9oSZcJmAWAIWruUf7cQ2X8IwXo7TUHnXkcYDssNuVrLIyDqT9FzX
vXLznreSN+lcBeIb6gJrW88xCyzU7HNXebYInEGTsbnpNCzuRjvWuiPSBSfajYtbrNe+WLtZjOvF
iW+UQ/AtYJd5GbTnHN3Yh+ZQQmy8b/NGZ9vWKfO9XdLgEvBLO+H7q/tNTqL/+wh84j1g5n62Jtc7
h3ZcEvCbeu/SmoxmmzASUXBTmI5cW5P32hWS3omQQKgbOfYuN2bwCCOM/QaKYUOMLXXfpLL7AWQH
YIoEyxLPEiu4ATk6/bCMMFp3NWQZ7qfJKRkMsSWq6L72PRGcNZl8L4QylMT+pjMx4kRd0eymspMP
WlRy67gDYdXJy7aZnUCRHwu9hdXXn2evH65TGw0PLcItptFhXHOkX0r2VPwx1QNYCwBSAI8SXG+s
jlQDUarv1sBFkpUMu3pruLG7g9TsfbdKa7yoNpmvPlz1RzUI/O7cz1MccwJbT2nmr5EAGwoIMQ1O
Fdr9KSHGeTIVBC1c/vXZrCP3Xs7dsB5MVR2t2eQb0E2EE9VW2wm4A7M/XU+OE2qgJB29e1lelDvo
L84+zY3yOJrM4irIhydKZOTOIJnVqTq9TSK0rjQt+mvqedaZm0S/4QLkYvFYCLU9dz6JdL2OjVrh
sUzd7YQwVxGgg42BV5NrvbHTM5lcCGkFlt8o6PJP+tOd+eABJEHc0e7PvquG7y72Uh9oVjDekAUk
BD00drX79/n/nzr/C9zcf2dbf1yO4/+xBqkP2u8fmAUY3peX/iEA+F+YhDitu9TDOr8O+X8gC+QX
6cBoxjPuub/9yR/udeeLZToLn0BSmG05HqLBH8d/64vJLO14GMV+CQr2v3L8d4K/mNfJZsIWhBvI
13SlkOZfKkd1YmUlEnx1GEFZDqDkwHOscaUF+7is8W2WFkI3DQf+fUDJQs+TmvDyQIp7Q18f7Xs0
uIunNEzkCzy36a4CqfnIJEBs1xbwlGdJSsMbZuegGjaQjM7k3hOIoRsvK6txPYyZW2wIqKIBx1AH
5cXPjfiaicogQAu9+cTjOa+3MFkj/AjTNIh1pt2Yiug+LX+2BQcekp+TvcuM1r79VYkF18depisc
TmZtyFNDahFDmuuwmTZkjKyGuQdHdjW5N5bRhGRerVAeNWVxp4HYzFJRYpZbMlf9m1nwQ22we3Y/
+C4CHcIusWuF5DzlylcLjtNz82kbTI480n7mNmsEeMyJPIScQ0IyydvK2Sx+JvzCD07ojHduyXiP
VSsJv8+uQ9o+E0P7oiDc8nX5yV5s5bQv5UAJUAAg7g5zcnwLBKp8Uq1f3XZt00/nsQYqCG/RYhUf
goZoVzleffJ5gm6k1Rwr/x4TABxncHjZikogbC6m5JlLM89Iw2Yy0zAV+fTGUQ/OOnxuTLEJA49e
AG5pVBj4HM5oJziOqlBLD11w57R42i4ptOsDtnwFBaYGAuQm9X6O4+ES68CiqK+nCCBxQGsJUfv3
Br0K1zTjyBOAVTwUgnZXqG3iKawgGCSEZ09GntjHUVMYgemiNx5nu2DN5KXiZLcD++k80zbjnuW0
h9mg5MvGnApch7X3MBf1W4OC+qJMzn9repKIx/9qQxVGQcQHm7fLImkK7kfFXElJS/BoNUkEd3XG
tRSMjYEDqpfvHJraFmOF4VhEC4zhw58zZvFWYO1VkopYPNoRITY8EIfQq7sZ99JkTfsk1MbFAoDL
Y4QRb4s845cx5vgg7Y6xkzkD3gvOsBwcnOyCDB7cAfJiChWN6z6XYrJvYloAOO3J3KYNwGc2nZ01
MdNZ7iNoRwhdBpkpwrjYfbPmMDlJ5b/VCCorowuGeh0r0n38fpaRB3VP14vFxPd3LA1nC1m6Anx8
6lylzWNe11PygrJHOtnhHwqb+Pi8emFkPLL5Yq2ahTdeUfTnpO/al7gurmEgo0uuiyT4TOlBQZu3
ZFHRAxXBBis3Hk6QZ4eCwB3LRCwhczdvw2bKdqbLv3bSzI/1HA1fk45FoEG66oZyD+AjCsaVFqyB
coUF30stStcyPkNfXTeM3AOXt/FURjLcV00z05riyEKtyQCpDXoSZ8ZshHTY/VqblfwMhwlFUq96
TZnehOvnTJtkeqy0iZmSQudq9i/dktlErmkJ6Vcj3QskOr0xybf2kvKsq3E/GLbx3Zm50+QhRJRw
3o++IBu6pEQn1XnXdhofu5mdOYWce79Lna+ioUmTtikKvzj23bI3esA3jSlxSaMabRBvIpuEar9k
VbFu4JQu6aAEtn42l0grBNIrI1T4VjfZcCA4m2OURD9JlzAs5iAs8ktAVixR2XoJzQ5LfNZ252tS
+9M+X6K18RKynZa47WjwKsExgel1SeOyEHmrQuYiBKXbWTVYW4nvsu6lOFIukd4l3Jv+ivkugV8I
bRwLWkqSljBwucSCk18B4SUqXC6h4WqJD5N6TtaoPAadT4kAU4kaor3ovUpIVkaCiF+2hJGtgGNw
3lXNy4AscjCX0HKqm44PxkBumDCzbtx8z3Jr2nbNIJ56YYXvMnM4pdMzYx/d1C4QF3zLPGow+NlB
UulzLuuEGTpowHGoiPIypTP75CPmrkfD8O41Zrx9QgcJNg/AHp1jF3wq3Nlj8Fwy1vi0yVv7S/Q6
+C2ETRxbLsFsnr3xlXVn/a1EkCW0NCbZq/LyYid03yxUSX9XtB3sgblXb9gSzBd81cYWoA708qGc
r6VvgUJhY34oZOHfk0kob9olMt6SHfd+pchFQKA8WqLlza+Uuf6VOHeW8DmQGnLo0RJJz7uEdHpm
LUl1KF/zxl7i6063hFOWSLvk4LKaixgVBw8b+JIKh4unvOxkNBEWV6jabJ+18bVTZvvCJ66sN4ke
1NmUzYO75ObHJUEvU4pp/Y53Wud8DEjYm6NFCZOI7YNFjxzcL9s4NksmXy7pfF00xcaNZTGvsRQR
4W+WNH/JKVau0yXj7y5p/yrWPTFhCAAsuaIt7nH/UofWuxGgli7AANdyFzQ2EIHWdp7LBSvANZWx
K0Ma6xfowLzgB6LG3o8yfQ9d/ekvgIJ5QRWgZ1HInkyvE8zQTbcADTyv+agLaBK9xNUSj9m2WfAH
Uej1CKCAGixfpjQWoRoClgCZMC/whJyTL5QNgAolZAVq18pLscAWim7hLli/GAxD3MBjaFFtUEEW
rhi0Bp3GT9SoMUoxXyQLz2FY0A6eSOk8Zl+HNr3cXDlfLMMMOIjObsiS/UJEwPf+sKBGGJZbbWAw
me/xgpQgpOP9aETzoHvxM0Td9pukXgeG90aez9zUDmiKcYFUBFM4X5S5uINk/VZFoCxmmBbDArfI
YqVouAV44Ue9PKQLBEP26ugsWIzUFc/JAsrI+cwTmgKeIbBy760UoIYy030D9eNUwdqwF+gGtE3A
oHA49ALk6BY0Ryd19YiDsV8nv8gd4QLxyBech+NWWIAXxAegA/R/w/8MoX+IBQNi1o68pYKDQzeH
3Fp0fK6cz2KBhyQLRkQtQBFcmBUSi/XDKwZoCuI7LnzoI3oBkbDngQKgwPC0IE859lDn3C/oEiYW
70EYE2JoPqQ7hNHxFqNWeNdAPCG5tqnyZp/E5jWeWpJfCxwFV03EHpkSXXCNUIhgqIy4MB5CuJd7
hUdErzwL2IqOF7UdVYV8Nn+7iOJYHukXBHV300Jr6WjEXIbNWpS3nAojNk3B2VLVTyeJDrVV5KuY
5rdwaG/nHIdFjFOzaTEQqeK9yZHK5nZ8Glh0K9HdQoS/YVqDLLMoiQRIRgzpGpoUHVzrKeUyd36h
aRyZOCFAKog15cKucQvAYOwl0HIIOpLvLOY7JMzs/O+D3z9z8GMUo5/l/x1X/t9N9lG2/5hY/u01
vx/4/OALtTKu6QYUsWPIIl/8B6QusL9gNApc17I5v/lOQJb5jyOfS8zZDSzPDsxlTeyxp/3jyCe/
mELwf/tLRc6vmPP/+p+f4/+IflS/d+u0f/n3/8C4eFclZdf+138ukLu/5JX5aqbkCMlG2uEn5Yf4
c165TmrLVpaGIpz7/lo7Rn9tyg6GUhiPpzyqHQZtcrM82IYJubn1LnAVGGR8QfwKkBZOq1YZHzmK
yk3m2MEVpKp8ctMUh40Lxhfeu+1dYXi2DxPW+qcCayd+S1KyReSK90qF/jZPPbKuoBo7ns3faLNI
yfJz70OaHHi0tVrNn6bKYF4xEeI9JKXx2LSYi4IyJwjiyXyvJbahsStvKqRylhNhsSG8H59E3w7H
Mik4iBR0w20sI/JOBTAGQlP5eIurO9+r3A/o64JAw/FttO5HQwdXL8nMGzEl5s0kJ4PnUSXrneWJ
fC8qK3oV9DFeBT2AApPmTWiJJzyOoIBcrGRlbQfGyoTE8JPsGr61YiKwLPrSWkNl7u44OoJPTT25
lfibW2Kjid47uam+DwPfRDbwNLHM5xSWVdlzbaeslMccaitL8PQQtF23GRgENqY3iXUnLP1SAYW+
pel2uO/gLXzieZ1ey0bL+yjzp4Oc0oZABjWJ6A7QYHDi7Wqo+WdzdOtvhdTjpqdgc6d6WKAeZDZ4
9wS8bLqlD31JgKDObP3dCCQkT2day0CdrTI62iF0Np1gWc/MqgQDG94UmSqOhm8cc6ooNlFdzS92
39T7uu6dn7Qlg+VPu+TcMWLsATiCHy3i4k7MUEt3gUHxITfpkCjSnOqzsqf0a0R48M2r3WKLMVCd
QuUOj6of6ieASsnNbLrmDWYqFGPdyOQF2G97AfWcP9qI3fvC9i0iFpyBD86Ye1Rp51Lez5OX3ERU
ye0mzyOiR/2M90B8mON82VFzmLSkNiHAmHdMdd6pAsYXgjyx8089juoaui5njFFLFkIgRwrlJm/a
9+C3qlgwPijnvvDz+TBS7341jV6eLaA9B06m0S1zW/uUzjLAA9/mx8IA/YvVESGkdPyrVSvrDT3B
vakjOzsmIlcHzHq4d0nY5bvBptc5V8PZilnJc95uDgZ2NB1H3UesfWYVujEFW//Q+6glptd6ZPsz
qZ5l+tI0i3uCgzyrvMkrra/Szj5BJSkKlSPbevP88qnq5fwVHgGF0CY1tVXskuoY49A4OUaLshBI
n6doLxyxHsA3frRhk955LLHylS1l8JkgTe/LnhdFc5I/+4lZkMMzYFT1dNOnEb/EQcpkGTKxX9p5
8cgOuPtG0QVTNbylJ0wZcGMH91QNnDoweq9nlyIAIINpdo+jJn9wwvzg4rs8ueFcHu2sqDYtc/9K
c7N866qA6D0T/A7iNlyUFkdeiG3/QWG3+zHTfQ7rOCVpHk+IIMrJXj3TGJ+9UuHSsxBd+YV6hLhj
cO61K9Sd0Yy7IXfxlTY9a5Eg2DldWuzDdjBvfD8gWZzfg0nvX40Q12CGonafmpE8lIKeaVhNmP9L
s28+ZcdygBqlzWCOHvmWYdySodbGNvak/9p5U61WylxmhMFb8qHzFN2S3M/2xtgtBfeT462bfnTZ
YBvIM1E44dib0ShmdsU+Dsn+OWKcpXc0CxTdM1HNba5NcpzhjXmOVM1+vAzNrRDGa0p55dJPjU+P
WBk4QrembalhiZAbyQuIIKQBszW3lZmiwadZ9S1345mwXRzcO4XvHtvWGXGORkZ3j72RHnUPcwQn
2A839cZ9ajr+ndku6XJVSPPa+4Cx/LCYSbL6ubstZBV8DXhqXGc7jl+o5UqYtvv3AErygSfizKzT
kpmIAPmU/ZBe2pQQKAml4FJou7nr6He9STFcfDXCJL+2GVXklWijnQgqFlVWvCQua/mSDYV1IBcm
Qbv41Q77jvUDY6i+GZxAfdgkFXi46Nl+jYs8ee4sVrMrWEnBDjpMtNdzTKB4ioh6ijC+E1hksDmT
O+6jenw0NW99SVfFZpooWG9Hyz8DRnTwo+Y0SEsvHfigEagNDNuBcM1OcU9GUnOQHrtjFszqOdfh
PhEq3WYM8ndZL+2t6ntQyQQZ5nStjdIGTDPu3Lrqr6KPrFMgouwdpAiFApZLi6vgcZtwiZ9bYpsc
Oqj5ZDnYBG8gEJJNgWD4inQRHrgzkebo4LtarnM369T4VLaHM7jzjV0Ree2tSMr8iBMg3FFL1t7n
WFWfo8EPd8Kszce4R7Zc0aLAInoyAAnEXnNtJs7G7Tx9Aq7m9s9ZfkZyHO2Ic9ogNrP0Wa22xhkm
AlubVdkkLHQw4jsFK5VSm2DXssS89yVrkpwVbPSkHQYR5JM6X/ZgQXcPvTE/VDGXNAUly7qNXTLb
JOBa9c+AXecRwRmu2jgYl8SC0O6XxV3fl9mhc/QbZEw64Uj8xaywB/0t69w3J4k/zFD/9PL5DdXn
AQc5lUzzoPh+dXFsSm/aNnXyBLVQncCpeU+9yqyvWTqUn/T5jS9NyAt7as35qCdT12QgBPlbQBKs
2c51+9wd69m9YdQqI0D9EBmcbWJVnb11K6TSEWEfezOxoLu6qyeXkGy4WASkf8j7gV8cHVEWRMKe
Y21YmSA+mHr2Rayqm0TVRvWmuIEyewX9RoxhtquzKSpONBE3m3ZIrQ1DHvUs0VSeMFl7b87k1O8m
cl6KZBznZw8DR/OE/SIO9zm7XTqixnaYsfNFnZN+9+OR1l+nZqO/FXEPvKkykqw61gtroPxFHQiq
cte77QuJZbglI/KCidRGv5n9MhrWcMAc5AGj6PSV/3PcBbnHOMkOOWnsC2owXmfTwN6WRTxlDA8Y
MrPIcznH+RZjkHfiCWI8xlRsX+iLIwKNHnrtaT67Nvw2T+zmVl2cDB/YCaZTE7gG50ADCGYJO7jU
y7glkThXgSObc5Ics5CCWHfa9FXYHfxc2vDC/GTfsoChQciGnBC3m7Q2ouNsRx2ZXNhiTWElJ4JE
FxcHAcw8oS6U2XXkm736XUs3XxOuQOat+4SwVhtsjcgMt02SV8T1bIUXL2aZ2YUYn0H9+QdtQv7r
cqvYQ7gxf9o6ZIxWmWJ5i79Riu+uX+IwasFEeu2ntr06g6lY20wc66TOE86P/z7E/TOHuIUB/neH
OIL5VfPxvfpzH9dvr/n9ECfMZc/GIMLHxxXS8jkT/r62E2bwxeTURCuo/Vsf138f4mzBSc2STuD+
X0fvH4c490sQCNy+mD6xVfFF/pW93V/buMxFxPdwQHisCDli2SwI/3yGW2peSO3MxtnvwjoNeBgG
/qRfmz6wy+aUmnQGsFjiMBmne8YiYpsXiXFy2EYFTzWvW1EVZSt2GkHoZ/KmNCy23WwZujgyU+Rq
aMb0F5NjH0Pcb4mTJBcnGnpurxQnpCGbBdDFgf1sOozmsFciXdB0TSt54eBeAjHr0WLF7LI2ej7z
xUl6NmXT7BYpNAdSE/bmG2b2kK04GQQ1PdIJIYTc+nY0eBhGRh0Ht0nS4a0IbLDBhW8BD3A0ftBV
Du3RmFZUhYWEHJ2q9tW/r5rfOon/P4B+uegPf3fZvExgvcvoz1fN76/578vG5tqQlof8YSEzLL71
Py4bwcWB/8/ntk4ubtE3/jC702bM9YbNnTU0Z8DFIv/7VWObXDUBV4vJZIAbXvxLwP5F2PgTqM1k
bU4FLyV2wrJttmGLFf5PoLZQDwIprR6uuvgetTny4bc/vRu/ay1/1lZ4s/72G/zFS9+MMi/UyDfw
UxAjNOHo4CPpr0kAx+H7338rh3fyH7+X8H1HcrfBboWK89fF/SRakTu5LW5SB4AQ12zx+zUM2iar
nfc2HSP/M2Y90JkAsxjOZu6KzvR/2DuT5biRLIt+EcocowPbQMyM4CSSorRxIyUR8zzj6/uAqqym
qGzKste1SbOyEgOTw+H+3r3nRvmR4lAVZN/JmnJlsGSWhcKTO2C2YseqqvsRkXYYZaeuthrNuhBO
OR/SxotVfefGYrpwLK1Qd1PVbmMjso8NMrnrGNU1+xbW6nC20edQLTLhKmO+Ia2rWQ09KzwsrVkV
Jp8qjxJ7TSRujrR7zUmgZYtILGaJ3RnHWi+j+2lMUZ6pilbI3E/psM36KDWzC8nKZW3jF7p0ybof
vmoF5K9EC8CBuSjc+ITblnmFWaacL+IWz+SnAZ6ZlW9MAoQ8jU7/zylNvs5vr0/kv7Eef5o1bMpH
bwbvbxnoDz/qrMjbX2aNn3/zl0RGJ+mcaWGxvBAEyKj+z6whzX9ZyGOEdEi4fNXP/Dpt2IYBNZAP
8S8VU2IxpQEw0sWV5erCtuQ/+tj++qYZhIXw+ZScIQdZaJK/ThuU8bqZtru9d13IE1kYugh5K3P1
5p78zdyxfLHfTE6WyzKDa7SYICkZm4v56NfJCdS6WQRq38V5rq8Qjrow1xR8+Zb8gsyR5iGdK9b+
xdyWXz4+9vK8fjs4JWsSTrhtkpv968FDJ01HM3G9fQDuP8HZ1wwQcBDwZDYyFKyYxRM5RKWHF4Td
AfvA6MeotXmOH5gKa4rYYDV19EYA7Ke+WWnVsUvYGDduvLiByetkQ1+zcaYKce4aqW4zJx3W/4+L
kDiidNtDPMWe+NeLEASHmFk7gwObR2MzWsW8zbQMmYkcpvvKFOyy9IQSrJZNva+LsfyCxdtd20Dx
Ob/IW6Q5BlER8ExAJsx0ejyAdL2bpIfR6xPcOXSqs6hrETzOLe3pjP7rx9fwmxmLQQACxGNudxGF
Ge/UWA2LpG6Sg4cssyQJhQoRTIN6ossbv3x8pOVT9H64QWZi8Yiin9bCu5uFZ75ZEGDevjcDsUdn
zsNz3OpYt2Z1I2x0Oh8fbxlB749H2IVrAV5kkL1CVN98ew29yfMMjNa+D6L6hhmFWlYXeKePj/I3
989aPvEo5kxWxq/L5jdH8Wqmi3TQ3H1tDNEO7udLaXrRPmncu48PtKBl31+PbbAukbx4NEHfTwpx
wFp/qcvsjRmCxSwbYxN6jJlp4sFNGdms0GocDC5Fm9yCGHVPJUajtYUU6zaklneR2XZ1U08OYgan
p49X6pFYeuAmhJC0VMcizdl5Mjbv+0Dm1OBnAbs4iAcUMVbAQcaShHPdNaJ9Y7BJH5w52n98kVRz
318l6FbW3bY0JKYcz14WPG/upzKwHGGbGPdDTLcbhioMxkA16MHrZFskDXgFs3gZySXDupUi1Zlk
vE+zuNv2etlugZnUl2USQYFsc5MSay4+60YSXdo0UfE/Zdlnu3Lo2Q/GJ93LKCvXA5WAGpvynSGo
zYVzlK8BBoz3YQB8PA+iaZdQ+ov74CvTWULBz7ZZwRgEhUeE0fB1CfdZqXCGB06013KMtIUdkScC
vHfXmIV7Vys7PsR0ita5XoXtil71txDhpp81CR2OEpRpmerDkt0grRNxw+muV45Ntc7A5G2Vne8g
SUnpwgTFPqmL5AH3hJ9WmItAYGhXVBun79NEgCTd2xZaUWvubGWhb4wd3HUzbec1Xmzrxg5NcVd2
DenxQZi8lPC5cW0Jb4LbVoe5QskvTLzz4fhIrZ6ya2bUe9vz0kM8xeNpBhZOIlyCENuNcm9lZtFw
BdyGOl2c2k+iajYaWWo+IYc/NPhaZwjB2hpmb7DRZH3MMqqsqaNXm8TwDmOv5ZeFKtXKGPOhxf8O
R0WTOQvH+LTcT3rqcemzsqcKU7Cg0zPzix06A/W4UByCJMtOFp7Iey1NWhzc2CEuKXezc5uwFG4E
3xc/zgZzZxSee6AKaz7VymmukZw3AB5F5/mVbMy7xNrmSNo2aBIo8Vem+UTTA+RGaGhrEP6sqBcP
9D3IBlTZyTjwaAhqgT0U7Iep24aheWMoNOfMbf0BhQgdEirqLhV+47tZ88zB0JQ3U52eI2WHPqq5
ZN0HaQfLhEJOSCnLrwWlUgPHgAgseEXeGBBCEpxpQ34NUeTtw7YVt0qfp01cO5/hHD3BXc3XCOhi
X4sd76HFHkdHr4bMOHYD0TyJtyr6efQzgVWnowS1ansAyBJ/P1NUN/h6lsdYKItFuRZ4u6QBTThp
LlEqZThxMqPahsQC+2hzC9xvoiJuhI+RJOq5TbZR4NJzjYclB4Fe6a5uljosSi3sm5TiaypYT3gv
xE0XNZK0+4mO8UoYcXmFZZAnxEaiuphoUB7AWqZ73YzEXha8Lo42FcTYEHI4Jx2uRVAhIU7AFWQS
5Y8izr+RPxg8xkrvvjuymR7Nvh6OGUCOQ9J7LaXz0jrVQit3VYv2DIVMf+h03i9tgm3VpRMl8hWU
vEanXUuMYbXWl7ZfJgJUYNo83lu9yLfm4oPH8FZugKzimpugDyN0jHa6U+WnCEYURA12EBQC8lOc
d+SgRNRlXxE7RGZ1E+kmyGMB4SdbFfcT0vl6KC7FRDlTQWtaNhi0gArq7LSEaAYGfDl0AP8r/Ggl
nSzoxVxxfZROS64B8sa1EbILQkXVfAYOal0ZvKiER4OYWeNyheQtwI7+0ON6QEsrABwQFv0thCe3
pSwsH0IYFycCQ/U7TbC+ADMWXhHgzOqkZ8lXFHjOHBqnnF06og7u2DpvRgxHtylywsc4NpN1IuZh
jYp6vNZsmndpopuHwaowsQRe91C0dBorHFLfZy0U+zS2mHvIlFtVJOCcnZQk9BlE+H6azPLSDGd1
lE3Nl2ugbOU7JiCduMjLjVf3XHmC+BgW8oBb0DQ2SF+NjWVbdKvIacUYbs38jeGlzecA0A62TZMz
STpP7Pq+5ZI0Rw9WrSkxobD1sjemR0uTIF1AYzkavZJUSkCJFFo92akjaxXbLxXBzKwj62OPC2+l
mzA9WAP3D1FfM6+Tq3CMSV4nyc62sDCLrNqpXLMvQN5ptxMHIL0I7CRyMUnsmz2F9tdB2dCalBO2
t0KSi4s7BmMpgq11LUP9Ubj2RZOg9pRw3HdNbGCdYr1oXtij2LUVk4JOZ/2yNysoPWE1HrLEcPw+
jcNtQRrXpiB8C6aQAXq8xWKZDNi7aCaTn+IhQwuDfleX/RTuuP0y+YZVtgpPdZOROgqZFXjhmONi
wkgjUNOjvTt5sBIJ2BsRKMB/NazwEtrxSKDt6+f9vxvWP2xYESWymvu/FT5+kec/vrXRt659u2f9
+Wf/u2VdogN0yAyms5SH2VH9u9DFllXS2RHCZLWrLwmR/7tlpajMgtug0vWXkudtpcv1HHuJJpA6
siH9H21Zl1SEX9eny4baEIblYn4S4v1OwsYrRmJA1O+LPNCZsdA6h3OO3B1r2+Qkz65A+1Kyl9zk
3Qh2jixlguqm5EhhBbF169657HxQ57fJeSQ+tXeZRaTmoFmoYZ8Ijc5c3Hv+BPeOlhtGSFhYCBaD
EmScW3nb0tNQ5Th82aVn3JRUfNcipMsUWy4swEqO0Jw5Jh0VXgMyfnxB83EdJ81jn3p0ByMoSmVh
+I4dPztaKdZpxj9P+H74RS/rQ9nXj7oblv6Mgn8Vz7a2yZR80AZxy1r1uUclzN+Wj2kRvdBfMVdj
ISPIUcaNHvI9MHKuxynHdiPq6tHR4wXyJMnF1rg8wqcMBBsASgnuPtS1ewjytiW6iVvTe+QAY7Ij
SyR5MRINBhBhDqsCV+1aVPxo2nMLrCS45xK4DcI9ZFFD7kzNv+oF59CXFkIAxQ6oCwkkjq263AIS
TklKgY2GNfyGJC2oQ/wlUdDIsj1iHAj5RWUxcQvK1CSQudXnm6BIbzymwg0mb55JQNSMbVGYwA9p
bLqKEzLxnGMLDe6TxkOQIBftQJG/THlV7CvoaHyU+Z4NxDNDvE+DbyrVCEWqidMRCE3MfCF7EaRA
+TLmAZOWBHiTiGRCcZo75arkxCIUVbmWztty5lM3uNw9E1zSerDlwdW1u9dBElWkMExW1axLyTgA
K3iT9QACauHdDdRXsB7wHyyMN33ESQUx5hBkJLQ1YlKpC/A2R+nx9e3LZRS1/FsKlpdRoyeUD9l5
wa2IfUehLZ4NBlZHFdZnf3XJeH4ZvYTWtMGpp0P0TK2JZz/zv2K8OGy3NJZurdv4si/4m4y71Ogo
ZgwqiGfW0J5fN/Xj6/POAmBePZoJvx243iBkyGB359FXtEU6x02PQg9eeMkZ1TQ9QO4yOl3JUCmW
dyGo2uk+hWC6ctz42dQ5Ed48Ou1skC47bhc29rtp5skTLsXbJQd1BGQ7n4kqLfk+No8Soa/vSJ6w
2zGYXN7G15uRs2lBoMM/JWzqOStYsSghYTEbjb2xoAv6adKo44TS6DZrWMcbJWEWLGWQU7clQmKS
xWB+ApDIaotbKnrOIQibC7fRxh1rSv1kViryX7/+ieSlZK1wigYsyujVGGWIm0n+ypOza/CiAi0T
a7enzUvDOt0AX3gBnxHd9KF9+fp6kWfEV1/vliJN6q67AjoqZmls2RmP20JAfgxCke9GGtybXl9e
Q4Dv/uuzJZnPXGkqPzks/ZlCGAI5LAvfHLg3r6Ocb+y8Lcra26EpSTZTBhDdIVIcyCbD+XUALCOc
V/wmsuZ8Z05MY17P+23N3kxQCI+u7bAUtzXDCOFhu4ENrJ7KiJBqO+RSWVahIQApv8cgw+xFeAVd
fR6BnrwgjjJZn/L2CI23OTNbj3q4ro6QNfITy4Lx0gY/6Q7xs8Zulk3WkJ9AsCcbuueR380C5oTN
e4oRSCenMvS20mGQ5RkhT5hKOHrO9IUBHJUqk4NO7nk0WjsvhG6MuIkf01lLWo3pLHRuc13XFBcq
o6kPg9O4a5n3LvTBTOwhYVALSwMmRZArGzXw6DSZeDvVGTchW73drFOCAC4O9NrqgQNWXDaLVEj4
3WIll2WxpzHHf2Rq/pybDI/K2+tL20dOj9BMgzNNqIVdMyRq27oxpnjaOQrcs414i88OMQ5TNZZb
qDg8vwICV1iJ/DQ61kj+efJCt5JbM/EGvN5rqscsfzN+stN5rhimk401Epug0SxZDIMV+fWaujbQ
erD6Z/PuquqlIrdWki224aUvV0HEfGLhO0MIX39zhWZvck0P/KKSD7ibSD7Rwmtt6C5lQZXPHNzg
OEVjQMEvbVJAZpjBNkbCon+Vj5oDoDmdvyb0NoB7sCJwNlCQUJDPBNU8G2zqoIrEnu1HwrizIf2v
G3co4zPpOB32asEjNIUK1AobN6SGWFSwNIqoJZHFwg21QpmATrMmNBpAL+b0zTh5dbNBS1WyWK8q
7Viq7kkjlOt74/XfrEgU8MDMMXlxK1Ob8b+Bp8R25I3Dvs3ZS3tZMnolWn2CPgAe8M7HAMYIUjRw
S+iuOntDMWvk/uVDcwnW0oXq6VlNtoey32qPU2BBJe+CPiWu2DOhENSwc3xoxhVlnd4xAPgYudJu
847lQyidPxTefqu7SdOCiGU6jhQOGr+lkv2mIgV12ZitooZqGk0EY8zhS5TwcTHh9nd1AWqBXrdv
RYz0N0vA65+Vyretvd/qpctxLWR81PSE/M0nS73KmLy27Pb68DrZ8Q6aUfI9H7BXjmXyh+rsb3XM
5WgSrThlKY9K/7s6MMhvQIxz3u3TiQGyrAS8BJVsgCrz53X9dxPwh00AdHvXfDMEfutanQrqIdHT
r9buf//VvzcBrvsvsomJWEIo8tPC/Z9NAEp/TNWLT3vp6/zcH/yl9EfOT9NKwGpH5UQtnKLqv9vd
Bj+IloPFi2GwwgJf+E82Aea7PYBO5daiCK5jFtcxHBjL///mXYmmeujAvtYHO1ekx8expt+KsJoJ
ZsRIV1SxS9kEAexzo0l1x6emhrSdK5xkkTo2Sz6vhEZ1osea79jps0xDhJitXDfR7lwMUWsZgltB
OMo3Tg/j8QqcTvcjrlkvkHuVPlhGxTI247MWAFo6FwLW05oAZGDqLD59PRD1sGthPO+LKnM+dexE
Lt88sj+/tdwBCw8GBQkDpxFKmeWtfnMHCP+q8cqW5WGsaWY54ER2AQQU32jb5bo474+P9+69fT0e
H/elIeC4yBaW2evN8QyNtlKQJOXhdZ2DYu45gPmNiYF78PGR3kkNliNJ09CRRNC9QQXw7srmztHn
hr7dYVAsq6HakJgz2dqOvPXoU2+k1uKuVLcfH/RvLg9/imTby2CiNbD8/28uj6CkZshyqktYdFFU
ax0Lk0YYEsbbaGOG/edHA53gsIvms4ng6dejBZ47RHkWpwddDHZyzutX4hDNgquOHeLHx9LfdTqW
++lJ3laXuR00wXtB1ZgELM0TER2qcEwhw4UKgUhVITd3l+5miHnsqqs7/TQ0Sb+fU4kOOGpY6n98
Hr/fYTbrrpSWkHScmVR+veZUb+SUdWZ8qLokAxPdTM3aCZS685ySBcfHB/t9DKGHASJByBbtRut9
jaCuPLaSoJIOpT7PN687WLIMux9lWMLBmpoIsYXMsXP+4bh/d5F83NDIwcVEKvRuXkpoYoGBKuND
PlQ9IAae5mB2w4A7kZ3ux9f47lhoY/h9lHeCSdXWxWud5M2QteAw6H2ITSDClbiGpEzMQCnq6SJg
D3P/8bHezbevx6LxzK10pbDs9yhNmEyOVmuMoXmaEUVjv86OQP16ff3xcZZAybe91OWakCWyk2SS
Ybgavw4SIp6aGrp1dFDI79CgDzEXZU3QlVVv2p/CKKIePtYYg+A9w8PeiCwIzx+fw7uxs1wr+gom
uqUE5vxWX+oxnUeLO/WgejzxWGkqYECzRqMEbigWGtfGMGlOf5jPX2/hu0tfLHLOsgTkG+q+Gzqk
KIIwVATrhK4yP9exkx3Bq0yXZZyHu9osQTTT9Rip40xjIH01dFPPxicfv+tOWtXfyt7LjonK1T4Q
WnZUkeI/c6zdfHx3/u487UVM4SHSxNHnvFvAJRAGhxmk4J4qofOMr9Oq/b5KPR5R6gzOPtdimJdT
DJdzo2FwP1NWmShpk3h8QDphXXgtXqkxcs1LT3MauXX6sIjXeDKAlH58rr+PWmQAyOtcmpzuQqn5
dTQJj0Rfkq1w53kCfEASuIDH86ZpNx8f5/c3EV80jwzqEfoxMlt/PU6kGdwUTCoHgCMzNJmZzjdR
HPZFihf808fHej+dMzxZpSOO5eu4+CbfL6Ant7EbeB1M56SPrwNXQUdL6d3iO6QNZGCCKsdhutC7
UX5Bx4GNobDbP9xYhEbLm/jrcEXuKKRA07SUg19VBG9mn7QuNYM3Q+1lR7nlIF8jA1sP2N0hQOx/
o5mOeH6tKURRlxETVoZx4EfR4thxqIddYFFUR4JPpuu291C7w5suwVOkbRdRNKPik4ZUdkIsnbdz
aqqXnlrtgzul83lOa4Kwvap2PslqJDIEG/ZFT0BeuWqywbglNdz55CAj3re6q59CUGPdWpSRdkdJ
Yr6BmWWCJM3D/orGRPuUwgR/BsCizo1WTsC2x1y9ZC79p2OeVbAN875U+7kh6GEby5CYDlPSK1tp
gF7YKGM5fQo9pX/DuWreD+YrHJ7YEs0ndcV6SfvWGtZZOxLigmgoPAcmb7ZlM7XodR89dyGTd9EE
WAoLqBB+nrFshEsh3MAfIliHWxE61m6wKNmB8AaT6ErKSznRFl9cqAzubaHHjDfe/iDZJoVX4tIp
Se52DXhkK9F08stMljt8eS84y+VvG7vgNCYbo04VDc2wklGq3XmFOZ35zqQPVTUNV6+3VzlDuzHy
UNyUJvrGYzHD6TooPXDMo4FS+5ygneo21bykw7HxY7bq9OkCCw0zFARa7SvUCUYkzEFiZ9JUn/dQ
jbh3dGpJpachHd5ZY2R97mpSJXwjEPm1mZAwuI4tfmcAy3PGyAbAHO/GMzVVXDMKNkmw82YvBSNi
81GIA9O8d3NaaCsQBNkxM43oOQ0ygyJIYT3FdgVhhJcGEYeKsvnGHmic07Orx2vRV+NVNFl9uJaW
Hn1NnZapCdnLg75QgzfmMg6zgbai28WwbKbQbaP1TD5MuIZsNm/zPmUsSbRZ52CYSF9UbL3oeEHG
vyEximj3OWOd04U4EX1KEl6zytC5wPNjgG1EE5ZP4YBKqRhdRi9m5JHeWjgWe+z64yU4f+3OCUGf
LC376UzeQnyE2LrxZsxqY23h+dXSatvGUt8HGGA2VYMgjciE+ibAYXIQbp1fDAEMfwwY0doxGmzA
Zj4fuwo8IUpmdRe0clNYXfKEhCU5k9aMTV/Z8iqb5S6BpeRXuRp3IorNL67La1fCjheEIOHOJ9+e
stzsG+z5fN2BuuKNReZbNSGkYPws48GLeqhx+XSMdRQvYQXHrQuLo8dLAk6gK1dJNpAXmXFZyD1q
ZABUkaae3AajsRRMfesL1ETzjAr2ql7UDn1v4u+dXMvng2NuMVrdUxzHMtWUBjBYnC5dQp+1zYdd
4mXCT0AwQkcVztorwc5EXnjbhNOzVxpPZac15H9m5npCr0vlvDcOmnAfK6ehRt2bJTlMI3oC1ZXG
V0iUR5xgiBeN6DJ0ooHMUueu79VFkcvgsSUrYBNa03gM04wJ2FrWSCQ7XjqRaS4ckOpGj9LmqPXU
+ObZORGjNiHuBwUjG4+oz4rU6x8V8Rn7SS9IqMhVD4kRFUF81Knb6SuF1fvUYWuHK5haplj1kzHf
28hNtuOQKkiMveFdwAmtrlgoWeF6cJgvEsJa7jEhBPfwkIZPU2GzfiggxQarsp+ncyIxFSoUmFsr
ad3vkG/qw4j36xBWXsZBWUWf0U7fuvYw3KI1nHAzd2hQ+P7YdJ3KPvTxc2XXTStnX/KmpQdLQyS3
MpJC+fXEWiShAp4nudP4Dh0ipiLShANL8UWQgSf3ZczWp2P8EUE05VsPKdiuG3oLui2ahatGtA+Y
3NBPDKjNrWrGuhqkBQzS1kmseGvHRnZByFayzePEvhbd2Gwd2QWf2zgYLhYzeBup4RgPnUCxTfLK
V5zjjVrZubEwiZknKQHW4dEkzheS5uCC4uozBmbM2oEtQqrhIazlJpvqxxyh7BY9Rv+ls4g9aq0x
mVbgfY07I7Pl53Ggxr4TdoS5EGvcShUd67F8rPYlMTWXo1Y5N3UKaRKlS+lrbSX37KC9vTfqBklN
elf/KOnlbGhgTMeqNQFWWeLsKXRjvgUr1LK9nCVMLnedTL0bJORwNEiQNtn8x6FFmQL4mBZpVB9a
MhZ5qN4n8nPgt4Qqxbeo9da3kZDFG0l43oEQl4b08MpYuw5DgAAw/JoqsHeD1MC7g23fDG5k3SdT
U1xDijZX8KTjg4or48wdjNZm1vtVr/Rdb9sMbC8/ExQgfJV5xjV2R4hwlTRPHkjxVV3O9idlV/o6
c4dih3Ck3KZz4z51LZfERFP5gA0i03fhKkWrRNlL5EZuIDsbqMYHjQoectjCl52AEidmxbLfMwtY
mo0W55uJqCpyI+I+RS6Syy924lDEKargYtRslzRsZaUHTLfTj5btOFjhobtpgUVTni69nsC5JOeb
TvRf7edFb1+yYy93SSYlGwC9OKb61PJ2teV5iLP0unTs9sptxnFvVgSM+JHn7jMgc4fBzTW6bsq9
KKpRneMuJ/Et6LPnJK+ks0lABn22ArICHIe2kWdnUF1LGg0HrcupJcVp/SCb8mvGT+PdLCyEI/Zs
pD55Av2TKK14YBJotENQdqxl0Ya3fhWSqmrFM/m8CvqsAA/PE49gbxrfBg37dNSVZHISINds8iCY
zhJ61bPU8/44k0y1dj2+gVVoYukl1xv6T9Je66JvnuM6Yc7+adtTkGAx8fU/LX0I2haDH2hHSNDC
Ii34JSSfGJFxQ6hRYAGtUGarvVROmJ9HuzTITra7ey1Q/TPBpO6XoMOgvcrJuU3Xo5hduhY2jSxy
TqmI5HvNsaajYWBc3hD7ighNjy5FkhHkTYKAvooremnRkt/NKiq4nIxJgkui3g+JWh3sAq03Z9WO
eyuPxdkaSANMk4FvRmFMU+anXec4rC6hOcGsqMhaJRn8CDG57MhTMAqms2kOPkFWgl8ND7o72IBe
ha9THWJcpogOwVxpd7jNxdZLCp4bH4WdKcr2WM5R961kb8QOg5ZcrmXchdqNvipMI5AZWOLQ7ywh
UUsD2akjTPUwkavxpBml9mI43XBS7hTc2Tmmab3gZ0dr9MiEiEBTdiSsqyVrPUU971dNdM/CWBH3
4IhVmFS3jvmAAD1fTUtYuyK1XeuyB8y7cIdd7VYSuATMPp9xkbhbawl8B4tCymIC9BdDGuVOCSxO
z5ESueyxV/mSGA8r8jlJjTD3NfbJdPRJlp+cYG/gkN12BM7jSPd27OUtv6pJo090F7xX5hyNJrN9
PSKwISOzHt1f4CPM09ZSMZxFPEJXszN86frTXPLDYdG5O2OqklUGIn1HKPP4qXIM4nk6NzjHef+C
RgIM8gw9wel744g3V2waqlnYcad07wnKA8bYT7zPNcyjsBWYpAlzYo/PV4eF0NHqCmtDh7HaZkPb
nEQ7xqdEH3eJAzwRnRO0zgm4fDuMVwNeDfLaR2dv11XoC7r5bE0gEXRk6aKHU9ej3gissHG5ddvm
RwuWaVNqxYxqD2FHVnlfSZYCMj6VzgXYXEKHA3FApXjTmdpT5FjEWpJfjC70kpSAY6ZVX4ZsvuoS
RY6Hc1/WCnx4QcEojdoLp55f4ip4wMRxC8WJDA863ohgnzwRDbsZAP9Ktt6zboNomOugW3uabt+D
dYVTURjPo6ezsNICJvnQOKRO3a4R1mzjrrwYQzmQ1+58y3paZga43WBla+wIgqHrPs/m/G2EauPE
nbFdYoCh5XtT8FmUzcIqrd3kiLSjh+ZAynMRmagKN30VPY5APvfAZU92dS9IVL+r0MtswiaCjhGE
0FK9xAeF2T1qRg3cf+jbfc8e5tR1tbavx3h5zQnSgAslHx0yMnZRVjnumlDS+hBVDuXRIV62E9IL
x10x6Cyho5qw0Vl3ZrJObK3eEit8ayOW/i4cfJRHrUwp6OAXbVyxM3pjMC9aAKBNvKpCRIapAVbO
R3iXxE9kOaL6nWiIt4cAYBrt6QGZ94qqphW3yDlT+GJNQAZawnpoL81Oapdt18po3UAVqlbaoo9w
moEtZ0Irue4gILpBol4a9BuM7qahxYCElo2I4bKRAuFWsC0KGPbdumB6oc609DSmolNfuoANgtIq
9hiFQQ4H9L/Lim/cg1up6QyMgV1yJAH1TZUjLmPNjvpN601sOzrJtDQ0senn+rI70aOx/xHPxnAV
O5N+EjoiAj3A8h8mg/oSZBpF7sCS+q3e2O3GsWt2IsHci2cEm459bpf8gxUmN0IFQrtsPhP3zNIh
1RyxK3WzPrC256c1J0f6U7BBR5gYzFupS/ZXg9N+ddLMWEc1y78VrV0a5rOPJiY/5GUQ+zOf/IOB
ugECm6nIZ7MpCjRs8t1OUiNYOjWvx3tVFk2FUx+UQ8Ii+4R+J6SVPb7+E4/A9luEpM6nQsbeDp/y
vAe8R5hh1rIHG2uDKoFrDlcD2sy1xmaTXs+cO5/oPU7nqA6B5YdttX0tFJcpqjFjLJBvJAiN0iwq
xSqKIDBCDVLHLBySI5Ex+c7J7OYzDW0uIIr5ReaR+aah8HJtR6n+mHWCp54ngnOG/HSoyZq8ThA7
bl/FqyiP5/NYgt1Accx1QSVXd6XNtq/qASX4AL6rHUs19vYdub41ShE1JIDhqYpQvGQy6HR2J6L2
1oXV2xWYAJFljH8xaycAIuUTxb9oJ5KYiqI7X3g10RkrpAVthCNfEdeVk6yybZNhsE5pBTnR1geb
tG1Us81sU7xSc0J+LONOixDB9THaLrji6UNapzPxuQ2yrR48JecXlupFI2CNogjbrJu0W+5J2tFl
0/mfPKuROOSe20aR0rd0BEgIR/JdsZTiGhR2ZzlB6pzTAXEIzCfgHYyA1sLguPL65QfT2PkUGJ4G
xRmRR5kizWklYiYyK8RjJviTJLfqw6sEpCxa7pYOyJkUDFNO554f2kCI9+x1NWjiEU8EeTZJiyAE
3bh+G2osr3VJnXX9WnjSNUO9zDpYzj5mNMGGpsMIhfSJUiJeDz7nPZSVUT95dMyPfaiKJxWCM55U
yKujhbzCuJ3oTQ6tgvKkF08JRnVyckkzWU1Nn+KGqVOl37I54ArJy6X8pcjbZQWshnzn5ZFxYt9S
f2695fZmIk2OXcFt6pvCuB0StBuvL6zRJOH3bM7KJ3gQHHrsmv6YtpM6tJRc8ei68D0A8PiBoCKH
3DcG6x8lF0y+z53doHbQI7YebfktFy5KIZp5u6avUfS0PJ2WgN3P1cgbqLrJo2KRe7u2RkAVFM50
NimBn8usV1/qAT4HdKNZv0gDQ7/KTUcd7dTkzFt2PvY6ZzrcCdgCyHhqHrG9jIKBvMWTXdqUFGwL
4UXiIhMGTNMxSuQsnhez/hOtSK3w6cXyThe1rdYFu1NScZgfiZzOEXAhw5nZELxIVXLBXruMwVog
/5I2TqMoMCBzu+Y077VFIUgoGds+SIv9D9dhn0zutD4+NkU0fh0Xus+qYUFeU0olvxWZlsGXsYyr
k970+WU4tN0dqaTu97K31EtEBuext0My7oKBL5MVDWSy23JCbpgzAnqvUl9ix7YJy6zNWq0lkdfk
HpRRMf0sP/9X6PAHoYMLV+RN8fw3ncP6R/o0PNU/3kqdf/7NX1Jn7PkQJmgQ8HljP7zomf+SOtv/
YjAgWsax+GuAnen9C40OMmjPBCch8Kn/R+Rguv+ia8RqC0MAnxNDmP9E5KB7qDZ+rbED4wCPiO+P
Ov/ftFpixJ/67FX7Cer0Yxu3ebl2SvavUM1BfI2yztptWU3XAGPnwU8hIGPr85bqcbmFT5gjrjVn
/VFRgWe6zxPSNTwx/Bjp5i0yxpj5BjxfGrTXuatpBH2kXy2tRnNElXabB16zm0wRbOrRg6DBTYQR
jvj0U9yi7BvheV2msQ3Mxu0QyEpqj5av4qw+OrpI0D6iYtRY5sC6IXMej3R9MVasWJ3MZDs02vFu
4OSMlVk75UECjT8UWt3e5l5gHQEifo1lpT1GaYbQrvof9s5rOW4kzcKvMi+ADXhzC5Qli65IiuYG
QSPBA5nwyKffD+ruaUmx071z3zcTHSNRZQgkMs9/zndqGuHkXO9h7wDfXZ3Ywu+I+cy4oaq5uxtp
m3G0gg9J1zzxRPMOU1MBUblINwjdGrHmuqfiizAabL0p1NnObGodj7hD1dsON4fYScWrp6N551oz
D3yvv+obHI+DiZvS8B+Al17RBkvr3VzfQwbBCYLbDUwZ3SooS+v/VKdmIS3mi2fq5AjEGf18gVH0
FSfxcaVfhSuyDzX3VTLcDL2muecUrl6KEh+osEh3FL4YWN5YvmAKw3cNHma6MkAVgwKI3fUtyBD9
wYx4llh7T3n6jVVo2q4fi+Y+6YLyC+V59hdjZov03eJMBNDauQC1wAH2MkzB9XdK3OouIZnY1i56
e5FvJKLaBxH0lFllsclZWpSIP6a4LQH9x74ire308oa8W/tsF/6D22XNvpkJ1hjdAmEopltbeYFx
CNisb9vSfyyV0GRoW9MjUh8olgrUJl7Mrrozg3j40HTK1SNP6tZdb5bWdQUB19iQwkKTaXDxbMu0
vrc0Y95abd3yVG6sc1f2wa7z45qOodSNYu6cMM/GDNSFNkZjNctgj/cGmFYiDION9NJQDuD4Ye+P
bkNn+TxcJoDeBqpENOfRQxu4tCtXf6Wvmba1hV0RtfTQ3B2+y2Zn+G1MwTWxuMtpYRp8bKDBhY6T
9ws7HUdhR2kp8/q2BN50xSnCQvygIhyra2a17LIQgavc+G32989C/zcLfWBYjG7/c6wFjGXfZh/9
v5pv/4L0MVTvP/eW/vbzfyz64IpwqEFQQNlc7WtMc/9Y9CkgxXeEDcgC/rKu+//Ot7C0r+PuFVRL
gh33Cn/0u7WNP8LXZjER913ixCZ/9Au09q8gtuvj45dFH5aLbWFeYXrlMmP9eZi8GHVhgNvUD8Xc
RFXyrUy0m5ktHYDkTT3VBxrDLjpYXdxIz0bBymZ1f2fC+NWJikGPl8bdZ/GZoQ78Ms9uHJeWPH8d
S5Gtu47t5yUQp24stnW1Swp2RXpPIjAQCUW9ZXwlOMjtPRMWyWS+2IQoVIpzHcMEJxHkAX/XM+IQ
nnEtUzdmZjeG+IY32oj2oosPe674S8QMqJfQilea5QFCUmlBRJUS7cdONagAXdixhXeCg930RBKS
wj1JfayBqus9rmCt7SyGUcUQLVb9ZfHZA3JNHGbgghXJVDx0l8kweYjE6s7uaUjx104AX7vihkYG
7tFHu+IEg+2OlWfYzvXaqgW4zw1eDEsD7uC9gagkhpMbFH1Z1GB5EUoPh8Z0OzQlQImK435xnrX4
gVqAFcFebZGMX3le6Xv6/m6TzqP3u35XyRD1eREhZpR7V/E2SNat7oj6o5ptfV9QTh0u+vRR28km
cYfuBCucijBdRMLteDG1ywrrJqkYpn+/Zf5ZXP5mcTEsGor+anU5sInMsh83kb//yO8LCqdFFgDW
DM9i3IzVhDv6DzKUq/+PuZqrV5/f983ivxcU0/wfkyQMCBZkCpycPnvP3xcUg7UGXwWGbAwW/3Vg
zvn5bl6pK76Da8TFy7R64b7XJP/g1ABEWqrcScx7cLhiCIWqmFCTPeGgo8qKHhg7ae9I0WEh8grz
IU0L7WwGctnXtrYQsMl8Jyq7mdM+meppQ+414lwKm3SmMaLTdf4dF42R+vexyW7zFs84MgClQQ2t
Bcz2SOAIQmgnU+OMnAY1+d68WPYo8sVZ5UAhAsidYWpgz6uVBgMitYkea2s30IwKCni+66e3IBHL
m0diNsPQz9cWET7lhNkWLVpTqcsLZ9HE+2Cm+VufTMutViyEA/18eVloWolYrAov4iDYfx3bxOBc
V9rHBNDXXZK6d0avoXo3ZWc+Dtasir9ZUL9b9/80y3z/FayGNn6rmPXwtXJs+dFdWinbzrW4c+9V
awVHxxqALphzSzV0M+OyZ3jRsziZVXDbMCE4ganmownXbwhXFDr88rVOxPOc5hioYbxSJPyvwZw3
n0ZWaE+1dLpzCg5g62R5fjWQoIMVmq5KTcmJPklJ4Q0QIm58v33sS4vZnJhOkC+ZXKbmHnf0Zy5d
+f7DTXL726f7MVawmr1/eJDxoXF6rhcwLBbMiYRDf/7Qwnf9hINIDb+6il+M9befNI3xbJg26W4P
WWzIkQ/xQ5BPSuvKhPPVq11Hhopc5qy/C8p/EIAcVPl1b3UxNbg94oX/kpZpfqWcwLhMoHXepINL
jguc7a3jx18Sezb3QZaVX4oah7JblPoh48m5T7Ew7uHTupulafut0gFFsPjr46WurM/aHU4TBu9D
P8TOAXs1RCQ7tjYZUTvGaiTPdBGkOyd7KUWQX9h2M31kKbmMkoniB7q9dfSWsj20hPiQAjmLiXHY
9dk0n7kpi2tv1LiZugJmi/Wps9dsQzduXYb0JDxh7sKlQX+Zh02WdTL8rmPqisigma3CRV3P57nm
twRuJMuvqtSSp8UvTSZktfjqlxLxpIbU4LJH5cA4E16HN9F1jJdFdllCdrhi7DDf+rUxXjmF5MOZ
FmnCrUxVflhaIn8R9FDzrGX9fNNhJDhho0moP/LJPjrrvakViMsjhV52Ctg+SIrkZNttEOnw1f/G
DPnLmrUahal/N9iGGRY7K6A6P187UNTiOBk97cwwB+UqGOq9RhX6l2VGP2o9fO5A8Lh22kZ9TKav
oo6nOgOtaUk/c9HM18I1Y6bounzypM30Ji31PTjF5zlYY4CDWz3CzSelNbZOGeYj56VyNfc3aweN
3icKk1Qyk7BDb5v1dcTgLXzUZdCWK3sNyrFcLbvRZkTIgtoUF60jemPr9Jq5BaML7iVnFnJN8lDd
fb9skZGQuDOEs1aSfjMEZ4em9PVnX6u6pyA36EXTlCT5mXFErkSKw8iiC+y91os9Tj8YkUQqVyGe
EebehkTpbQs/9W98Xf4hKP1UrPDjrfvdHv3nerV+/cgaPkZG+hzgjHnrrf3DI2OSxLwS1cZnxiNI
Bb3hURXVSu0+VwGfwMhNnYRWpz3kSzbS5jGLQFzNLUCXva+vBiiLexATTylxThWjeCtGFxN9IKfV
nmi0iIZ48vimzdKA5zBou79ee/6vD8CmjrcFaMois/7L9VOromuNNPHOJUr9ds4NVHWRJDsJf4cO
hpp1Bloi64W5UorgX2tbcq0IjviOL40JmjH3Hnlfc2nerJmkiEud30VqiiHeydKPH0qP5rwwrRN2
cH/93r8/j3/58qFFeoZhrhkaDgG/fPlVu3beTs65GVb1cOq6+BtXcwz6qWtxptFwt1ow5pvSG1Fp
MZJlZL5r9+iLbLxo1lDKFJjtsXSYmjWIKA+9WwV7eB6ccVs51Dd04GYnz+TzT1XA1Knvpu4bp3vB
ryiz37t4oiFXKR9VFuDY7WBPRQ1BwmuJ1Tm0EpvoOf0wxE8mrYQHzdf8iw6f5jZGUduVnZXsRJnO
L61bq307jTF1eGm7VbVXUxxkmvNXAymAIVhlc3THuWVsFVaMndUU70ZFk3Vq1QhGBeGW0kZgrj1u
dfYE8+33Wy8OtOSzjbV03OIB4u1RFISfoTXPpIKZpFU5gdXAlOkn40q1y8nmv3DljV9tigRZQdav
Jvfii4GpxpXNGSXDh8XKJ7JWDxezKh507FycGsisP3tV/mE1FfDoJJ2PxUSTVLsOpTS7NE/pPHUb
xyvna2Q6niV/fSGwSeQ3/dOVgMTInuG703fdDv6ybWCtJjVcjPKclkYPj1rnBgu/r80lrbL7JWZA
7dFpkGFxS5MdWzHx5pq9ulMGaxJA3O5IF6uHRJKXFxIDGuNNhiVFNGp5VgHOr3e9pPw25E7S35cJ
sxjLf/9uTvb4dcg8W9vAdag8BrA+pWQ127Grse6dbeXpGGVnu0bJK60yLnc0NCKfB6oaDn6izZtF
CRoW7epxnhrD4l12tJ9rJuQ56Wp3dMkt06ZDyP+UDo8Vrq9000LtPMyG6vY2dy2NsNm65Vx/r9QY
9U/dXByQ+MZlM5uZ2gbW8mQIgRzU+FbI+0kr+ji4IZAPuVhzDISRSybmA/AhcCRKfi8wyuoHfKOL
BttLUe4ozbS5gkFkBxHFC+kXngPZFzxFFGkoMVmIUVmVP3W+HSh0Pon3IWXfAu7IYjUIMW+mFIkw
QKIlcd3gtHNzofuolFpXuZtWjTQVWymp935mKsfHLVjyGF2tc4ap5b/j/rszOjUxhPrMu+1NSTD5
IcFvRQDC/j7Yzq33lODTEiWGK4pLre/X7U+wYPDMGm2rEqm/V5B21m5jGD8LK7seaTXyZOIwqFy4
EHwmFBDENHtJGSty6n82GpX5XE+DustrhAS6gfP53LK3PNDdFCRh1ymFJ6Xwj/6gtC2SS0HeloYx
4FGtmrb2yAjHJ9mcRlRteyGaGldhJtllhnPSbnrCzBoJvFjf0K1afiPyf0ZNLbPIYdsKAKygaaGc
iura86r01qy8KeJhEPDNrDPs7zfSPyfbvznZcnxcQcD/WTe7/jq+fb79eLL9/Uf+ONkaZD2ZJYPt
/H0O8ufJdn3k/h77hEnKWMECrsnTCgHN+PMoazFhYYjBCQA8ImEs0iT/lTa2Pvt+XBFdEJ68DBtC
5gWk7zi4/7gxSTFdjnUrMEfGnfdlmWznuFjceRS6kq9nDZASemDDBCKQRtgYctzCCOm2EwyL/WB2
8gSrazCfnVQVjKTLNr2U8whR3xRyJuvHtuSLNdrjc19UXMUJq1wqFnOGouCPmGaZwWxmrG0jJtXF
OA9W17zUYzzeMF2m5czXaoYzhWo9BQq8nXZZZRcHDzwb/KhixCkuln7vsidvQvIQpFGSpGEWrS0W
D7dl4fGJBj4lh8A21IBlP9ff8wHTaFguRfEpPU3ip3bGKpymar6JY4IDK+aPz16JCpt4Tr2jd2yW
lkYghRNB7LuFKtON1WHFu8BPteD3c+RyTBCx8w3Ok1m78HmDzaUdk4GA+FFV1p3pi+YusPOEA3ox
3sgS33fulVQ1pRW5hLhrxn0+td6B7UMtoxwgaXLI5h73uj9Qv6jZuLUFbeDmIxQOzMFiQ7Mk0t0h
Nhz6oarYTCxv7zs1yEOvzXSlb2YmR7QnFtgIrqFqVTUywzJqR7szGlpxRIJ6GNHn6DPH2mb4T8r5
qeMU31nnsahR/KDdI+w5GU3D14Uc4b9vMb23ASygpK12grogIHWWbbn40TQipDexsWi7MaZzZYqc
DhoEX+Ywej318xqRAJZW12sOOo6emJl5WsYbKDjjeuF46oCD0lE76p0xZeB6m8rxomdTJPRrY6ny
nilA23XjpKqQXcPUGc9JnJqmepkzmA/tZz/JvsIOVChVxv8seP8vyrtpkFH8qwXvChxRQ2XIT0ve
bz/0+5JHxR3SW2DjaEQx+3M0EDAPXhPtqDj8n38sfDqld4ZBRhAoKweN9cX/GAq4LHy2CUTVICsN
UuS/KzO3fhZTCNx5nslAgsOYv+qMv0bMWsPN5cAe9EI5+izDsiQuiD6Rx+aCUGRT551U3rXmOM2Z
gE19jbNcC6Vf6UZUA1naGvBZmNsWwB1bcy5uCLLkRehqjIgDr93PVKBf9IBfQnDkQm4cf2ZX1cSB
zS6lmLwdrLn0cqQ/+6QncJaBVZYnkbbFrddY/r7Sg3Qfe7G3t4vS7rG0afG633H3KkvbY8E9BxwZ
i7Ei2a1F1kDlTFgxY7z05mZ65faB1TRT8EI6eWBp0UyMgXUTnxtp21NI0nU+Drg6C9W8eUXpX6kC
43vYzj7SkU3n+DS6866IZ/dmimefDnJETx1AaKMfDSpSoJma2sfUtPKbJ7Lgxspr/9gQQviazGZM
1zTA4NssFcO+t6z2bHc2mQHCE9h1ihzfMH7gr7ne6FHu5ApMFWkoul4T95rAUnLZCaV91G7S9gw2
GvOac3x9XDL5PAazPMOBcfdF6o+Pqej7+yDoGXiU6Jzvdkx0pNWKIogGxyZL4CZEP0CZKZw79bHU
C4+THQ7HY+oEqJemadAJiwQyRKY9PSH4mnzJdfmOVbQ/gOjtd4adZR9KH8pTprc3mkqci6LtBUXx
Sl2KuBwj8Izdzpv9jsJQqn84gy+D2fL7TIpnagAZrvAtDfxrldbtzM4qLxfDI8vRVC4fFOwqFKl4
OFE3oB1yR0/3swRp29R2+lT0GemhqRaWSX1b0+DgdnJjo8UOZVApfrwOjXMujrK1h6uBTXUXDYBg
SYMZIxzQ9SBWJgtW1qnjOFDSQosnFbrLN+ayA2dPptqc1ctO7UWe1reZC+bKlot3SpCBNg5V1SHO
pupK9FqO2mwZC3bkCbRwYy8eTcNskr/EtPMhuw6J/S7nySaBJBx3z0aAvyX06qAE0bXN6DF9aTh/
XavKCe4oKUujCT8msgymqWXcuK1zjQl8/OBsWhz1tpPRlGtauhk7sJw257RLpXqXwGDQ149Bk8fP
WoVZ6SKWpsy3Qe0Zn3LSu4GR/DScR4WxeDsuhfHSU/dY0xgkhztjqCVmYp1xv5iMtwIbEZPupV/O
3eSV/sG2iol0hR80h8yEyhtU1mxzqEhTLHmxYbGT0dnf6Kn9PtCMVocGgn4Sea0qD8zufBwWukfP
JUNuMOBF8MCJpSG9wuG4wqoJiHIjkq7Z+Yizb06SBo8t6gCl7qsLpbWujMFdvjqCAi2uCaOpOf/H
9XOeDJ0RlW2OpE2jZfvSeyTCQvDJ4ujHTb+ptHGoyHY5wSk1534j+vbO6LCR0xPJ/dzqdEUjv9pb
vxQqqmjkCNUIPWu2RbYitIatmnp5UTSGd4HxmR4FK2WK1+LS3dMhx4rWWosXkX8A1Vna2dkcNWff
ZHoxbxjqxfbW9lpKWoo0ADbEYjqaOtphUKPJ7oEflBQNWvK6sOOB1rnG6s+4+JlGknnPn4osl9S8
GGi+LGbxcIyTGVWDPhjxOnqLaA+2RohI6gHgI0dfuhu7a7WPxvEQPDrozreLxJacFyqFnavlQRsG
2N92mp/KV3dapq+yTKeXxa6NK6sjw73tp46RoOUsbRwFsSVv0iWI6UM2xVpbPcVHCMKgpgxd3CdF
JzZ+EUyXrdviZ+DMunFr78Jm10krZl3eBbSqgwXGa5MXLJuNYcv9rFcPFHQPe0rJ4jCDujJiWcta
j3HsUkfYI9yt1Gf1qSzmnNvRcOWmsYYKizluGUaTfn4z60Y5Dpd2SYqwJwE4ieyJyHxZHxbPxgL7
7C+FW5hh2lpG3z+T+u3ym3iOtdAMcvfGyKeY/WrZnt2q1M+cApJblsV57/mFOo7J9MWx6/osgb2f
AXTFUH6zPP4yoTA9Q9PzCcx59UThZlJ8oYfKZJGauK38TNRrJqy6ZeQvd11CLqHPCvs6QBqBtQjx
NQefyrLN0y6aqwVaHQXvO+l7MmfPXFXXeaDzdt1Cw/qNvyrsSlT8KUe3Cw3U9pM0ePtq7k1GyXWM
N1718b3tt+4xz4rpIRk0H9vNGKdfLap9bmqNOiFcvbI5LfoS0y4mxD2QOg/Heal/iEyq47S0zn5m
wr6bqSJ6JeaGEUBJWDKJUS673F7McDZ6Yrc9ub+id1iPhsxQlyg/3pHILLaBKb+VtAmFDs0LNzGD
LZtFtojPRE+PjZubV2gVSRPVykZW8gciXsrL9uv3+dA2q7M1V+2B5cLb57LVgPgSvNya5uTclYFK
P+kmzdjvaxOeMRBnvI7eL2gN3nJHJeNEkXQQHEdj6L5QXE2XneGMB+4nTGRQ9bDVCC9ArZmoIw/V
suibHu/tFA1WIO8mGHsZSg69ohg1jG3qAG0mimQTkSCijc9oPnY8GJmPmdN1HfgfepMFH0ZnmU3o
dI58zihqe9WnuDh2DYTm2kphsmUjSw2XX8pD2mYEFlkcaXfZmBe3ccAWRKBQYAk23BeT4vIbc6m5
89J10ZxQSLO9miZHbZH+zOa+XoLnjNJYVuwUTOcllXmDEenwbFOMSFPwktHfdE/zRidvXZxsHUnb
ADa2cl3CqXgIpH4y3T7jORaAACTnSVYX2mdNFPCEk2+5b8mEz7QJLTu8TnTZBvgNUiReuluTCXXP
bHKgwGVXEbbQ0mdHWA4d7C63eLR87+prJ+IgmMbcea3xM4x5ptSv+a3ij0vWxP2PeLzW/0maANn2
zk9FodUf+TiT2u0H7wGmiLiQdAjKtUywsmR1xOEnIm8Yq8ijc9Cle5AF8JtNF2FOJ6E3TMO79b2n
0F4rCztneAEEnh/g35S30sBTZlfaiV+OSRU8Pq266OU3C8YpUEIhaUWcpOWvTZZZeWhJGN9ZCFhL
NAx2SqS9JUr44LtDu62Uif2csCX+4t9qGP+Ri/4/zXIGMwf0lv8sFx0/39KfeuV+/4l/q0XUYFFp
wwMCS62L6+FPtcjwcDvgacJN9PMJiuMWI3Fdhz3nODaC7L9PUDTOUcsQcLiCG0w/w39npsWi9Yt0
tP4LOm8LPwRK+2+FED/MtAqDziXHi91rJ7VJUVKmKy+5tBdzq/kGxu2EuUZVWPXFjHusvFeZcEhW
md7XFF7lve0VLBpGQxu4a3CzeFp26Vgea0pJL0ccCtoP8Z+rLmg2mqWW/qyVZsLSn0yTfNRryaOu
/q3piWxQB0OcrtBrz0wDyXVf+rusS+tjFS9o5fkgo2oxkk1dlfYGg7CzSzOmRds8GO4KjJptmLO+
nUpLYMsazH6/uKO8MIN2+uQh+mpXZLntoNNfOK95e8gX4rWFABXZTuUeXat7ozCAvfXspws2VJSN
SwUE6qCLxt7xi9Kua9wKM6HAcZfqPuO6qP2t2Mojc1KNO1gKa0QfTOqNlqbm07jMJ3uwxIaoEVjd
LNXPlB80536Q9Wbs9afSyYLHmY0mjg6Mq8IMnubZd7ejvkSxNVZ32CPkwR5a87qtKowBsL5IClLN
V40Uczhuml0RGH0LeukwcAXh7oD/vZQVwYKy0cZ3ngjxcYkdixyIUX5ddZ+tyn3j6zrnlCjVbXMI
zOzrwFlnG0zZ/OwYPjCJJKMOQSIMRUAI/FfTHIqt4+Up303zVGXVk9R46VoKhddrGl/iHqQmc9lm
axeZFzlirXSGczoCR65Gx4CcGFAFrWbbJZqTiuN6RT7KsXN3vhHTvMueEkHQHCQzG8+jaBXiM1lR
Hq97HWfCQraF813oFkZytgujuKVGQt3EU8ppVtnylFq0IYewVh1exWq26Ab23iY8vOCesLJ7SKjl
yanEckoX17oyAzPfuWk83U6tbHewb+aPnrpqzgK61UdDoYlvAWk4wJoTvQgVdb+nVsXZYXbq7tRj
/kXPd6fkMzXhc5RCOIfU6LHHLYPwLg0MEcRxe0+/nmoo/G4bUOvT1qZeY3AbgzDxu+ELJtphpc4v
5q6wCkmwFhDAxkzScUeDhhMVJGVBDVfwC8aKUnieBvZQRwDrAUpM8ymTvClP0phOO1P3mMCyrsKx
MNNvzQDywvep3qHg3j21jvbpoo8wdElzmKYUW4RWy+YYuzzuCktYYuflevCUcdIKx9bjRFxntxVV
krsycfT3ESTpzswM96PgschMsQJw4I6py85Ic8LW6KfnoLEtzEWxtyFLG+8GWK9JVBcQd5pJQ/rw
OeNc+G7BIaliRrnldK1uPQf2KrUmdeS6M7Uvs2UeO3ZK5xLFZ0+vz/DFSZ3mDtd3usBvZnbiBUkG
2cDi3FoRb2MzxEdyG9h1jNWDLmJiQl9FOy5buOE5+0WKtLPJV4/jLKE/M8LfpchImxSMdtj2dnyV
+nV767J5J6PePmAccs+0TRza2lI38BGmqJk5UA3c1mFemvORw8d08Ce3uc0rU9saZPHhoQt/uafB
XVxV3Yh/iNPsa6YbBDfdIg6HqZ2O/pKl8bFG0sLeLjm8Nl1kzUK/qogr6nUz3SW2bE9LLvKIxVO/
7ji00WVTp8BvMotFQQabxJr0o5LGJ5k091rYKCqmMZrHqhvcMKPhKZprYWI0i5N9a8bpJs7EA+V4
S8wI1+rvVZAuXytdsK3SvIWiisq+o5ucrSW+gBFrBXs1NIxi7yGSb7KYhVw3VX+ZwV15rEvd3klR
J0wQR/dKn2vUAdKQxyBJp01M+eiL1ejpYRGwGbS5DLatTa33Ju8c94WHoDrgJNboyWDTN0+pFUEY
Gb7lsdZck9tszh2N7EBCOAQ3Un9LVJVs2R+V+NzHce+PHQwHwWz3hSl0f2qr8tw1zXCRBvTaWG0r
Ls01saFqp9lNs69udQNJq0OMW6fysdraidvuK7shIWrNpGcLnwOCl9pfKVQG6+DNH2zCmO2zZpar
updGretop1SzJSKIMz0h82TfY3pnF2TGpoe18EL8mXvDcsVGOT7gwqyYr+p00FiwqFCenMx+JecH
GtyDlmvEdb1XemO8TVVib0iKPMYDS7o5LebBGV1RAXSOnfssM+YNbfE+hK7yrHTjyO6BMTKnRIgJ
OntZ0nFOsPGy8W4SRfJEbKSK8gE/8OLW6W3OaKQONckBUU9cmlEs6V0k7MlhTBVxcGDdBMPU66fO
06yzUsPtkJB4k6VeXg58Yaj+w4CJxQSVBlKOW4IpN3vyk6uS9Egl0LlYAi61qW2wCVvok3ad+Jx8
3GGX+H257TgHR7ofn/JCFPvG7RAEdMSIWunZZhKVfeSGSndDxfg86UEAmnMptzMl8oxnW5bvKZ7e
0kwXe23U3Us1dt6H4ZXle9sJ7drp2rvOqpx75dNHu9hQi4NYnibqTI5tr6k9IVmOgY43PnZVOlw4
bvWWq7w/prmH16UgpjECizgMQB1dimeS7iIzOTPaWWKfu6RubhXj943Pk2sM8/zOSIT5ok31RE+H
ha/HMuLxycgy7VCq0TlVIssv6MWkGiSXjGv1m8K1v3AKhAThV+WWcCTdP/CTHwI/Efuh9+WN8HuD
cm5h7XQZf/Xhl5DIT2kH6oidT6gRh64p1SlFxb0UTpGgmXZZ6HVjsxGqlBu6itU3uDIPKVVEkBty
776IeQu9UfQR7w/VNLeuUH9rxDnjNe6Q+yBdpze4wE70pS1XszufltiwH0tZ1BcyJ+NOxmnck/oN
dtlcxK/tsMx7MFTt66wRNEqCIdg2ozkevYm6LwpXXidE5JCuGGNHUzDVMEnFSDx90wZn2bREpELP
z9VFENDdC23zcu4vvQZEBrXt1XhNuU8Spb7eRKnulY9rUvqeTVVxWUufR71jMD8HaYGKQqOasQ+8
RFxTiLOrXEvsfdxnV5Nl15t6hoGa5nYFEMxMTsRVWXbMfDgkcZ45rPi5eysdAbvHJqg++0O7WfLc
iSZ7eu0w3JOax6S2nyZD3YjJy6PCaQ2IXm29c/xpfht8kulhB8uLNaFzKTcvyV2F7iJtigTV/FHD
6H91ySbpbHPfqiSIN7yRb9VQyV1OOLSJllojvd7pPofcAti7akmc0QRe5UiPRX0lZrOILMhJ6PX0
pWKiSZASWnNj12rikQagAMFXn89Fkd+w70Ws0csd+rna6bHgCTrFxoViHYh4CIsNsWb9EFua/o1O
aSfs6YsIh35qNjQvMwLIUNzYerTbrizuHI+RQdjpy3wZx51OqNzMj4wyhlemfyvTAqiMVw8C3MzS
Yefrhg60r9aRGC4HlElmG88y1dfiBoLppLD1O0/wQILGmOTXxtQbH7PwSqQgogA6lNrIAn2/i2tV
1sY9bZdDHm/i0U+bD8J4o2uHVV0G1YM3w7yyL0DekMvtZ7Tch2kZ+daa/pNsNYasmp0yJUeuoUgy
lIaHhD/lzsYJmPQy8U6YtvYxfIIxWeavwsWTMsELDdkjOM/8TPOqJYhrizmKY7zEM+Gk0Z83eudn
F8Poyysp+NtN5zYv6I24rpZ2xytqV0UQSGq3FnOfkaVtwkTMNbYr3bgiLusfXTj03MGMw669wX1Q
NEKEsnXcT7sUAJYUM9/L2AmmraOC9txWJOlAWrYXGoPqO30i7Ea/HmHZJp2Gg13C9mI1oONeNjSy
kfULmZmuFqWMJry2tLde6ZiXet2RDdQxTmeOTqc2LrON49JJSH8Lrwc/q3mcs9F+oj+D4UCXicpD
ddXMUJKhRqKZ8jO+HlzVpKRfJie+SXKfr1Uvg/l+noJkM+aIo1E/KP1qEYkZ5T0FJ61FXxWCBvID
OW2B6ZKnMJUnsxyOeYfXKuwETeBzlecPiV/2Lz1bT85M3XhNn2ZyXzmq2/nrl006MQcjQMNe6JhV
eq3F48TwpZ7xsjE6Pi55J+/juNL7DZmYHEhK4BzxMtbnPkEqTqQhv6BhYaIWvoRIxUADL9bJNrFI
MTmiYcEyV5N/HTByGUb9EqFN3NMy2NVwkETtXQ1zat/VqXzzVEsTnVAzMRzKtFTkTzqP/UwlTNz0
MnZvinIpn3Jd5I8++uweyy5VAgvUgT1Hof6xaIfpc9RwdwnTZgpWJWLDO6p3eZtzE2IHRQ51kSfR
CFv2OhKL4CZOneldsetjx69R34DaiCUBmZfIUFBm5zYJ2IkRxUSWz1dWof+/7J3JbuTImqVfpdHr
ZoLGmUB1L5w+u8vlrjEUG0IhRZA0zoNxevr+GJnZOVThVl2gatGNXlzkTURKIbnTzf7hnO9oYmO4
s38YUgs26jzLsx2DJsnBYl8ym87BRZCxdnTtW+aVM2mKwA5XDkxUdPUTh4Zup9NrylEB/KAfAPJJ
dyanjY1RBh1p1xl99lAsdZI581w1s8U4uNajY0iaIyY+Q0O2y4alIAwukLRlKDeKpZAVdnO2TYrr
pNChMPE+b/ypHtyYx07m9ZeyI+LkXqSyNUl5APt6VxPPA7itRE0XqNhp9cX67syf2lTow1X8nJXF
JW6ootem164Yq/FpHjTJ/ap1NLzdVektateNUqRaVmRxwME88ZI0nrctf+ojzF/FEv8jt/o2tjpt
vMzRuAs1t37Ksnx8+dP459+Q+P80gv1ZjrPEjuuErGKV1pnu/F2Og2ZmkJkphgv4fpvlCjl6wuh5
R/KDhl0tjL4aubnrpXE0U3uLKmRrx2LjuXjGFBJr+En8qrAcoTGQ0vqPfzjW8n+RCv382ZD/CsxY
BHz+HRGfi74u9JAZcVU1F7eiVgz3MOT++b8EEPvCw0ep6f79BcAOOtL09sMlMbAM8z8Helrhlr/q
mf+/gu3fU7Axqft3BB0EmvGc/FXE9utX/aHosEDVwnzBEkAK9WLq/M2e5S9TycVY70Hb+s259bu0
w/+F5APiYZHwkzbGE/7HYJLgbt8HV4ErFUI93/mf0rQxqPvbk4pegtOHzxCyNoHK92+OTxM8Rt5Z
hX7i/Mb+TCafheh+FKCck06M1Qb9RFeuJrOvuJvZa5sbp+rM7+OYYZzKCZJdwYRr73CJknHNpEXO
r+OcWRbcqIxMRcRH3yLPiJ7zkdR5+OT2a29Z3R2nHG0kQpFwm5Q4xLiLNReOKX8YUFH7NCUyTjG0
yOKEPpQAoZH9T9OZ3yj5w+mktzWlCd627txL3yqezTRU7rmd61kPFDBo1rxWbqpPOU+4U4x2DEJn
UQmDzmKSwwIV7fHabHQziKEpvVHWDAicWTBQfZgJSnPuDbfapry3j4jccgfMG0DZTZWFyTMm2XpF
Pw7VrAH+5xxoFdpPFxXxI9028xW3i3fGKD+z2mc0wsaIwK864druDWOH0/tpYhx1ddh2yz3/iXnH
ijrMl+FMQp6MyZS1QZy/6YT2PqIzX3Fn5cOhoZVcVjXmpkYuNAaUdP16jt3aZpmstQ9Cz+y73rfH
DSs6VxwUZVR56mY/fJlzz32k2gqfmm4yvEMTduYyNKjsbCFFoyFwm1B+oSKIN5ppAFNzXJfXoOpX
tRqLo+OXGUgxl9dS5dz3BqRSfZVO03DqVBd5hBJVMfmMzvxQFxF5ObswQk6fCidddc00rIxuYBIC
AwkQCm7+wAprufWmMMRWmxtfqhnA+WputfnJz9zMWmGkA/lgQUXNXhK2rMVzhFcE+JoqLChwmwHQ
ZNvuDCVRbRziyGYwR6qBnYh3MHlNxDsHs8+2GZDkyLGNurIusx0Om1EPCViHk3JI+vnBi0OihWhb
GEmUgwySJdLSQokYxA7VQKO6loizmfEmNZgxbLI57AO0PxVQS/cpRbeZ28YhUs2dPXkgL4YZojGj
lnquEdaktHY5QaBpsSVSqX1GpXEbEbyvGv6abcTuFs3T9EYSA0ZCNwm3YT896pls0alg752dWp7r
XNMPlW2l2w4Bx9HXim6VtgLXMDrCVU7vCGIuYxyDTP6kZdN80Gs+moaTGc/+ZBB0D7G2FpG7knGn
BVYn+y3g2K4DdUYiQpsM35qyyY7oK6JTDcAUbUGubzBk7EoN9I4FFsKCxcuOrl4nuYZApNYQeOGr
jGlT4u/2XH9xR4GYKyyrFWIPMNZWk3qBbnlktSowDcXCfm2TicxaOT92CWNkQYQK6gc7ZGMvxZWf
Xp4kPkpAycg3DyjF1XfEThP4OJMXhw/bvq56qLLwN4BHdYSb1CQd2I+1mT2kXnKeRbjzG4VOypif
EoeVo976R5yGD8D3DgWL7rWnE6MkefUjJw683npu63rnTeOdNLQRs58at02VEUwWzvRiofWCVD9Z
DbDy1iLPvmeWjnGkGJy1zGL1mGjFnVcLgUoB9lrd2RyCiXdnVfR+Mh9HBhM+Zk+SRm+6iotNTlVK
amM/8GxVrSCzkeEuvEIooAhL9l6TfbDETla1oftHh+PyqBqGGmNoykvsd3LPZgK2rpssvtH61kui
qD1+qbksLiMClPdsOc1SFVKeeZK04ora+CExaudYVl2M90k22wq71Jtbx190rYUJYow/4i4H4OwS
/YyPJqN69SYkqqF/VBMDUbgq/g3ByYJlc/wDM5CH0Glu1OD6lmMC4KjUBjdoU6d75VxRa6N3w35V
mZ28oJyCoNalwE94o7Z6WauLHdnxgzmOPioA/WFutA6IaP7WRmCcWTHdT2O+LZbkv1FC8oeY9gDq
i9MFRGSodLklp9fkx4OtHVvJJTVjboea3ORUANSS3VMGaGZr5HP4OKTDHSSQJkCvIJ9dTT7bkY/K
S+vf29n/4kTGwVA2IFehqm2eZSMysWGLOWIRKezYXQBvkrUFvSOqdyQwfhSgpjYQ5Nq93hlPVeim
PMApqLYcudLJRlJ1iYX5oOAVZG384qTGzLh8RqqCvo6TduNoPsQPhg3AfYJ0OUsrzbt6rbmjasdi
yVuXr6o+qgOOUe9rSnbZl4zGjx7Q5aOmQaUm5QdeWb/pa5bontFtbTj4KG4Y+5H5kdTEuQESTafM
22Wjmg9x2e27Sh77JEx3XaaTGYR9GkWCBtovJS449N2VN1hIIkpLWR+WxvvFaFjzLhM45FuMTYp+
uqnvMrXAhYce4KS0428VUXLBYKjzmNSL+zN7Fla/L8Lyzu9nLlbp+xuj6R77qb3UiZt/9GOx973p
C0kB2abn9wFLWKasBd3k1E/mARCq2OKxAkMfgdC7jLbFSMUOwV+qORYnO7Gj7aSxk2hVZL5BOK4e
THiCjGAbbKgbDwkBCgizuEZa36YoCZFsd9xrVQK4Avq0ZJspIAupSp2NqAiDxDCqva/0BJKx9hxr
hDf2/YD2jqBkcu8ug+4aL8S7F/d6VPXj2poyct7BnEr1wJKS8LA2nY8o+J+tUa++MdfTIhhFZGVv
bXcwSTIj8L5ZYdad+j33LEGbnf+BAu0qYvJKO2voHlq7uA6FpgV1qt3yKVb36Zi8LtCurRqd8oiC
4tVrrewJbf2RHKRuI/j1wMBl9VeOV2u/TAeZu4pmw0ShOZgjJlBZ9vHOyZyETKkqDXLUL0HS9m8L
EHkDbU27i/ohfWGZS5JB33o/HGVHa4VKf2XHZvZeeu706A6QWlPFtiG1ifD0cvcF5XmCotLRoa7H
8qmIQLyOCAkZG8I/M82RxttaPkS8YST8jWaKminhQPb58aIGLEUuP6sm/Tbpmvvg+0X/araYJLCW
XhCc2tDXubLR6glWTkljxcFcNdaKXJnshCeITFf0GNQIRXQnjGxP+nkaaLZb0ZP65QMYxhp0hher
m4aYYz+7Tv2qzf6+7KbxiTgVaysQmZKeS/r2GSTRZ516H5zO2Za4VR//RaieEylOTgFatvKbaQ2t
P9mElcMFkfggWg3MfbG9bBhhbhqXwjSTAEBmfcZCi0ura6dzboHVxnbGBjuuP0gCEHhns0Rcq6oX
jxyQLWAhZeLcdLohhjhLKO7WwqnB5dVqxVsN+usUOZO9BSecvOgDesKgBBkCz8qazEfM1+JbkdnO
N4t9HWBaZjM4vpEEi4yCQfGaG2R1r1iUUB7n/dHFQ4WuRV8XpnEf0qhgOBmKhljw2M/WOZUH8+EE
HkoAZDsf4hOTFXeb5n306GsUouKOQivIi/6FBSuTt+GzDB1nx+RuXuddNW4U86ZDCCh0NY+2v+KS
3PGuHW3JMMOHDLjOylLi11NfSaPoAmNeRkQV5nabyPRVQ84WFOxyH1s/KeAVTEBPZHuzQ+UWN7I/
Mp/YhI15kbE0nxOL9VIGnYBlWV6eZBfnQer6j9PMGrWvGfbFvbXTxTe2TBRMMiw3Mg+fQY6ie15G
QJplolysqnVrNyuvl+GxcaZi49bZfsbyGOTN2K483xBBqZGOmVg9uFEGcMDB7RVUH1R4dQ+/M42/
Dn53Jv3G3+oeL3HuV89jyXKe2BKw0kl+GpA4r6Xw8jWtCrCuDt/mKnIr7sSsPJSl9eAPubVzIvMj
K9RzWU32vebgOM/pUwxmV9D1CwsWPTJV7HMo1+zmDqNfv21mzXjJhoZUnizH5tixkoRbzVU3aRbk
KQTFZpkFEmtxuiIsszyTJfGc19W4LVtquqQMk8+0EWsxuhg2E55y2IYrYifylcOC6NkV2bmOlXVp
IFQFKCl+UPwSEx23GyFnlgkaesrR6u/HuI23Mxa958aSyTqzFLsfi+0A7nxWJjWj8QlPI1kdHC4T
nrutj8T24njhN71torWfjs4OqOl4Q0utbf2W5eSUuVQ97PfvGf9dCsboF4MFRl7WQzC3TQqjQ58u
YLqPmvCYqTklupW+Z/Tju8MZC8NnSb+RCe0Nc/57VCGxFq060+ZOvBjplpjhQ4gzfDNr2i6Lf6CS
xITISAzWoqz2ddpc68Q8gRfneIxr5mV9om+riva2NxpzZ3b9zigXvYWUJw/KJ3WCftRT79l2Y3zb
yfw+uuojVBEU25TnpzRvqrtzy/AZ2We3op2Kvmok2AQKODxSvDnAkHSefe8L1qd14/vlLuVyXBmR
V13CEEWpVuhA+K3qJgeqM62V+jImZmSeQkq6pCHM5mjWriitIUanIOGXVRz7KZa6HA26VsXbyfPa
Q8MT/BXgwnfU2zwj4TCtYtNoYV8yBQfBZudvWSnzcsNyNL9wZZFbMZZmRoFXNi55501xG7rFIKGN
bOGkk+5kokWsjI1Gj4My7ao3YxBLbHGPZsGu6udBsbHt+7g/UFWnB9+Ni53lF9a2gnZ+GnTlbJtC
PQFKQQxT+vc+aSfXItHEDztp1WmOE+cI6LzZG9jQIJGG09YerObJKqYlRM5AT6TLOwisNPiRfj/P
ETr1tozOWOfNgIGxfSdAzpETM447s2TWCsi43KKyB13nuxAdCF8IYSDtesjj62hkqpvXxNLC/SKB
S2HYLUz9PrKUFxCuhhIVL9a9IzoHl/D0zcuVv8oN992NMl4xitq7QiE9buR0sJueKfTQX4hrWXJ2
YsBNqf8VRVqyRuZrrmWOqhdcTUEZ1MwEhvPtWx8xKp+dyBkp9+j6t5YhF9mGgUZilNu41LMDdeMB
9Q8aBpQ/W44re8NpPvHW28UmS5OdjKt7minvQUnN2tEKM3ExR/nWs1mhkrZ04udR2bP4oFu4TK1/
KtqCSNRUWmsjZCmD4DXQetqPUhj1yWWxtnKiLNm3qSWCnxuItGv1U5fW3bEtzR/1rO4mH77B0lsY
M2t4TvfNon2BysPbWOLhlX5KjHGWDQHiXYGgJOmYvXraabDkNTGAsKRlfhc57kvpgX+kvq6DsVoE
1eO4LYS+iwbmHVln08vY8bRVacK38pQBIbn7PpfVzSk7VicIy4j/WM+RSUw3a0RpmEQ9kEcF7wqg
X0hQCEK0QI9HTmVbD/dxmSHZSit7ge4dBz6pgQJkv9JVxxlpi2ZNAfitd+U31lEHz6qvY1ciUsHf
uKaFPHFEv1RhX2wtNW5otXiSBS6Arsf0zqdBv2CHNFinDoxRZi5dqzMPTSUeJqkdPImnoHegctWi
8Gl05uK1tlC0YLMcvC2QiifOzgdjiiZ+Iwi4qTPQeXlDEAH+W3eaTiYy+xYmAohrEoToHlxLJOvf
CCDzbzKC3kE1u6uHmk3FaM7PnrCuLDUwk1bCQGmub7vWdldW00gnoFDW1k6GZYUGRz7liMc9UV/a
2TilnvOOpA2+wnsnYOh33g8kQADZvGTaFILkgDb317UsAoG8Zj3X/Q/sFWmQQVaL0bJtasugyay0
IDXKkqGKx6xkliy+ioJZQCzY/nJqfZWlvDYxB3TQqsYZg4pI2PtcAd/XqOkhDUdgI1jitizspob/
iJu86lMUkHpVb4p2LJp1jAFkqJ1TlYsTpo7AkaxG1ZhmassUJzpyZbFknoVbc0NPtToD0W92Vou8
aeU6VnNIwIdcPU61jv2kaGzcknEde6tF09w9aZaTt9ucIPdpi4mK9A5TxIzaCJDgU5jXhkrQyvui
NlYFr5EdkgyNHH/Sz4osaxSDo5t2RIr7LROL1c+1wH/2vH73vby859/bf1m+8QfFBedc3P2vv/4r
8MDf/t4FcPuXf9n8lPXe1Pdmevjeqowv/ZXxsvyX/9E//G//IWulsDzvH07iD8Xnv4oU/vVrfp/D
W7+4vs3Vb6HotZap+e9jeMKGGcP4PrBD4Iu6Y/zJYSl+cW3MGbq7BP06dFP/Zwxvujgy0Q7zZVAZ
f07of//1f1td/SPsIiubv07hLaoEMLt0GbaJxtX4e6CdMto4meNRO4TmPK7NOsvebQmFaKXIN8e/
Rj4UgQftBGtIAXwgigdekBM3+d3shNx8AnDjJtST/tNFJHs/h2PBNSPBkEZ+Ss/KV+XrsQy7bV7M
xdfcBhilO8K4bxIo+TCIcFSh3oVllMocgQk0V2eXON6j26TZQzOq/l7v3/OyAZDWxulL1+vNW5ky
RgjmPoO0kurV+I4yNx+5NzWc65oZGSE+ArabK7NzIwbnTp1+o3Bk5W02ORfsZDThBhJbckiRDbZE
h/iKaDjmXWBowxnlR0PQy4bEJS5y2GUS6KonzV3tQxxZjXEYn03p9t4Gx1WCYajIoCOm9BIfVVtV
byX0pgvGT9YBZtaeAAoPH6iNijdQNIR1Qe2dTkhf6ttUyejdiA2uEYmPAzbTtld5FTgK0hBZkQNz
47G8sm8t/dXgwRGGZDK4DFiS9OKZ+XjD1DFTz3Rr0jMOmDkUFwA8yL7ABcORsBuMxL2KuiWcSpr5
x0jePTdN7l0dW6CMwNj/aE7gXHAQtxs4UuY+nCtBBBHxQEe7wxQoJ4J2uEAwT82tqI/9TH9DMJsN
LyMh7ejs6blRBI02ZS9mXqlHZaVMIZVgHq3SXnxJ3DT8AtF/PFSDzSlJBs55mLlbQXo5q3Ke6ArH
cD7PkVCvWTpVdWD7eXMewqY+IXbpf/j0f7Dfp474tzZD5dRbRbapEJZK2KA+9yx4hv4u08ZmAVUu
qW6TzDZRO9b2LkpylssGUSRfJYiTLCBfucYAWZsR+GeG8XtWv8lDXKXmq0Hi2s2fbf42U3ebR0EJ
sFV1bJ2EIXsyZ1QZ72lNI4R4ZbU2ur7eA0ToH4jDzgInl+ObVkTNETOP/x1RqNtsHaJaMU2ZxEpt
hrr2HzB+Aa2mwis1TIOmc2WaiI+/90KtWPntnH5YVWn6KxUbsGz0OV/7NmKyOgeRwvuYPiNIja/u
KNu7Vkzx0YXL429EOaCSDgsLReoU5Wse1/LJM2vKx4Y00LXGJXwWZWTdgQhQJZEVeXWRrGyTdjXk
fMq/jIWQFlVJBByVl2dErFAdffoP/lEWIupIoPX7STrIMv1Rz86FjkIUnloLvm6fD4idw37Wwwcm
deZ0xDjNfmlwrsKTKV0kSWnMLFBQW43/OEIi6jct0ZZvYYh8TGQhrktXod5nOmng0Mpb+1Epm0iy
KRHEFgJsxgpEPcOMezx3SON3Vk0aW0vSKfuBCRVCCKnVM9HUNnxeHsJ2JHkjwXDwPIaDmZ8d1eny
6ibtnPlrq5qV/mjNpF83GdduYTNsrbX9oJoXCyfiTUs9f8kaNIeD2fTHPiqcO0xrCEy71FhnY4aL
SeXTrS49A6BfRpvu2REi4Da7MThB4jzIkaQhmWxD0882LvzJNfRd8sTonUQdX3Is1Sonj0LvEhaJ
R6QsfCdTq3fKDeuNnxhvDrKRlS3xTUpjpWp6c+FRa5mONgRj3VovMSOVQ4jKPxC8LFvX99r7RLfe
fEV45EBO0aYceu2OIR2RdMtpPSn9tRBdhZ6HwiCdPpu2Z0vHaxh2OmkrBvFIwk/1rd7Gz2R3FqtM
li8M5dxD7lUfNu/YZkyMB30ifyPsspfIbO6dQcprVxdfkKAgYJpObjLp21wvH/vEZDU2ul0w6OzY
9IGelAFin9KJVt7ejUWKSLjIWH62NTP32LmrUTkfG7M9MUFh6up7dLygSdainRD6Woarr13w5scm
ci2S6odqfkPm095hmLa2zsDWg8fo5PBuY9lvcEySM/YAO6DcaXahLQg5niZkMBeMpczZ2xLbp5fY
1a2eJv8BMQySHMSy2S3VxuHe8ZtPt4z1Y5pE4jTnfr3RWgQudAGjWI7ZGniIx+P35OrMFFi2l4xc
bGMzJ20OyDaaLtk4I87uRfM8p1BwNRs9q+EnN7vRaj4SKTLkvm8veUPbg+g5f+yzMLzZRggIeIlj
t0udoTZvkx/qePUMM37PxvA9Zqt7Myp3uBqjP54SUMAPTuIXj2ogjLIznWNLmxaMikdHavqr3dKO
w//AmyNHLLUOP6mRuh/D2LcPHjynYFYjxrtp9reM4bIfSx4kPIVNq2YIkZ0F86pRrXXhjNHOsktc
1GWAZx5sIIPr2i3SkwkUIbDJ4t35Yxt/WBmJKTiJ2zZwU/XAQ5hh/NSzq7QXqVLhuBuWDbQOQr+6
sAcYckrYhrNpXjPQEmtNTXSSg/hq9w1WXKGljzlt3MruXOO1QyzHxsRI6ZIoC7IVdYGDgsAttlNi
MIWC9LwTVcNesnf8o90O077wkvHgdFyRYzo7By0Tzm9B3v/ZFfBd8tEAvPrR/bXm/VnI/VEQ/19U
JxsWIo4/aYj+VSgFqjlcdPlfBSu/ftFvhbJv/QL+W7gIT4iEQGdCzfs7T1g38cs5jmu7BkKRn+Xw
b4IVymH+xIRM/iu3BOFlF//P/26aIEpssCGwmYzl67x/Rqxi23j4/qyqEoDOFwyKL/gJloL5b1DX
pk+9YnSofhZx2dpkcE8+VLc1sZzd7LiIywPlEPd318azvUkbR7HW6WxUGK5jlC0i9KaamQTkhM3s
NKWZzZOa6uxESlzC2UmI7Ne+Sdw3G57eMRaIqbtBGuSapc261pMkPyLVTbdO6vfrrpfFWVa1BoMp
rsq7HlPSvMM5x5Bi7oNohte4hVja+G99MrGO8HTGAk1XTw4ii1F514m2gmCWJD5TdXbWxvxpoQU1
7CXv/eKsVT9NtmVTwimqFqAJNy5JUdFWy3LdCpSeJihWEGMQLnXJYgyO7tariT+48Gnn1+VEbkg+
KCZphXsSk1DsbRii6gS0F7aFkYJNc0hzs06Vm4cXDxLcUj5kvJ71KplyNbBORBI9rFXfAz0WcSj0
j2EA5Tdv0jixBwQgRWtDTS5kyS4mVwymEcWrwiRl0TOYPIydb2H0iL25tsTaliQ0oSzhIidjlbFG
TEo0A5Bylp9ziNvMToMuJx0aTECZwD01rD7aGekYoqLLO+2gs7m44nFA48tygiGARZG7mBdjTet3
ERusR3wUCilxiwoBzvRwEwRJbB1/AThXMt2gqCZbN51iNK5tve29PD03GilyZWvlDOU7tSNUo8an
URDyCYZCHbx+xHnMOiHPi5J7P47ubQM7VR9n49qxonRtdfaiMI7KPZvl8NbkQ/4aFho3PMFq3mrW
+uqeFKlnxlvRDVZwe2WQ5d6yKu3fgFqNa7A2LCKqeLzxPJTbCZj1C9jrkIy4EgFpXGlGMCi26aFL
V8VIyb0QLxK+xHBJ9mPsaCCrFxsRuAef0WZjnkNgo0iotGReC5q46aVaZvGYbpxnDEDFYzuxMqcO
iqMxsCWzwQDJujsG5TTPh6IhaGDls1ZgtVZ0h4GM0d2QpdGLSVV88mdSkcDN2MMTMw4AYR4EYrkk
lmU/xGA5IOVdWqZVVBbFhlnPjP/fsK9NAiKgGWwo9VAdpbJMUjpG9ywQO0fkaaBWJ2CbVlNFkXHC
Nl7uLctXq06y9l1BIoMUnjnFS8OEZ9czt/xGaserqAGTdJnnHXmn881Usd8ikRlMz5SNt9Bp4yOz
4eYpEub8RZkzMWUY+4wPWTb6SYMLShpfbbrHgeS1rSWr70t40l7Yer0BIT7zDrqSqDZPfdEdmb1O
6Zy8mgMtZGDXXopHs/AZ3PIJc7Su2emuMPBFDt02qZzTUDJRg4ma7SRrvPvCL+zjMDLhXRWwfYjr
oguDP5GkrOtmjJ+2oyfXIpTjcaRTawJM8yZPMb1yDBQJtW+HKYAV/UTJpUBBYDFaXpdu5RJ1g0BA
pyJqh2Op+6Apyfd8sbAe3Xda85zMzaOsNPdztEtub93vdbJZ8fLYgVHN8gkKm3XKoUKQT0nj4ciW
0KgkOvhW695NQ1Pz0VDtI5kBROw1evnhKJ1xMbHfVzP052/1wjdaCbhokGCG6hTJyHqOYnQOTs0W
ge6mZnw5kwJvGUK9dQwZi5KgkjAl4XROhZgDOTZgUavovTXj5HuGtiBo+/psKDRbtjOMa7IAzS8G
AOS9SSgoo7hhmM4GJezaYibKLqwzkDakVgwFjbizbVMKLWYo6JU3hNCLEoBgTrwzo7j0bVKEK5R8
OkuPnCZhb8Td+FAOVusxXBnMxx7/6bd0yIlvV4kimAajpL+B0Dw9WFroncu+sN8VNqoTATtotwmL
5ZxTOiy9CPEkA1kvRoQ1WDrBt0I8TUJrL6ROKyK7FPwWYdoLDDiJD0BzQVFUk/DOGnCFS5uQKO0P
dhl0+vjBjrp4AAq8UPPCNuCbkqgmw/ZgY8bedbU1nrXOYKntVd6HRU7Zj1KzPsFoGWe68bYL8B1C
8PPlhvgj5OS5lt4NY+zd+WaanmMdrctKzh+xbtSLT6FcWeP4XOrNI4NOnaTfBmNkCG04UU68Tcif
Io599m818fYbjaBU8ijaod1HGiv8tI+YgCfhuika8ZrUtrWTWFu3fN4/5Fx4D7UB7C5m+/kUuYIT
BOrvcZBpDtsitLM7u0Tjb7dFf1cWerQHvIUaysmRclkgfm48uTm5Sf5wJV+n+WRkxOzbYE5C2WN5
LxGTsCM/4bQ2hmrxdFbE+2apnV/xwrJOB6d8EAX5RXqrw4ht9eSs0b9QAxflrlPAz5ned29GQ+gP
an7yBd30a9eKb7JGRDFzPZ6RbkX4o9shvlpena+KtqQ9zWOD6I+x/SFMml8lJvUodcfe9BZhHGXk
pVvLQyWEGzh8THrRXkij7HaDb9b8FElz30fSFBvo1ovy0MgROzWxdhjUCUVeHNgF+jzdyr6id8f4
N3jpJ1JOQaagzvvqeV9jL/vepEl7AEbjBrqbwhi3+X8hEU6rCd38vk86/UCEqLXuE+b3RpeI81xp
8sOX2FG6LNZ2HW3ZymrD7CaB9B+NlpYZ4GSNhDRCX1FjcyaWd4F3UXlpQ2nv8ED3J6Y6rEmyEWob
UlVtrS+N3ViV/cZ02+KjsweSoVGvJCpCBzHFzp6xBPIm+w7IdLUvrJwhVuUb21LYH7Ve3RTwsVVB
eFhAtPSOI1pDeqx9EQm72zh2EgJIZiqMTF8smiXS+ubmLgKUFqLukKuVnqfDWo8LmilYtRI05BZk
J+IoHwuGkxTY4uIYL3cWbUnmvjNzTXvw23HYZY4i4GWS0Xo2cwYPxZWBebztQBavZqQAgZNNN79X
Yp0mabZrOza13QwC2IqwZ9qxEruiN9nkaq55r7GtwwaDQJRg52TPUoNEY1t8r0NH25Ctic0C5xoQ
g8rmIkvZMxemug2G8D+SfKo3rsbjx6Z+70AcvTkaS12/Y+bZ2wvrxa/UYcwbfy+LSIMiMHvHvJtu
WWJ/her2/F+yTfh/rpcSZEgwpf8HQJJy+Esf9dsX/N5H6b/QpbhLl/TnbYPv/OLQCgnwscJ3F8zj
HzxH8xey+4TnWrgClmXDH9sGS//FdJb9BWaBJf6Jr/pntg0mSNw/91G0USYyH4dNCE+9a5p/g7xP
edf1hZt4R73Ox5OGNJEKxkgfRtPmcCl6MFBhB5wJ2xuFWTqF6cU08+ZNSof4otBttStyYj1a8LT9
FX9A+JLOjEpOdTKOH3EH1+JQ1iayzLBglhbUrIG3ivy6TYhr4GWyu+GmmgqFXEP6OkIk6WWfPWuy
c18r7yUeS/Ip5gyc3qpjmTlRKrC965gCxj4+rN7us40khIKjuPBtsHy56Xx6uK6+FzowqyybQWeN
/WuX1NZDGmpqpoMhJbaj+rtHPnfHGpCh2kSYBRQhs34nJ65/HSNE36DsEISYZkWSZmTX9aoZ3WsF
ToL1yWS2TE2iEQ5UI5CGwOv94XKA3MpC4sx1e0Lhe+JbD45VuVh5W08gHi5N60wwTCqRS8zCp2rB
vDuDwNtnTthubPBcb2IyKcNNLycC1bURlPi5kz1OIo7vmb4SLa9KELdDFu0iVCJH0rsIIC7HylxT
zjpowqIZSlQRZy6p2HDtlqW9gh4Mj4TlqlX6n5PQx2oh27mwPP43e+fV3DaybtFfhCmERgN4ZRJJ
UaJEBVt+QdmyjZyBRvj1dzU9nuvxPfeE9/MyocqyJBLs/sLea+fQ0pipocUKs+Y4hFm6TTtSrJGL
VHKdN1NwqwHiDD0ZC1Ir1v69YPfBEFV5w0V5RbOP5rjaZ4bZsdEJ/Z74Vjjga7HI+glgL7H2nm8g
jZt4cYI87xE5lPkZliMGez9a0nMiCZpG6Ompj/nARSYH0fu3VlxhYYuXGfF0GHkBI3wZ9puICm2b
d2V7xvTfrhMkp0DpJJeOoJSp4LF1/bFPC3LwZDxFD35ff2cEMA8IdZcGyaLvVN/HiCph5YwLPOFE
LP172TLC3RNtkL+Gw5QeyOFotkRMpM4BoI76XFsBC5qxVZuqLt0d/SZUutRpnJ1VBSyxpsQiNrjv
ovS1McF/qsfF8JMqh4kBKP3Gs1RyGWcvfijsYLbyr7y7lIPgPtuE1xZ+PQ7fE0kPc5Xcm1J34FEH
fKKwUNJZoldYREfJLNuycT7wPcKOXXW+PIlugjlaYolb9xZZ1vuwRNZqQBSlDaffUIHtHecev0BX
ZAUfb6dlq49EJ8rGlUc87IpY0mrbmXWBONsKd/hsZsIye9JDJtqtNnKKTZ5ZIN0C/LYmboUJrRoe
tH0+mi6VA3LS2WxNnBTlzBXV8LoP0wRXQQlkFyWiHNiYZWOChK1muem6gVzHNsTxni790S7aYpuk
DLOdKRhPtGTQCqDp3DTuMLBtL5bmVkI1O+IvLy6zVYqSjDbp3si0hGwUdI9LzAczq9Lvi++8WAbH
QE5V5LeV2KRSAhFN0u7ZGOz8nqgCpEslcvJkcq2nVmScWj7uZ3Y8ggg1ZAG0IDgH0xELi7KRLKoh
e8Dy/oqFIWeMwwfbqJx92kcXCfWBAYqVrhGVlOuU5sFdscvz9+0iGXVkUr/a1fhMtEy8MdUcHLxK
LFs7l5A17NS+yBqUJMdTtmUB4x4gsxRbCX+KVll0wx2gVXPbTCnMAFy7HxxcVB+9AuFyTGe9mmoq
F2/ovWf21cNtPUrdbEUdZwojX87KxA2Nd3OZKhbGWbSczYxPb1JG6QP6kvwbEjx/Xy1C7AcjSE+j
ZQQT27lo2oX2QjBcaRbrkeSZNbbn5h69RXJDxqt/m6GxMiX7IfAVCixgseCTb3pcNbqHdHhRHkeW
kdtwIfUTwELOq207KR9UBtoUNMnMJeI7KmGoNPUTYFyjPCVu3J3TzsfEa5J/osqM4Vlvm1vTp6ZK
hTfs2s4vPrLZ8R+YecHIjHj7P1Kw7mx3AE+RTeXZUkOymfPIfIY1lH/vZtG/eVYknjzyWh9xEUTb
GT/tLq+Bvqql9w+pKdCG52yJt65v5xy6cYKTQzhwc+LO+ex0PNKO04ynyW6wd1h1t58M1zp3ejZ1
BSN2xTg/RVah8/0MK7nvFTpQk8XXqXOxeZqxm67xZmQbeDkcmXl0RuaR7hOiMmD3oP9YZcr31nA+
I2TyPWtnqKnL0cwR6RWs37Fz5uFLDJUgJovH7T4xStcTAkMlJ1tl3b6DGtytFmv6UvQDnYlTL8+O
cmy4LSmeghwib4QMq3sBTWKfFgBMJxCvEORzaaY8b018ceWAGDlS9m6p0nozwwOf1xIU4Ie6qbsH
Z5GkpXUVAgQOpmbPjT59jjNIGE4s8BYReTVtx9HB1Y5CcJ3yVB7dtn/scQKm7DqvnE2zkXpRMLMO
gsE5X4GcUH7a5INgrwKps6/kwE2UaYbncsV5UgUzcbLABOE3BPdZa/KnrxmgoaaBtlcwaOwItkWt
5oVG8TzcjCBEx4lIEpiX0ZaHNDzwVuabQTNHHb2Vd8GQDpFRbxoJmfS/9fG/A+yzmfT/013Dw7ey
7KBefC7/nof65xf+WSd74g8ZEITqMZwGoMp//bVv8M0/XIvRSGADk0YYo824Pw2y5BfKQJLs8HNN
8b/KnOAPz3LZNrCEJaZBbyn+g1qZmMK/18qCelwgDbJ4kElFkloD9GvoQ144HRn35rx3Wa7Nm0Hb
1lCuj869HU5VsMUnBISgKBIo/2Mvm4BVfEtikF9Z5m5pWiyFxH+huSb1LHchYrnSWHXsINH5vtdM
mc6jlPMtiwNzIxJmUyucmmiLIWB3W6RpYrNg5GNU6ICS2HrLjECeGRhTxjaNF4LJ7IqB6Nwe55R1
ts7zpntclpfQ1pZFkXvxtkUXl2qtQQOkt8WGYzZB46P9NkkWTTnA15kF72FVSUdCX6hZuRfDFG6o
kfcJlo9vhmVF7yOI7LuJr/nozlVKAqsRiBOCixC+iteZxEs4QccEjLDHbWWM7gMcnvxWIds5Q5Po
79TYGTdWmC7r0KT1XlW9mrY+pNQdvKBUMfcBrTJRHePnwU6Hrj3geiPEZaVy13nxW15my8A8tAJq
ZB5Bng/bEqneHgxYtCUzMliJRFjHcQmKh95w5K6XC7SPJYchNvjtGWsRVBzuLCQ1nl2vU5/kGwBU
HoYJ2+zXtBt3oLEjc0sUBmdvmzEYBVlufiAXpD8NlfjI7dg/WR1KWRKYQ+wTtpFG9aoY/OwGS4Xz
OuVwV9JBU+nJpcWgu4ThnUAoxYFmsiCpSH1yXXa9nqx8zmIZukfHGM3vHWCerSisi6cedK7Fphuh
I4vIfBDDkFTIr23nnhHiQK9QRy8ttO2z6iDs0CmwDKcCdwsNbsPMR/j2lB+R4oanoE7LR/C44i4T
9oeE0fwmq4hHn+Uw47KLwqd5QAwkDbfYc4yugWb16DjS9BIOiFYGo/M24STGQySRpKeOv8XewgRv
MKtNuFQAzQJVhfs0CN3dIIvsezCO7/R5xq4SIqxWxEBaFx5ygKwc0IdusbD45tiXwUqyRXdssUH0
8VjxtK0tL7itTBLwCr+RGyPuPi4FlotlwhYQ01Kv8NfyU3axu44G+NbWYCXHXMXGR+F50YHQL70F
r+u7WbgB3jhdLRsxiQPWpNa5aON7RzU8Nzy2I1hB0DL1HEONK+NkQ1XA+qrGBrX1LXdCPNMDNYoS
UUU3UhRzZL34IXKvXRdYo4O7w1qEHDbpGEexfxkl5gmaKwPp+pNtZ+745HbSdAUE5Cy2Xi3BswAK
JE1uZWt6jz2e4/jDJJYCL4AFw2IHv0jz5/GL8P1Vco9Pzv4QsGsxUX5Y7DcIeCTETFhgS0gRdMr0
MFY2O5iczRm/TWou5E61RNgr1B6JGJ/6LMHPBcKG8h+XpKnStyzrW9zXNHYlCTGx2zG1rNEjb1Rn
T5xsQxJFb4WVRNo4YiW8P0ZV8HiO1UypPy9WBGAjmfj1fdqaaJOTY+Bvm8Lps2g/9754G6py7N+9
LLAy+cZrFAw4TIEUHhMs7RS5ZZj1yAFBCWcUYgiNybNHYh0+l9kg57VJsqZc2z1IPT5YVBj/van/
nZsa/YTNrfr/T7JuP5fd5+7XWJI/v+TnLEv84YK79lyIEyzcmEL+dUdzLf7Bg2wzmELDStAqJcHP
O5qb9KcOgNRz1iyYcWxHMocBzvsf3MlIb/9+JzO/ChD++QA1XMdnE/kbs6IJez9Po0neFjZesbUu
BsaNtEbK2PXQGTXra+/HMjsrnCq8r8qZZrl1TQO91NJTPz7lP/bg3Y+tuEGCHxs8P6T2XA+Ogg2E
IYxFevZjq160ioPvvv+xcZ9tjz5ecGSzi+870BAnJZrunb3RI2xyAiss2/DWQtOzc2ge864DqV3b
sLUNfyEcbbkit5vA0vxtLh8m3aRr4D8qJyt312lnIp3xWhZB+7zxh+YBIm4GlzsM3jqSKdAq0R5r
F4ZKa9yKbYyMFiw4d56o+BazXLbTFRxeex4QcUfzxB1NFs+aUuIwhDZuaO44sCp6Q5Q8u2qY4VK1
MQy09Aorr67gcnzA9U22FPmBIKj4k+wgnBPLgUiWMih4rwCg59N875ttmmCFLuYD/wjv1CCdc6LZ
6YGmqPcpPPUJNSZ/RlPWhytw3byy168YdsZl2n+s6ez5FdQ+amY7kaTFw2AN3SsJduHBbufxZtGU
96Cz5yMtrNbhkulhrEJaqz05g8lXngf3kdQogPGqso0z4D7/ZnJlC+kPvjljzfI5XqDNL5o7TzPs
rRUMKiZXfm/fCVfZH4wrsF42sOsrQZkW1Ay2CsgTB5YnC2m2GnmfDGLYWjZx7SRBYkaAWLxzRuKk
8yswn3DE5ZMxF/WO3a9xA3xqOWCMXd4R6ULJh4j3xPYmvB80i7+6YvkFyokzjm2pLAB6SvQ2DpCf
/0btKFR8Z7h2XQ/rxCw8mulGgT1pj2ndRWN5RNE45tXGgxGRBju0V2xALKhasPmueg2CKBFv/PdE
/fdOVEi3//RExdYwvGfz38/U6xf9eab6AMbZ+8IP/amZ+lNlRQaUy9qAYxa3IoX+LxsCJ/jDQqxl
mabpkI2LHOrXE5Z9BeciRgVLgv/6jzYElm5qfkFrCR9yFanw8IVooWAG/XbAOpJqg+o4OiqL2cTa
gVjyOFrRwjNe9jcJHuWjIhyOBe2hbgT1VIph66Iq1e9br1A3TmM1NyhqTXP9y8v4p3Pi13Bg1/5t
d8GPxi/HTWTSFQqun980YFMHhCGzfXnwFGDAMyoY8+wvEuESh6SbURZWT4klDLFN2hCIDBpuo1bw
HRlthl/Jb7MeO8v1m3Zbz17hfWAPGt3PcTOSHMIH862I416221zVhNgpafib3CVx+IwU2u8MkKC9
4e/HLFw2eOhK7GSoTgThLhWQ9vaFeJ5oT6w6ueIs/PLm4oddPm+YmSDBZakYHP12sLTpId1ObfDM
6R63AyRW33lYLDmQ1lPnK+QWhVpxgucYQMa0+VLMhXkhDxwfNYoncJqIhBia+3AGLTLkcCQe4eTm
GZkSM/mhNCDisWxI9x6jkf1n+DqFkXGD/qY94my0bgayA98TM27PQeGiYUq7W9hyx7qS3bNXJhM8
uGm+8bqhB1gZK9QoytjQCnLioiSQ941w5lMZxTsjgT2LIN+qLoYI3kwn7VZGAjEYvFKODxDsn4eL
zh3vDJT2j8tArgp5rHO3HRM1nSJveTKHKD+3M5qtaSGaiGQOaUU7aA7iC8QAoDI1OorJBWzMzWwm
8mL6WX1R8F4xrPvFg6tQIynmy1Z2xwCyc17SqMUeQnw7ZtBmy0ja3jVBPj7PSOWJW3bKwyRZvGKd
LHc1oKZsbSEVXHcsG3ROsLWfnLCm1YZx4yzIgIA7VAc2BuOaXAr5yKve3ALZbmlcc/OIrig4BkwO
UAyaebQJSzP/iNKke648RtTNiNgSKIvBYqRLlnuntKeTo0zva+TFcifCvtniOAENbat+nc+q3dpJ
1UNwx8jOAGGcyJ/I6vhzxmO/cux2Wvc8aVAQovFietDfoM9BHxm7YZuLJECQH+db+Lwl4hP4LUvZ
Oxe6QngS5mKvIpbaPNKgrcLdyDBxXiPMkx9d/pI1MGnuUp+MI9CZ1mc7gu9TpPP8jQY7vGuKWGz8
aWr3ohZYkHp2DW/cxEuLKC22DraSabupRoe4qqVHdXjDDYy/xHM7CEp2U3g2jhK0HyuTBNlNHuXR
gpQiNJ7dqcMkIIy8PwRTa90GtVu524nX8aAARUIZA21wiphm32LJ5tUTgKbXQumtlcL2j5AyRW4Y
incCt0bwnDjjnxc0IKcgB4AFZrLJ6LrTkJDnAA60n+hPV+w3YhVRb6gbpuMOvXwfjI9eaSYuztNK
HmiXXoJ4XL54apm24diJQyBTkPMSLPOmtgBqcxKObypmrbaqfQmEvoiACKAQaIlV41bGXl2hwfxU
hl4wbNymxXBawZZV93h0xGGymMsCDvDRoFkKlMFprljDrIJZqUNFz+1CKcjZSqYsqc4uy7l2pZLI
PmO/GR9li5YEQk6sJlaZXX4WfDBuRgAYKVtHVSGAotBQm5rtxL3kOLgt8AjrdK68eKUQai7JANoN
57/t3IXamQL7BZOKp/0qiXaueJRQ+cYaErExtbNF8ozC/dV+F7XAIkB+F+PbHbMXbJbls68dMtE8
FOSBjszXrwYaxjrZexqR7MvWTVtsWKPJB1BQufGxdtiv4KHAj2NfrTne1aYT1a1sd0K7d9rFaY5z
YY1vgLXxbGmXj9Xj92HJsVkMCS0q0m4g82oM6rVHKA5UuvNG1T65Dt3xKrRk/MjE0P5QqSK5eACG
rH3XdtGDwFBfr8g0g4MD0KT7RKMLRExYJadDq71LoXYxxUzLmD4wRrjr8Y9hqbNGN0aW4jOLypiZ
o73UnijGOnw76OjqO+d7cAmMeNw1HgRnuD98iygwl5PgbN6lM9ytNrOnbTMyfuFsmA6p9mcp7dRS
6EHQrmr/VoYzASpDpb0ZCzRxKNCYvFIXv5d1tX55s61tYB2aaKwXTL5V3wy3vS/l9W3bk+yFqq9F
BocHbm0ry9t2sXxPHUS9oy+AejWT84q3pz6kNAsPgRNbfNfi3cbkxIPoZs4ZKeIpDTn6Fzc/RbMf
4l+r8PEjYJGuMZENXRiQtUDw1LVI72eX2A9B48AXLJN9JqUe6xUi5fHe1YY6Yi5siEkzXpqWfyS+
aXwixrR5bG1nuhVuA4qtq2Nsei4Rd0pb9zJQiZu2qPDvU5d8wU9cvfOUumjPrs4/cXUBMs2JT4TD
wg7nOm1vHV+bCl0nxj0InsUTW7z8zFMxGwXObkb0C64GA9KrTPu+3DbaniiuTsX56lqMhHYwwtHC
zdhfnY1+7I300r62HV29j0Bu2zfCU7JXmmLeLqjcIlVng/jsy2zKJ4TL7k16dVQ6osV8VRIvfwdx
Dc+l7sHPIdwC/H9x9WnW5sxe2zTxLfJ+QXLHvWkQFvnJcZuCvxNzp61tnqzE8RB52vzpN5116jjO
+BRpc2h09YlSdzEwzn1AwAhD7ewzUpS3zrDkxp0tTX9Jg/qIhtrwWIf7AEMcPJcx0MRwLLcG6LsL
iR/9fZWm86OQVoJRTJlQUzqLrXeb28Zu6LpLFIxc1vBZ7wiPiDGX8hE7JQzq3A3GE+wmo0iQgbuF
wBUG8n8TsvJ9R2rZfPGDBqwgWnHmdAIxHQWmSzRKkTJPn62lF0AT2gVnPAm4WFcGhO8FE65VneR4
/Sdj8Wjw01QRgLYw5Bo5R9J1WwrprilP2g926s3Go3LA6twMXPqPfGoXJts8A+EWjqE8qrTlJiCv
smz2xG2IaTONYQx72RPUX1Xu+E/TZIlN1Xig6gQ6iFufDGUQYUzlbvxK5uldG8/ZhDjSI6iN3ODX
lhn0BYuh96kJfdIAr5mciMWMd2GFBB1XXlPeNF2LlMWICtPRhneujMaLh5tEZ4DaGLSLo68zQqPB
IxulNEWyzs0I/J+fEilaVordgTNIAovxQzr9rWRQiGTjv23dv9PW2bQNtBv//6Ds/tuX9nOX/U32
9ecX/RyVuX8Q8MQcTLDHYTCm/76/7DPkmbuYxqWPreYqCvs5KdO+GgcYrCTlV/d8zLv+nJwJ8z+Z
lIES/HsjZ/rCNWkJwVHTMjK8+3175QwGc4ZYnZxiCZggLCzz9WDBwbY5lyfloausC0CYYB7I0/CR
VejkQFdnCHY6TTAvfIIFS378u1anDdptJ0/TNYKw12mE9jWY0EbbuiuXZPgoOnILW98jwlDpNMOg
95N7WyccQvyPYDspcg9rK+7W9HHOfa9TEREFNTsTJwaxi2b50I/jcAmuQYpIB7JX5j7jURgtQYsT
GYEfzWYMXwcz1mB1vwoueewXl9buX6XOa0R0RXKjznCUjbtciIZsL1PkUPvprMcl7KetMTr9EfX0
AqWGFTbBO9NWXPfaCB/y50Evuz299qaR4QhF1DQ9NHotLj0Zf0CpMjCr1mtzRy/Qg9iznrzrUn2S
6VaZWFZWhllOp1av3zmiX0iEYgViWTbbeaEX9aZe2TNCYH/OFj+jqAYWp1f7pl7yN8hfyR7Rq//k
qgJoeA9fci0N8EcKXkPLBdpCgPmItYgg13KCtAQzTnoPIgNbyw0MdAfwZCiFSHqHEYsooYNUvTfH
Cm1DXA6nUosX4quOodeShpnSYZeRxbruQReCmZ+6/axFEF5jjiehhRHMdp3PqRZLgHTrnyAZoKBg
75RtS7uGG9jGtn+gsh2ACSC7aCwPmX+Yl49GbzpPvZZnwDvOv892h2RDizeklnHQWxv3TuLtEIv3
H3mtUHsg4AgeGi0BcdBL7SwtC0G8baJ8QiqCDskAU9tOX5ux687UL9Up1eKS4KozSa+aEzaUwTuI
U5QoTYvZd2VcFSqTFqsILVsprwoWqcUss5a1YJYFpoNyDACY+Axywb8ttQxGOG59L1rE6YMWyRha
LoMOf9rRZKKhUVpOU2thTa4lNqYW2yDNTR9YpVL1ailOhvOpXmG5NN6hQaHVCa+6HZzZaHhI/R5u
ceF7AKuR+CRa7OMUGGpSI3c/AmIyP9A4TCfkFOY21kKhxMP5SlxOox5bI1remry23ZWR19Nt7SbR
cyAy96z7m9avoxvMWwQWm11/sVVsbzPX6RHzqAViCtwID29ro8WCPSxb2dFc0oKXBiI5X4YHEFeM
XuH3HZAts96FdwoSKoTXgOqqDYtXjpH6YS7zZV8SWb8FnOBuE6PG9RDjvrpBd0lsI9m6W67L5gxb
Ijq3sbA3spHOp5wY44zOr50+dGGsU/D8YX6SEkbEGsGgQYyaFe9dGRbHYSFgkq24N4ZrZTSu2pX1
bJ7T0LEs7LxlVtzjFo9ePYvANLzkVVivRdOEnCRJvaCTrL7mTNZ8tCvFdOcsHq6IJHOTDLSCMl4j
1XUB+3aXsiA3ItyFiZWSfJqWjU0kRbMA5vTr6dHOTetDiykX8SLMq7ohoqUiFf2OmZI/JbxxEbtz
e9eqOip0DzhLEsEnc+jMpxBc0CxfIq+o+0vvxIOCYVvwaT8uNf79Zd37YGPrjVB2Nj616RTh6Iiy
MC5BVOfm6L4UKh0bb+vXcN12Bmq59Ovs1bWV3UCabVsuLi63/9po/xX43UT18c/qgLvP7Zx/Lr/+
Ot61f3zRT1mLSxolyxV2U4K7Ha7MX3WAF0BwN11GtS47LCbAf23MmO96lBM+hwuLLcc2Wab93KB5
f/hQTiyGxZ7wTG7z/6Qu+G1/xrenCOFZNwMINrb8vSoozSFtizhb9l5kAToPAXmcoimaXwq9K4/A
r/6Lse3v82S+oQdex3QBA0C2l78NbQFIxkyk5LyfprR95JJTaynHfxW68PtomO/CmhJVu3BZMf6f
qXXvdqZqXLIkucnIE7an5jGrWJ4nFPVb0xjzlUXK9IbSx7h0JJH9cEr8gBr9o9l0wFb1b2PzgKm5
aZPxyZSaFznQ1dgvKZ8ES/sMYD3Q1DnnOvTGeNkhwDH3CrctgsK4PXKOt93NTNNgAdhyQiTwNfjF
dWc67hPwCrJZqtCf7+iKEtb3FkIZfxmzHWlk/Nm8mguyBHNjUchBU+SdLocKOmB/nr8j4csuTupz
2xPMBk/T1XZRgskKJH8fQzTTNyF0e6xmkQUGQgv0mxVGhQU90GQ9S8eu79sxs57tSU0PvQMhdETv
/9kvChiuNNbz95i7cadAR7zmAwO+Lp1KIFZGjj4hYRGLJqEEf2JWn2JQ329IafjCcUqCU9dMkN+Q
u1wChZEXyUFtVgdeqrJgfsDqeI04Rzg3SBL5NU2vs5m/JvbzXM3+xpuq+Ow2S3mqRMDdmEd2vqq9
pH2sckVLqrBbrtMeYWUn4+VucaZkH5rFuHHCpD1mg908dkUfHpfBm25kY+WHpqcKteA4vqZmoV5h
kssn3h2AEZ1pU8uABxrQNb/PgDvWEUruNQzhGS95WL0xRuWdIaDP3Msx4DM0tuHR6cvgJBk57xGd
zt/HoZ5fzJYvQSfdfUDr45/CKRKHJuqt5yFfug9pP5anqaqCUwFbt9+wzoT7IooRlIUkAYgErLze
dnUIKqdUSKoaDBq1JLh9sMj3wTLevouQ/40yC2VUBPQcx9zkd6tSDA0jGj7OeKDmG0kk9QE+CpQ/
rx5pHGGXbzqnbEsmCR0owY66sV+IYoOIOCEoC7NLhGRzJ0mFvxfkjtBUR+pbZtKsQs3FBp2bJoeG
VX1Kpka9Qpxe7oJG8Vc58XxTM5VfWRO/cTAa4CtZxq4lF/bZiEy1FgG/ixRpsOqDuFgroDHIxuNS
fbOyZL5hnytALfJOhCqAX8sdvyFaVCBIh8T4fUTD/NnLA5fKPUxToIhGUm6qOAwv0gybd8zqy105
xvOLPRak6VV8GPK24a5kVfMVXKX1zBBy3MRRvuwsg9eWIDoSvgf9UutHNCcM6dvMKmG3ZLMNxWnh
nRCymnEg8vwzAqjf8sgLj3mXvY3IsY4xwr9z5H83hwAvaWIU6M+7sLDZ8rqfTHtmYR6Gw2tk82yu
bAM0o21iBhQY+jBrqW/4bOp7iNo8lJOt1lPMGyU9o9+FjajPdeGIM5hm9zwQI/dcJl39NriSXC2M
ZdvFy5Ydapnqk1O4823qGO7T5M8+asHUJ8K8HKvPhCZ05TpxwFgGLcq+6y/nx3wIQAQYl2muS0CA
CPPvIIt2H+rOYHRFFJyP/onXx8IgcJzytFjL0SSaosLYtMZqnty4ZNa910iKNWYYWfN6ZqKOUS8L
Tqk5e8SE2E5z30sgpvYH/4cmSF0FQkk7iLfEKgt0Q1jmSkHSyGKUW8c0RyCStHe4pCNnEBcCweYV
Ftf5xfLnfo1eGNsOAi1wDGD4djyHrrlCQU2ZXZHzuFNDeT9UDC57njB6xuyhNzssKGZ+MdzhXhR1
sWOI5z4urcvZ6U3OPWnhT6Eb3hcwo0lV5UMU2Ut8KOzspXOFtWUqNmwHMX9JIH1uhRq+ZrFNwlAZ
vc+DiAmFktGqBCF/qhjDbXMXWEAXRv1XK+mabZR0BPI14Y6VhHWclizYWDPezNwDuB3VUXIvFjHf
GUGt5jXZt0dA7kcjw9kCf5AIq5rIxQPyG600nEhxAPi1KpKMITTA+u9RjaR95SBvvoEJM6/RA1xm
jF1buzCC2zSO6rtOpiMZvHxgmxQUYkII23ZAmXlYZt5I21IYQ0kA3hdeNeOPRuFHkixKct2jKFhU
N7Hp0eUbhXlLzGawx8f5RG8S7CQ7zRPASiff2rz27109jnLtNoFBH8XaCnE2RNm9XdPWIc35VFZh
exrgK65J6B0O0RhYG+oCZhFuqPXeYffuYGqH4RBx53GB+zsFEGuFm6nfpqVsLo6LCNDqs24XqQHw
RZxBag386ZPvKjYeTjaB7I3gCOVZ9kauTOWBmJfzDQxqMKGexCeOxS4GFSwcKkSneaQ68zEsY7g6
1Jyv5mbmEIGpnVGOr2o+V3ci7+rbcSHXtIKJcrCnGvBTHPOp6rZRBAqppPjX3m/3WMt2ellGh0lk
Wqi135X7Md84yqiOrBeXz3Vuugd7LpbnmnjIiJF0sJ8WNzgUQzg/JJmDEA/V5TGjf15LOy943DP0
c/iWtp1goet1Aqp9OFvkJbcjHKfa3zWGKrZGkC+rEdzWhhCi9KMnAf6RdAE4NpwJJQxg/bMTrPBv
FI9QkbnLE3M8JAmAdsYRahMZUfCa+5F1kyOg3RKNF2vmBaPSMRR3FaHDcIZH41IQEYizfpmPLLxU
vmJAH8PVlW3xTUTNfRwu3imYEK6sxTjiZSY0j3QUEWd3NcrPQx0XHtbfWLa3hKg4bwNTWhAfLnGQ
rCoZ88dMe/x1aqXmt7ooipy1eSlJC0xNRRpvE6zrwmhvBiRSb1A8koQdc5KeBBy498JJpXlndUJB
EbZwvblvEA7M/RhngL5YoHQwlKcy23mxq75UqYW5Ph91XVA3j9PU5/SjCna3z4rolj0o+W0hiTwe
j18RH1pHtaeg6Spg3Iy2WdBXbrKfWDl2uIAq9zzbQAmWuKy/2LVvdOu2nkHfk6q6upZIKaEV2H6s
ZZ/ibj8FduhyONf9Vz8Jx5om0a6ynZl1XDg1p/D3Ms/9TT0b4aXOPP0ZyCgTvNCsw03kDhREcYJ1
K67d80I+6sUAicavmzhkvTK+8zcRQr51QZEXo1eY6i8TgWf1NnZ5k6yF23keqAp/FF9NYlvPyMy7
r3Xqpf7GxpdDnVxo+u2k8+kpQ+XTxIychBMKxnJrs5napLGdHxyIbae8XUgcNglUKirURn2bQqso
arshoNPtuNyDojIuJeCD18R2ojMDv2xTurK+J09E/xRB89FhkUcIQ9PoQ3kp5u99Sk2SBB7lSdA0
1gPHYPnVqWWlNkYk4cJSJh7hpsMlKPB0YaMnrCbGCfZKnC3vndUYfrk2i3a+iQrU9chf+f0HNW6i
iLu8oth6QzZVrLtZl78B+ZNeP+UHu+NXcCJhPfvFNH/35zq5ARxWbUv4/4hfx27GUR9iJa9qJz9k
TPwff2kk/0ET8XuqHW2DJQnQ05lhkMO9QPduv/YQlQMTMG36vUiottdyGdyzJ/HmRf0YHmdBERaT
YbXtI3N68KKqYAnuOvulrz5FIGcuRsnGtHPUfFuOdfORwARxVqjkXkaq3N2/+GFpSP9Pw4PNQqs6
XeClv/+wJJ9mnsKZsAegg9KsK+XTXPNwm0QDnQmoBTkIMJkrW/GUZX3nb0zuhmNWTtXntKZW9XD5
3/3zH+oqTvpVvBTQKgEG8vUPhXnj92YzGhrelyTq9kWBWXNNmlq46VBRYoKCEdS2Q7zhOFy2MzYv
HSpD1ZLWNIweBgHAiCq7pGjvj04ul/0QutVX1k7eoy/hIAR9s+xDo61Q32mEyT//ya1/1D/+ePc9
1K3cPn9/71kgZRWK7R6aht0cw4CLkFbII88ereMjHFRaOwfnhuJD+QnPhw93s+SDNvTuv2xm/8EP
40GRZnhBU4373PytZ8dj59Q55Jc9/s50zZ4VD0lTIGatZhjqdVIS7RQ73ndlk24CggoslWV/9tP6
w1gC3k5cyiXDJU5lqAvwWK0t3pgFlnfJ4mS3plk4n2yRxdNdHdWluiXtyj+E0so27LwWopH5QBcc
JXvQXO7ZtOJ6y+KMejUvghMF5LIrJ2e+FTHVfNsM46bSJ4wtBuOiolY+EQsyfy+A47sENgkybBxQ
Hf/D3pktt41s6fqJ0IF5uOUIUtRAi5Js3SAkW8Y8J4AEnr4/qKtP2BRbitrX52I7omq7lEIikbny
X/9A0WJT9w5ltutQh+6ioKRm57LMvSRM56Abc16tTZizE7/X6rKY6iNZK/Oe4s1le0pBD2eKniBU
pHvTSKs1nmAQhbErOyRdTQ068/VD/O4fceSHMu9ZevbcGNh37UU2OTQtgyFkkmJsOBXZ0o+wwjTC
pLYygowIVfBqBLuWjtUPVuxmV+iPZWBqxE4YVbpzbKwrdjSfYwQY878IKOiDlUrbw14GsQ23ZGFR
cV95CB1/OZmB6tscqOmx58dFHjYXTxyiN4Bfg30n1h2U8o7U1IWCLcWS67Tqc/tmi3XN9klNuGrq
BeRpEHokxGRcTNey4eLmRmb1OiZE3TSxiGeYl287Hfg6JsGFIirs7lHE2bPTcH+cpFb9cIfMiAms
Jgbzfe68FDPW/TQx+Rw6yrcGl/adxsFxTMHwt7hisPChlJCQYLnlixyV8sVER029n6GZZAtJN4Zw
mztuou5hxLsGrhyXfjsr2qci5y5DBxeXY5zan8V8tytgv6C+FjTLzSmT+ClnGKpoONTvmjbh1lI4
Bh73sXPMjaZ7VDUSYPVCL19IQo+3qskNq9K4PeNuM3ECCLKb6TQDKNXA7zfCiZ3ZWJ+dTQQFbi+u
4GYUmDAKsKKZ+EbQSBUavDT+T5yJ658E7zIr+UTuNbdDEkNMMPSIM7Gu6FzN7C3MArz5CI1wKd1Y
I8LLjIyb76gv3IM2ALPAk/AOoVY1+3h0CI4PmbiGA3RbqLq1LF1CW1x4owsxjPHWnREguEbVTZ6C
Dzkx12SXBMPfaHHCaR27U/UDCfNdL3HWItOP67ZqIV4tTBhYQzT7OvJDC2UunOffWhIapeHaWbIw
ymx+B8aQ7bT5U5XzWaOmWLFUgCXPFt2CjWzyhAgAdSBCFke8h3G+vMZS5QIfSbM+qhilD8syoRR5
P4sr4oWwlglxMk1pnUZz0QuuY6ANA1jl6fCov5pIyrmWPeja+zLUZ9Yfy7tWfYnb+rUZgngY7Vgf
3xEfNPMZj+KgUtZATjDzzXYkZMewtimoMtd2D10AieAdHlAQjL4Ks+ZmC+DI1M9A3hS74yatAIQI
kf4NR3a8nvjccPjE7jdYDBIszA1Br9RKpt/qypTwiYjY5J5CSdaVjryr6bz4USF4xeEAxU1OPBH6
aiymMEag6od7d9IDMmqAdnCurzqlXMNqAM4AuBvWRc4XE8rcutVT27qn4FHxkbL79kkktEfZw9L6
+wTdJMOjc6h/hhD6160qxgcafuA2epPtlBlcwSOEbY0bfbB/R2oQDmDOwHHTLGnl8pNyHbCnntji
DI3h3/Gb9wNbpmC3RRmZO0VV3lQkdpTLjsLry3KKpbpV8R54X5r4a28qE2ioKLVgbsYWh6rUZ4Mi
0z24pHN9LzUwNFLQwdS6GU4ccHHAWZqb1jJUBZu7ore/yswrn2XIgdeotXcYHPbZcoiYwghS3U+1
MHghaQqztuX6tG5tynP4id5hXs81LbIZkylbgi4zEEkvdqh504b/nAMdE3AEIScCJImrr5P5FOCC
9qy5LAlz6tpfXR2UL5EWhLcOFo8brZnXD3nQPlcdwEibxwlm9Ou9vHXxJt+EaZF+y6FXbpBlsSPh
CXd6Pxs0AQTcuWF067DlgzvNLEm8aG+dUIFS5g2ee6g9SqJ6TPXT0JB375GmvLTxV0ZAwIuP7EQ7
VaRXYMjFi/QAiHdjphaHCc/lg6VTxObzO4goEX607dBUhAWVFOcDilGSsvvHcaBMrmgWH9Qy009K
XrDZso99L1u3+hHZ+LGAXxCdNkOCSPfMnatXwT4somGVSEqQlt2kQtuPS1noSlZISTprJ7jsvHsG
CAym/brM+ChGtS+f4QsBUA9gxkYccFUQFM6GXQ8rHXB5zWHP4nnfZuXMGQU5Gq8wcgifuNWTLTHq
s1N8jhXiHhtoedcA2jzAVJt8Be7kuOxhgN46Kttb1PMdpZ7BqWX3FXc8g7Wm4IQtB/AyGtU5IZDQ
y/YDqZKktbBVGuosoyWI9RZ3L1wBbPSGfai0a6PGPmYRAZnwTTag04Vwxv/xcTNqp3tzikBuCe7B
oZ1i01jGNFxX6ESq1zYnbWJRYzC1Swo+sriKo1vdKZ773mLWJvz4djA0+VT6lDkgkY/bUD/U36lK
EnPRSdgai0wtPeqWzopvBkVlkyW6o38sy4BqduzJqe944SNsh+tUB1J//8f3D3PME44YReuan9bA
mUoz2CT5Usg7qZNUQf57vC2Hkg86psINHYtNprdY2ShwJrSWVjxdV/bEjWxwSJ9q09+dOZX2GmcE
nm8Gip22ejZ1bqbDXAWMODpDMKUfvgVI4ImHnZMlg98hBiSCNUJsRWEtAFTWHdlImPOVnbsXAYHC
76Xz/29VftGqxIIGitAnlKXrl7h4+7NP+c9/8U+f0kaZNxODaO5Y77wkOnf/8JUc7b/oEDoQmTQN
Mf0cmfG/fCXnv+hXOTqKfVV3/+pTmlCZsL3iAFY1Kkzdc/5Nn5Ih/rpeutx/DZqUlCizDsWe24p/
3IVHjygPMSqTT5LQ6GGcdo1TxB+zcfc/18K/BCUfhqAwtixXQ4mGbOZdCfPHEMHQ0e3XOYL6wCAP
xqUMLhauzZT+P5rYfzDK/KB/jIJUXEormptFxXOrPJfyTXzVYv04V38/yBluQOawCT2QIboJR7zj
SMLU9Pr5U5y3jbFn8KisbM+ETeDqztkQqJz1olfcxh8wP1zAegmXcVUe87zeWpGZbz8f7cMDvY/m
adw/MTz70KR2pCUFVOKG6E5Ab7Xljzh35BqOTfbFxfvSUJqOt7QLImmZ55oitbUrSenIg0VueJKJ
SbZ30mvXqsCo6fOn+hD0wlPB85qb1AAPH+AdLbXUMaOc8um/dYc0E6lvExW2DOQkFzVl3RajlvGL
9vul59M1otnpvaOoOodprBi7CIWMCX9MmUWqAAvujmsuAoU/Pn++8x78vEZgEPLlOqbKdfoMNUgN
pZqqSml8skwJD8sCBSpa7SZgZYhv8KKv73A6lXQ3p+i64/b5xfjzlvAn+PM+PuCZiTvIvDWdbxmh
WUVqCvjj5opc2wUPSK3x8PlDzg9xPgigFyjqTKKAQv335yy1UozC0xtfiFrbOkNEHnroGMFNpquT
P43YX/UdxLCyQXbz+dCX1o+h25aueuxZ2rz5/7mTeJYptRC6pQ9lflxXBuEwi0Qha8xRVOIvjJCs
ipE+9frzYTXV+Pj1I0yB0wKvwjHhKp7NbAvbMwlJ2PSR7Tc/S8cmlpM+Ao36uQtuBeQEGSpZ52oG
cQD7bW58rcErSKS2HWU/bOOqaR71aDK0ZTy1yaoRzlG38h5TlF4OB6/B3ZMmkboyBBGXWh/glqrq
XbRw8i45jakrIX07yRV3HWfpltUzWRgkrNCJyYiP8OG0zPqiCCQDNRbmBU50jR0EmXh1V2L9iVOv
3XTJLlIz54rETvuHkjtUS5E1RtdqrdhXSJKQQ5GLvY4Ui0COmcm1SOfmALq17tB5ZGjGgn+MKhxf
E6f+aeu5sw/i3Fi7St2vWmfKt6beHsxUFw+yGM3jgKQcq3knW5dGk+zMHMusrNPMTZuyhzoksF27
Kga4iWHKBZtQ/81wsPAwU1ccyEbD6JnSdESk0mrXAeFQfkle2jIsu+gYJP3w0xPEn/QU/+3SDiTL
oEfeh+n324DLwveoIrtihZ/I9GAPcI5II9Hemma+pVqtKX4r9FajpUwy8ejpsRttpC3MY486benM
E0wD9LrER5qUejEHIo2WjbYnEAesCw2BoIeoqID2I+YXLSEiROQ4yAgS5Qb35zfRIi0YRtH9Sib5
YE76m4db4w+pYzEGThd/FymueyrIzUwc5UMqBvMNHLvxFtEAzprU7BgJfX9Ji3ASUH75ebnk90ik
k+5zz2of43npE8/qXOUoKa+rfAjWhtWgcIRAgy2ZnuxCLocrr6maDdIodYsmbaLnaNvh0gvGYO3K
UU2W+FqHe2s0dR8VJgPok72s6wSX3txN6dok/X1aTt29wGJrOTU4xpK8GVvHLESkoWZBugfPJSpE
Kbt1T3TPresxnXRMwObyptJXOmXTjRi8JNklup2ToYconDC5WCNqsAm0b2jawuMYxup9QoC0pBEE
7kn4Hx3YMFS3mtkEr+QyImellA9u9MEjpBCMzOlmwVIH8zcwb0c4LCuCAu0ljpvmfqya+lArjvZN
AzTY2V5l3wWKoWy5nBt3jpaHh8G0HoO8no4CARQqEqtX/S6qbX1XNwJEjexiuSRnIHgVpM4gxhxK
sTCUTtmW9Pt/m0nq/lbCQCxbElmuGlxPXyNaHGtQeDBLUA8VdxpBQjFeAcxHgCfdSpvkr6xumcm2
l9maNrUKAqCNfk7U2iELQ/OkynRaByNmKAxmaVsXVGJroe777upBj57Oio5qDsxDayOzVxg3x9C8
4t5YQIt2f2ophpA1Frs3nSGHl8YwClI5Q+8WxZ1xyjyYUou2dRWAKs26GvRwvDN64CiUZ+5dEjfF
yxhZw7EZR25OSSRuZFvbB8JyIWbVnnWVVkax1SChLrEXs+8rtGCYAY8TUUuKi5URvI+UCMh588r0
QBybSXVAZtQgdXA/sa0VeDkRpAHGP2ZsCxC+rIzua/wcfpE90fpazyaUKnm7ZWlYK4k91qYaq3Yr
yoFYqbaK2xUFJYom1ayvssFGeBaVdXSa9BzGetgjV+KjiexV4mFHwf1z2vPbhiddK6c96Qf1FaLm
cZlZ0MKW8MhUEm7yxNvRVLE2CH9syECht7Nar8RGSZL5rs4C4iiNMZm0DdaEawDxcUEQa1KImp3S
qESARzXwGDoajKqCLkDJqhId3QeCeZAlBY6OTuauoAh4HWoh2Mb6lLaG6W4jKCNLwS7wHMcezfbe
cXyCaPo3/CumDRQS6woYutgOZUyegqskFTqNUntFZ0pLLiPP43frddnj2BIXhIKerPT5r+sFCBm6
1WY3SkB9LrjOcDtMibxt4ZOsezctxzVr+D28DXRfC3MCTOch46lKKR1oKGNbDaGeLHehvmKh0z45
UpA8aeHjuTAbQyEqFwwSbC5BDBHq38xCBj8SMyof+zjPt8Lrii159sE6noDfCAHCZbFWvaUqu3Rv
l90L7RexczFIS9EyJtbKDVKgIeAsNs+mv/GEyvQVEYT3hvzyaxjz/bWmzLHfo1ZKv1Q8ZHRuBdaN
gg7tgUoTe4+fq0zxhbQFtuYJLVpRVPzCqqSp5cWpfa8huv0u2n46xiYWJouKmIKlVbkF9czcjZ2q
jmERgwC8THTqtKbrl0iYlFMV28NA64JX7xq4mZSO0ey6zIh+eRp/OyXo4j5vbOsqwCd1G9ptu0JA
3M9fv+JuuYiSUl8p6ePgoVYuitq+9+rZFttsoCyhxNuGKSHtOB5NPnZL6MkTUNMBThQwZO+Bj7ZI
pwI0GUYzmi9aXmfromKBI4tL9xMreumoJvaUplq8JZzhdHXV9tSm9vTIQkIXEinhrUg6776YiRq2
2XrbuKkKLL0M+7vgLootU6wHh4xG1kimaeFt9UCBEilSwrIVtX/ri0B5yJ0qQOksEm3lKvY/7ykV
Mvg9qvyy0jSGjWpW2o2FB8gpxMHwDjnnuE8yfe6MyfhH0bXu0St7uVHQyD8Z3Wg+9Y1iPiVWNd5w
UtkbMkeV1UiXf6VUZuQ7AaSUKVSabyXWJmu9wdmFREV58z7rwqLjD4znAg0THoavPQdfm1yRUqCR
rYzNSdEhuC1ZiBtyINQrsnqLdeElYpePwlhXIOJL2agmH7HjjftOH7PbwNXCnYZgE13IvJYnV5uO
nmK61BWueTUR53QDxSxY55kDqwXjWhKu4OPfqsBnO3uU9ncvQGQtAlootAs4DNHy8fqnGvyqhTuo
1e3MlPcMDMjGNGIL1LRvkRK/Elsib9gUxh0IZHHrQDUgtcUiOmpu+D+qaA6tBQqZZD1hPLlxNLhn
GQa+JB46yS2hXigVDT3dm4gSrpJhwtfAGRTC5Ct5WzstRzdh1Dj11qVi4D6QO+lK16CyLlzaA2vO
pn6HJz/KwcBsq+tB0CtYFk5RnrpSFpuODYcaqHAwTzB1cVujvlw2HfSEkPYyoRlatcfwfQ7r1UjF
qdNCObWqSrcEFTEVswmIm+H9v1RDUMOFsKoEVX+M3avb1wYM077YCq3IHtWO5ZRXsMMML9Ze1RDG
mJlj7wDNRn0lnE1HGRWXxkLBwH8fgfWvYwTP+0kO07FJHWdvDybOYmJssBPW+wrBZ1/VCM9tFI2i
L9npitaYjqot+eYVA5oxJn22PBE1gmbLmwVknVDwveWv3iUGKlQSI0lJaQkr3MaqMe2Qk9rbAbBv
fqJbJ5L6cvIsDAlh8bbLLs7vdZmShuAmxXqq3gMHStHQgxj157EYXShARX1vkFmIpjpWrsKgv+tw
6FiQMBahWFXe3BqfIs0svhsd6ZlZQlQJjwGvRqUvTs+zbTau2wxrUkX0bRDE/aKgLrkiDa/p8LRW
kU10qGuqycJKPBrvYKaVy7S1859OofxsJ+tW6q2x0SXUKuq2egdRUCefOD4NZTThDqiEPrvVlono
l5pqFqsw4HpHMsx3OBfNEpcjQo0h/QUrd5ht041GrFSX0KLCqkgxdSqeF1EXTf0OTj47dnEtq+C6
KqJwSXJGsbbjrIwXpdF3+Bwl0XPY9ZafYglFfk4n+zWN6vK+Mm19oi2mYgGb69FVlNjVXVGk1XeF
tsOCUz1H61t1eEs69r2jNWhbM5dGcdeP016PvXRLtGLnKxHmIXTNa/POdJvpjk5vcw8hMV33eeeM
ODE2+cqebHuNZStG7jTotxkBoJu+TkHj1Cze4yQydjDy6lePpuOVhkO2j+2H5TWroQyNAfejTqbp
VVu8Ut5rPyTX8WvN64S6bHSrPPZ1gs+VXnbDXTARziHGyNvi2dduhNvxKea5CmKMjB7VccNbXKGm
fkWoVwOeR9N4a2oiORaWKDddPDY/7Ib6iv5qpN+Mrid+YEDi7OnTFE9QudRgUeNF/6jOJ6St5aRW
R24Eh6vorqLYNa+jvBVPeGVYtHXqYY/zfX81KGP6EyopkHyk8XJJPQvueqfKf+UtPuoIB82Xtk1K
hPL4nOw1XJoOjeAGbtNpM4gbLMhKj1usokb4ug9G4eTrNLC0dE7EjG5KZXxLe8f9rpcOZGxvctFe
QEy22ixZJj0CJWq8iaMwyqNu0ZGEuLLHhp0syRI/qWDgVfA2eL2ctvuRWwVMaAMmoAYDrEXzhDD8
pGQxmaICQItdHg6DCmfEg1SbatVTYyTGKrUz0AvELDUGFVTGkKPs/ETSSnkQU6bvSGahlFqH+RiE
6O3Tyu0gKbTQ1H2uS7byNoqsQ4PdWDuts91HoRAEy73T3XKLGWBRxEgXDUUcOBSzO0rF5IW2fPmQ
1LQpq66SzrZS0KUv4qCOUzxD5lhCWOEEdSiiOBJWNxSID2L5nDY2Icgdjqr7Xu/eSEIZcBt1tYP0
3OLKoLL9WVQqCeYEFKxsJb2Zyh7WY2so2VakUA8HXtUBBvdAp62uxA1AYHhD+BJdaTNL2jUt2vq6
IUZm2UJG+Mb3/wtTbKwTONOg3aOkXxiBmPZe2XZ3KTyulRlm0SOCDoODC6MzKM3Bsa2M8hUY7NlM
2uHZHOX91OmtuUE7CnutGLRtgpRhKyrFWPKpZfdoWtAvRFHdfLPUrM2XZFZB2e2wj+37jiT3yMTH
oTS35J84B5q+I5tL0+EjRhCjTyhp+IqWFt4/OyF2BwrmOaF0Tlx1OE9CL38OcuI6q9B7MqU5XKmV
pm/5KfqqlrW4xzMVmohLCg2g1ms4Bf2mn5kZzNuYXHveNGz7BmYD7Bd3i3mQbMBXmBQjcJ6cPjJP
cV/ihNMhpNMbD+uFgpqKoBdvYynWFpWbfscd5JENOb2V1WTv65o+nRiEva6yIngpvXRaZs3gAhMa
yY1NBjEkQIVbjN5Q3eL3VMOmGYpvBY43VLgKeHMudihe8mMQK/adAykaByNbv9Gi3vithVizl8kA
XwhDy31AYsBtYcnokFmpdW9WiVeEy3EiFOJHQuRNAEF0m7PdrvvKwFJESPUIX9/G6h6ntVKk5XbE
g+JesOPSncPkwoNYum2y7hR2RIpKNGB7YyYViqF5jrzC8ZMw4sSiENyzkSp+bnj9gVKOhDGTgIg2
rFPq37L4jXoPFk8mqlejTmjWugLm2iKso/S1VJNEvdKqLrjCIZdkNQWakwmv4NTpihyXCql93k2c
NaG+LIu6JmK7KStrUxfAyHBzGu+mGJvsVOQw45EGeNsobrEgBMI62Xr7BuOVqBy85pZNbTR7dRp+
Oha3BivTISBYFpekuh+xGE+TXR57hBO1mq/g5oNs2rXwpLcf85DaGI/X0KcqzFbAHT9bPe5W+FIF
JF1wviLb9jtpvzhcQWQyHaxGPVJDoV1xgImUztV+ml42XJmlhVigNgBSUiIewkDze+jbvyPbsO4s
VdGPrfR+19JEpcmn96Ajo45WVlvW2M82+BTDfZrTv61yq3qywz6pLla2mJngBQjA50DoRxSUiE0T
8zEkguS3aDMj8o9OjtHCFXVi8FcU7tley/sHnPEnP7S53XoOQP7nw11C7g2aLaqJkfXMtPx7uLCp
VQ1eBsO1wjrVer3lBoBtDJL5L9ot2owcfwC1IaOZlOF0XNRzZHma/gG1oZwOP9t3kH4Mul+oquVC
IbGcaHZb3drupL5A9eZGOYDHff64l9B7w8MHwTYNGJwfugeOIaYhVBvfcELzaOHsAz0QnPTzUS5N
Kq9wxrBVGp/vSPcf79CUgdmZOT2Y93ZIT8Lx0vRGSehGUn3x/i49kAmBkhQgoDlvbqL+uVxS2RU4
skGiHIYaDcdQPttu+fz543w1xllbLrZg3PO1Nr6mi+vJbramm3/FSr60OFh/WJmxFC1MLP5+Do+g
sKHBmdevOMCuw07V93pZgJb3Q/yd7E2WZNGrs/M/dAA4hDs3wOj38+f8+OkhALLAUfn+iIA9b0CY
VtUZSumRPaPBbRJ4pC2RqdWHTCGmLEVqv/p8vI/zyniO6yGRtXTNOf/26pkTO8tE/LyQ7FL2eETS
7nyxn3xciwY9dGwewXf0j5RfL9QEYdcZXhOCWOq2KuNlWfUHTBv+CSr4v+WpH75v5MPGTInGgscw
nbNl4rVxPI2jW/psbWTbKe2VMTqnqkkeP5+2C69Jc5Akabwrdi5z7mD98XXZVZ4aXuOUcOXUdZO9
KC5+0ikStDrYfz7SRy9Il0f6Y6izZiMXVZwB8AjyO/hsK7Mww5ndJwS0yb5bI+iYHkaLxjQmnAGS
MVPAUcVF9wd5A8oaCSjCIlpAW73lLp03BihYbk7p3oLEjJ+iVFApoScNMopBsy6IIA2BjCmuxDrT
RSL2Tp/Jm6HsgLGQVKCCBXZYDHY8ffGg+COf7820MgH3VT4ADV7e2edHYoxieEXHnLaRePLygoTL
3v022nb8kiNr3XezYqXJgh+NJCzYSWFOpdLe2TZJOxbtGW2OMNS7hzygOhI2mY5l/g2tyfUUcLvM
y7SGOTcAOsSETwVNYuAUOJR4NPVkCZEi2y2lWZo+DS44S8LV0cGkyYp7vHNICb/lBeObINmvV144
wHLCQMHk9PGYLX3O4ERX++pgL/XFoXVhrekezUgYLKS16M7ZWgvyvqYNOzIvCVlKPYnWO9669MOk
wahPBsbgf77kPnZ+0eUjKsDfB3k+YvO/F3ddQnMa4LP7nivw74uRX9RhIw62UYlt4IbiEIG/nPBh
DK8+H/nCRkFbG0MBHS7OR/JFE+JSEXV24XPXHb/3NonsNaDvCTeh5O3zoS48JF1ediMuPPzvvIdO
c4Sic+wKP+8boFE8YBswG5KLlKRodnabxu6ypcs2LgYd5O7zwS88J3WVYdMQgyJBs/nvGXZIxuDu
WRQ+hM14Ww/FKZQh/d5kbL44Tz6OZM6blObAMHJwYzjbELkItiFhTpmPJcPTOELU1F1cTZrMMP71
MqXcgDAFMQoahnruV17hh9qhWcxoLqJUwKzWx9ftdhgsmzhL+9e/nUATzQbOuLMTMD3dsyUaxllV
mCgWfHrrhq9UY1HSSADYbTMjbb+Yw48fIINR2lAaYGehnytWoPFqkd3lPJliniJDeaon91cijVM4
2F/UIPO3/Hd9ylDwc2wejT3fOnsuaMHxWCh0Y5GlrA0AE6+0soWT9RMemP0erOKravTyiB6lqDcT
4M7j5hVIkW45j1hr/T71qpdy1E5Gg+qzgyaL661++PevjsJ79rYn5J6Wz99r38J8wBaBk/pYu+yJ
1vFNMyUpT/1imI+FjYkuGo6M4TpUH+f2H72rSjIizNQnrFA5KQ4WhJXkRPz8YT7uIoyiqRQbuEnb
1I1/P4xUdEkcnZb6jcG1luveMku6305hH1G30VVzp6Uxll/skvrHk5JR2Tgcy0Ls/yEaABcn4cF/
SX3PwrZxwHiEs66CKSs9WnVTQSerHXFWXigl6qMlJr8V2LfqbIWsw11GM2mDvOI0jVb9zeuI0g0r
JL/vZUFd6tYV3Bj7wdMH2w9Fa33x2198MXP4Jx0BTGDOXwx9ySgD3sx8IKpinYxeslckYMfnL+bS
vocBHXse0UqzA83fLyZH0mAXYZn5kJrxOix7X8X0w3XEV1XLhQ8WVSC1LfsQwqOzBWAhPiqqumAj
kpVBNzuI8F1W5ebzp7m0A+H2Ah/R5VLO3P39NFOi6jLslBQGARpf8innzngn1sh0X/sE/8TPh7s0
eTwSMk0HO3dsdP4ezhWxjT8rn+iYBr/muWti+5g3wdPnw1z6eGaLcwerQC4G5ycGzOtCm0o+HkJ9
3bt01nxrgfULxLXcNKHl/hyyKtnBYmm/OKou7XkQSU3qaoI+Plx6wE/UyEAD6YfYDItCISAq3FTJ
Y5VM92zXX4x2acFz7dFZ7NwsP7AFUUTDI6va1EcEmG7xqcFmXk++1FVeWiNMoqNzHKEKPb/we50u
iaWqU9/tBvUxJvR8QyQopJTE6DMAemd4SDS3RJ8j+tt6LNIbK3OMLb6C+GeTkUN3Cbc/rcYJIhtc
mrIdUpUvTlLt4sw73LD5Mg2L+ufvldUErWoNec5pI02wQlG/aMIrCRZ3213suE9ElOKkhkHcISuM
+DEd+naH9cpzRFuX2FWxr4YcrQbc3YU9KhUG1zzH56vywjzS2KIEdcjymuvDv3/FzOF3iCXlNqqx
X9WkiY1awagKMprY48vnY12YDu2daGjNjFWq7r/H0rVRxXFLUNoH2i8VwGGVW+pLO2aF73jFHGNo
iy8qjAsfnaYB21PRcGJ94Df3TTbKJix5vMT6HsWhstRp3QNmNtPCwMnloW6GOee86P1//6yaBp0T
RIoC8XynNPEPjBu3LX3uajc1kbPQc7MjtGQSltPwcXSt8IvVdulNUrIBAxCn4LGVnc2uTcuhNevS
V9SwXo5aT2uyMMRxqL3cz20u0p8/4YVtkwekhkIGC3F1djj9ExTIgwalbsnUyj6Ewm2imlTrsl4Z
0OL+k6Ew30ITSMGIa9TfQ1WOGYu84IqmeWVxh336tGgcYV/FnaZ9sX1dWqN4fbE8TbaVDzzgHl5M
MYEM+G3enbqofLOs+kTaSrOIQ0SSHRmX/34aMZPTdQt7MyrEs9emSQB3vZ0Kf8LtCW348K3pGpwi
7H8sgP9PsOjCxgy3GJc6A+QZGcf8Pv8AcappgAYScAXMQusplHLrTvXpi2cx+BlnBf1fY5ytCU8h
E9tE3+zD6tUWeDFX+9ZqrW96ZweLIBuQuIXqsLCGplphYxM+lEODY7VFw4Y4vxTwr4MSVcS0e5BZ
4gaqaWvcMzI/NkSzx44zOuoesdrF2Ac/gkottnkLQ4Pb7biECxfsIgsZ7KRKeWdpDYS9hB7eN9ID
YVwUGuq2Mm+bLZZygccFSoa3WDBTHZYxgeM4/N9G0om2GtmLu8yCp9UbUX7dk8DmY3Z0isu0XTLD
s1sWuOkC75PKh6GE79qAF0fQRRaMwXTA0syIl0OcdJvPp/fS2uQUR1qIhII+xdn+adctfnA2axOu
4EstxYsbVbemoWyMvFwHCrkDn4936Qun5qbYA76HGX82nhWNRW2EY+GLOpoxp5tBT3eDKL4oXj/q
C0ywUt2Yscw5FvRsGFOmEa6vXoHBW3qsqriBOOT+rNMHOlGY5inLztKfw6b44spkXB4XlJYZ5XJ9
XpB5VV4TamCBiZTj9D0i+XrhNqZyhO2uZmsa59xxaisP1iLt61VGzAwdroKNvNb7nQXV10oGZWeo
nbLRhFksA9hhLLhqi/CDNpaXvFoark6DhA+E50u48oRmg7040yrUgns9NdulO1n4M4sEGyBBgPw6
4fdBQVi9QfzW7pJ3W3o51BsUXfz7fELI3Ipk7SiO/ljjEvXFq7j0xm2ksY6HHoEXMk/ZH3tErLZW
XqTkj6viZUSXsRgHdZtqov9iZV3ai/4Y57ww6queaHlvKHzXmj3QwRuWhPSsP1++lw5EG8Ma+gr0
2+zzmFe11nGAMpvCp+nkLkdcILiMP5UpWRpRO34hOrs4GHgldxZy8T6UvXbDZlRkfCtKZBMLVE7b
3qw20MAgVIr4i+m7tBHYwP6cFkj2PhS/2TgadgKVwm+w3tRbBx1/MD6VWfMmYsRbkf3FTGqX1oVD
Z40LLFoq57xPM7WYwrkmdVqC0zJSD13bu1Mz4H1lYahvKBEBMrVYysozvsUEfvpjCLM5LGPitkM3
3eA3NT4g6eWLQoiM2/Dnb/rir8eGCIwEfuudb4yDDLC4iyhzhrp6M7zwMdL7+8ygmfwfjONgr0BF
iRnaOVTc9soYVZByfG6iFWiOeClGBZ+SrvniIL1UtgJOoV5T5z+cs+/QGDxo3BCwfAFxPGrhuQ3F
sSktIh60W3IOT3nmfQFUXFrAfwx5XrAmk5lB1FFznwSwLQEsb1jVwHC1903Zf3HnMC6tX26kNMko
H7kLn92LxBxTMkknZ5vRx2cRVb8xxrCXPY4TS+DbcKlU+Kfm7MjruJ4Jx4o207MamD8epgjk8UVP
Qe22fqdDW0bagtggEs19OHnlysVqa0l0nruRzuA+uha75sIu2tlpupUYjM3QZqn/VgcdTjsGMLJS
n5Oyu0GTiAcTJV/s9sMiH4143eWjfl/BvOSwx43789V0aRa8WakLxMG6PW/A4gVK6jAkZX/6b/bO
ZDluJMuiv9LWe6TBMWPRm5gHMjiIIiltYJRSxAw4Jsfw9X1AZVZTQTVpWeuyKqvKskolIhCA+/P3
7j1XTvupncSi1a0HW9pHeqYPbTz2H1zwdz/xbM/AMejSbD2/7TIR4VhRDO1ikH6IYzpIAhOnX6D3
MxusmYWp//grsq/PbmMfI86b06XvkO/bGma2S/3QWkf16FwWERXamJTgUmvoaeiQvr1/zRe9xlkR
ivbG4KbyinK0PXu6Qm3MmMxm+c4hIGEZ9R1Qnwi8R2GO9jEqs+xeGrm3SiwkWy86ZS9qs/u8m9p1
i5ZoqxFWEH1w69+glzzPQpVA12detUGBGb/urOFgTzJQvNHNFKBnA0i2QZVmbpoAdjCBguaCJwX5
lJ2t/bCOliMzGeTXlli9f3fM36yVsy8cOYbgmANT+dcPoiONcPI2zvEtJyajkVncHJvZdIPAsrCP
/FzuHuqIfcRn0QB8pIkstJw5KlGi6ro3e30zjoH+GFkU3kY76Y+UxcU26nmksE1ACRl8e4su98eI
IpMlW60tJ4nWCAYtyB9Fu4OH466HqHNXXngEk2d+Som3vuK1xYky8iI8RF7nHzLd/aJ3Y/rBwfx3
358JGB50d57QnzeOaLclWdOafP8sHT5F+HN3gzPED7HQos379/p3l0J9idYANzrbxlwFvaqmGDpV
Fflc+c4nenUlK2+29AwyPfhRFj68f62X3+38qZ+7vyanV7bB8+N/oTkZrKSYwwH0B/BADIxxfEyW
2AYSoEPhZuIoCOO+bgejPxmGFt7Ao/KXlpnJLeTj+mcp+R98wwf4BhOxNgvvv1ACq6f26b/IDo3b
8fSU//if//7cPkWv6Q1//YG/6A0kgIJb0OcZ7UvhOj80f6fNCNJmZhg5IxjwCeh3/w/fQGTzv5AO
/8eXR1vA5IlxqP2TSv8PEppfquVXzxebBh07HZ0OdTtr6/l7U1YlAZUjGHO/mLQpXXq9HMGPwMu+
z3PL3JN4gupThaE8NjacMjECcBliPD1jVdS7uurLIwX5cJ10nb/OYzHcRuNoX5OSBCidfKYhDhD9
s77MMKWchlXQ32pEuxUEQPuKpexzFAx+LnddTgShE/YK1B8+TY3ASwuhY0kxzOgajVjpPZvSHeNu
h0FWH9Q+dAmWD/aBO2jJwXe9Sn2Sipv8SStK11jjwjGsdZgQUHXkXlrmlZcGwxL8Mw4nnIzOYqbH
obe2prG9JaUlX3Z9Fp+CPI+2FbHUJjxvh8hzxPt3uF3NHV+qXGVTp33rozy+8xKrrkCdRskN/pZT
O9TVHjBLuInKoHvyhU5UZEM6CN6sOl46egIUBjZ75i79YXKN4oBLm/N3uKC7APUMi4iqjlDec46k
c07VKQpTpe0HcmDGVZpqIanUzBcmfaWHKc3+wJK24W6NmFV3q4C5t9VO6KgyCbfIOdymw62T6XF9
KYmBK/gVcqqHXP1nRfj5Xn+wIvDEzXiG/39FuIy/03p+Kl6vCn/9ob9WBc/4g53aZ7yHCJjACIdd
+69Vwdf/QI0ooAT4/4qn+hvq4v1Ba5YFw6HMZND+OoRK/IHBlIGxNx/2KQfsfwJ1OR90QIwBRGFx
1mbvsWjR8nVf73TVQFxilTXiWEAGayuWgTwedrU9Q/8iveBEXEYj9oMkFVr/OR4YT0ODjCSUM1/a
T7h8C0OAamZ4gzM8cSaUISgerOQYGpWGRzkoUsjtRUOx9OpOX/9cwF7DYuZP9mpZM2DtoMOdy2+P
bfqNcNRreJM5aREtGOrDrYgKbWkTpncxKleH1DQG2QeVoHke4MUlEakwjANLQjgZ9+zXm6XFGV7J
rgyPjuNflK2LCSsjIdzZ0joNK1ICKo3Xs9YBANO7r4ZlZynX2vlOp4KNHWJbYSUjYGIxKaQ1eHeD
jrD5lpXWK2Ig7WXRDddM/MRdZiBF3FpBUR5ReyP5CeMC9rBIg9pZVHWVT0sbOSvQr77gXmuOGm6z
CRqpISb7CXtp2SySyuNSfhSocF27QZKvehv2CJo4rfGWDr9Itczbpus2HMLHy9GJjbuaHAa8GWZm
49MG2j8yDkFv1GKcrL0yxc0ZkuZEXrDfh2sxf3I9sjLkfFFo3Al4f9Midhu+G6aN6osWYdkOnZ6P
MUA0GKABGPKLoXr2G6c0quiKMHk+kT/a5n6cRDR8rskMoQdXaTBqjSQSDXUmc5MT66erbRx3dOSj
AV0tOrR1w/MXNtlEBhSC+dupLiComZkxPEhyx7SvptFy5+IGFR5U8HIo97X0iOxQaDwnjB0gUheZ
VPy/sgNoscbiTALGMFVQOTVE/9FMs2ycRYmxM8LfZ/L9EU/aT0kfEno2Ov696mr+OJBA/FkVw2f6
Yfyj9abiJsWjxa/gWG3bPEbERsidNel5vuY+mt3Sjk1uS6xlgMcGG5Ttp3Eq+VnVrH89ch7OosM0
/yTufHN87Dj8frhZjn7FDgGRvtVcFL+qv4xCnIWap0cAGgZe3hmZ7MHBjAWD93rkJcx8waesmTO5
q1IZ2ZqwA5LK7ErMsO9hvANp3J4024dZkSf4K/Fmd6QVJK19OY6hc68pV5x6JbNrTLPhk0GaJFbn
zPKWsVG4TwWb2IM09WSA4MkjG/XgkFWvWm8ZJYxRlzlQhvFgDI4NYLV0/XuNlnh7Y8Skxq5sgu+I
WK1dbm8f5059pbeDzQHLDrWChkCHARDTneVBKyEfytKM730+8NvFprT65zEZO/mFv8yTZzn0w22c
6xAFHQ4lyzLkGWkA2hERVvrijuAWfp4s1SpnoREi7IBSn7Kc7IZSfuHO8HK5EB+mbSrLPtg0uiab
xyawh1t8QbwIhF1yg2ODVtI2xeFztIknkCRwNfUuVAkQ1CQwhmv05xXghmkkHhl+BMGfZcdVHGSa
E9KBRvPXZO9wXyBuAarssAQfiyg16rt0mjTtHkTJVF20Rq3V1+MA+J1YZZPldyIZzv8cW3qe3gak
Zu6A8FKeBMo095PiWLeYxpx7WWOOjpeD3sNx9P2QGyH1vN4FmUcQjsWqgvOS6sdcvjzIKbXVsMG5
znvsqPmlaGtIgAvy+FhDC6s07uJOI9bEE17kPA6Z1xlEfUFrhK4pXtJfe3GKHC8Jwf3nXFNLw2TA
Hh3Wydda1BB2F/iE2z/NwGvTh5oVQgA6CUgtvirzonC8xRBqgb92M8zUayOlkUQutZ4cmsrlN2+z
WpySliiZB68LqvSH7RaGUS2skSjsda4rw7jK2X+mamF0WCf3QWF4AAaIaNb1fWSYU01isAtpRGOI
RU7KxDQrDr1TwVnz0VZdMLuwP7lMQ0kVz8vuM0k32hq8QLTiwWiWZhdGezPzA0JssE4t8pg2E03N
EVqOm9s7aBvOPDxKKi1+CCOrazbUbU5BvrQcg4JFptxL6en3jS2NpZnrX7VCxYu2QCecjgW+5agf
vB2WxfBb1gTujzkjcVGIurjConPREUE/rtOsHm7wu4RfbVMV65xNagVK37z1qqD4Kqwo3xgFpSEy
qhxEV+vW136IT9yVKQZmOCvZZSzD7LORNO7CJ4BuM2ktZhI1MJXDWI3VtJdXKpvyC5tkjXUHmvWG
ZV1+Tfwu+qSs7Lp39SHZ1hUGumrE56QnZbFVcRl/Chsn+4zkoQk3dVtA1WcDW2VpNR0y4pY3uAji
hUI/OpNbXZY9ZZZ3bDrysbBzGa2SqSk2XqyXD5HjzLcWnxPgN7srlg46h5N0BnMRxirH5us2z3Ht
1qusI+PPmBUxkGWME55j11pFul3g1BwpB1ZNbahj1eTl1suqEd17Zpb72QxNsqG4SYJSbnXK6hW+
LfkIgVT27FLK2ReEu6j1mLvdqWqt4JMvI2erNVOKiY5eJwLsyaOT4jgnLWqrIwv2uGOEMO57Tfi0
A9N+PTY1HmTD6pZVNyYAZhvnTsVq+lPXs+Toe/50rIva/widdtZ8pj6hOzI3niGaIeQ5L+bGPLRa
v26tA+hZ9jAoVGwxPLasc8UAjITwHP7UUssVf61rCS/p+zXZWWOUD4AYhX+RYcwcno7lrwVSVeYm
2bgASodW1ruUtMml3pvsgnNi6IroiPIYsMx8cNW57Pq1EkTLS6MGyRk0N6RSv17VCqbIjXrbP1RA
P7+QKcTKJFuDIuf9b3fWFXr5duiWELZRbhooXn69joqIvGn8MDhY6VziuHrNpjFzo+0hYMX65xej
s0zsABU6Z+SzWylYRLSQKvTgZb2/Lme+L2Hh2VKLOYS/f6m3lTThc3QJOAzotDjPtddV6LsSggjW
SWcUp5eQTZs5BtTxtjw2c6P9H19PcBASPCZQ6ezzgQXiLtaNLLcP0xAF9z/3wAJQHMiToqEcIo+e
2/v+Nd8+I55Ny4DmywxNQ9f7629XFhYAqwzse9fFswEM8usgaGz8G1ehO+kjseRcfo7pzwKjL4K4
cQ4hbOHdGEPzdb0PpwG/+y4cKD1U8j5S+fO3zGlNoyJz0jmQguKtnBgEMqrOf+NXslEC0vvntDPn
Bf56x9I5DBMqg30wAnjT9JD5TdTYA30cg1acWjmo6YMj3dvlgzWdJYSvhYaHy/56yYLk47HPHOug
lYHzKDowYJOuKEU6Zs7rAiS2AQVoYvF6/2d7+2LT6vWRpPBt6fmef1UUxLE+0Wghno6XKyhZplpH
easpAUL+/qV+8xV5OOheU4Mz4jhfq1zsh1wqNwAoz8jeXJTHqWnJMbN4YNL5BDfMT837F/3d92PK
66HwQYX6xoWgwLqbEUzXQ+aADCzmpl+me3TA9Pnw8/61XtRjv67GPt0JZmOWS0Pu7ZsWebWn8zof
prqBuZyI3EY35OrZLXHTNUH2GbFhwUiZPPTUdT21VnNSFRFHG4uUBQ4Xpf0ENoRGJKRjqs6pyKJr
L3XkR4LXt+se836TsTOruUOD5mw9L2K7j8n14QnPTS4UB1C6k0Fju0KrzKOW+JT1H9ydt+/uLFam
rsSAinvy3FUQZvRLAraYg+Zp1LqDZ3J+wNRL/FAt2LEiGczPexKLU9Vl1RdI1ZMg/9YfbqvGqDJc
/91UbaiS4m1LAEO0ev8D/u6esFK+2Ev57c4njXpFqKTyeOvzyaPo1u3kqwg184BfpYgXfaV/1MZ5
82w60IR5G2jl8IjiJfn1na/iZi76oaEoKwDgoc+JRS99ZzZWTuPvf7vfXYy+Ea4fPBBvbdXeBFM3
rIApDcjorknp9i/0xuOUY+uSU9L7F3vzU/PNmAZYQmdoyHJm/PrNSOIWsgn0ERaWzcEyjFueLF5E
TonvX+jcZ2EgrjSdee+2+XIILc8eZGhf8eBIt2cDr6PmWucM1y01r2lRYiFoaY4yUXRCrBDOf0Rf
G/arhBO2qLJ5GywrGvpxSp9A6zksLRtB9sTk1vVO1xxaWXS9zI2OX4njeZVyOH5B9LUFWWT5B4vH
299nVvOjp2RfQ3l9XonEsIekmzfNwZiIGu0xWR4Ju4i3oQ5x+v2b9uZBxzjAM2BhWaWl90bmS2KT
0aqBBICauQlUfeK9oXJV/hqrTHmcuXEf9Q/n3evVwojJl/UQUC3/KWySiM9+pWLKARnVtnVwEJX/
QNitDrUV+PcvDRHHxeQPJTqzP5fDYHywARjnj4jFlZn8OCZXNhC027P+89VE08qCNrZQNh4EoZD5
tNITz0G7OcIXMA1iYQPvG3k/qbVSZSOakx+WbBRmHcY7ox2J/gA3Md7qXU4XcUrnfk2Fq5i6vqv5
6xeQfp07TbJF1xtfu3DCC/5JUDN3PiSkhMYljMUbO2mme7QDbHcam8F2bGuwXKoGprgggADpZz/Q
GmuClL5fSuMoWMSVCudxMwLGS/ATab3SRZrf9HQbTrXTatsBZuM1XjBt2gLuIb9ctUQ16i4JglBu
Eh1ejWt3UEytWl60qUXQopshqV2VKCo4QE/xAcCKWJKLYcPU7ERUgenoKpz89L51RWqnSfB4yTuD
PXFadlJk4s++hlZ4kWgJ74s/yLkZSl5edK3Ggb92tWoq9w5MLRQCNcSuHT4VDiVFBVBhPVXuX8Wn
SgM6L3421zWV5F2LiswmO7hoyEhMBcAJuEUILNM9XufhVkJFi66RjGaQc8JKtTeN2fCDGBJH9boU
uUxvy0lnv6i7VlQblJPDbYoZ8iJ0nDK9daVo/oQ0yLcgGdGefphO0VmXdSXmVlQPAGZBAgx/kK9u
P9mkWWEzEb7lr1MjsS7UnP1HR4OIRpyS8GI3jiSmaEUfhM5VO0U0wr18dMy1MhmwEdobBeLb1JvF
vhqSTvs0wIucllU6sWv5emHRwokyszGuil7Z7a2IoU2tUh6X6JrjImg2Mbq9XGoauQlK1Q1EOJIt
tOUkC5JkHGPWCk8hT1BRKI64htvH7oWlAtHvI6i6AfuqUPGprDN6Wh6e2Wk7oMswFoC36DKGnT7U
d6Kw62wLPpYHDIUL5BotrtkbXuoAevY8feTa0GqInJK+mXBckq4gfgyQMOBkDc9+OwXX3qSG658t
ODvr+DBmNIg7KzHspziIomDdwMCVu5+vlWOwtkAlNPe9S0T0U4GxAUoX3KU7ATEr3tHtpTdvtBbL
eO3YPEWV53AwijKb+2o0c8/cTJru2xiTibx5mdX+HM2AAHgKbHMuJEKL2s4rXespF8ncia1pzy8k
5obdAJNzYv7I9uc6HU3GiN6Ve2HDCZ0WqR4PyQaMm94cc7KGp20uNSYN2WhxYy3yyc1N4hthfNMU
FR9E6PROQOgaDVQgUQ1fu8E1NbIyXTtNb70SF9OlPWRkWidJYc183Xj84WlMMtaJVxnWzSgkXeBo
pDbG1S96N2c/ZgwQlZAlaYOvfItpTsob3JruA4V5CmbbrltS/xZZrCTBo0Ew5fTmtcxODlnd0K2H
696LDR20yaMjkFjBIdd12Fuw+YbWo0E2dSrpf+74/1FOfDQnxeXJhvLOnPSpaZ6+R13zg2HHL8PS
n3/y7wAM/w+aEA77sW3TRNJ9tsi/AzDMP2w2YgZ9c3Vq2SZe07+HpcYfCC4Rz/DHcCGh4/3v//pL
SWGJP3BGIevF60KFT3H0T4alZ9UJ/+jZno4fTHA05dOdFXS+OQIyk5rceXH2HJFxt4UExhbl6R/p
/X53pbnBRA1ER+6NXyArwGfMOW07zwB4CXnvq5x3oD6Iup+P7P/rLfndlbgGPjemaJblzf//q7og
bLVgqmUqAQil3TLo9KtG5Yg0qun+1Q/+m3Htby7EeQfIzyzd0t8IkRUqJr+sJ7kbCbJJs/Q50OLn
hP/+dy5DHUxN52A8OvuNoGlA5bAHSTAkbTPfq6rFS9ssHeJ/49bxrNKZg1dASfdyEH5965ipWMAo
JWkleX0x6B25WyWbbV0kH3yps1p1fvDYeOZzKk0KzmZnlaOrcsLjffaPqO9TAunH2zEc7uGY3ktF
m+L9O3hepr5cjFLRmUtG6vD5w7z6WpqwS97Nks1q7i650FB3rNPBotTiJ90jpjUGtLwQNIH++aM4
H2RAM72IP89/OqcuiYEktndH/mf5qZuLH9sHTQxRyPzgnDHfsNel+Mt3xLnCqjD3WN2zQ+fUJR1b
J4okraMhkndyXCeGHnx6/07+7pHHJfuvq8z2+Fd30qOrqzTS7HeaP4DMrod7RizFoaj/vVv36kpn
T32f5lGpCq4UZd24cobkaWI8y8Tjo9dLzHfmlzuHgt4GtYbb2rFJ6J6fnlffKewg4NGmSXctJjDQ
gE1JlYXuuzetxyqGsEdQKaw3Iok3du3bS3gsHzjZbf3tfaVb7dH7ZspgAZo5e0LLILe9vJQ5gkmj
XEldaelilC0FmJWPax+V1Er4tdgAh7d3ej2UK0Y//tqsrOKgKjpky76kjelhVV/WZQFub45wdpOA
Oburi03nps8jELF9OAl1Kd0mWNRymitMn6zZUvK3jFGQr4nYNKhyoZS6Q5XfjLVvPKSuUe7tIAm+
qpxwMAbV9i6YR4/lCLm6T3ilUncg76AZOy1fEL5LgmxFrlvbQhno0qxYo+MtPgH4tQ5QSPvvVcBG
g9SCzw4q9WZMrPLYe41KlpHrReV6tDL9WwJeGe80n0dDYfqUB3zpVLVyU/qhvAqNqVy1YHtQ6jPB
5DjWZT4JN2brbx0AzJtKh2OXVKRZa7XUlrnOt5ty1s4cPODSbQtjGbisbxEylLUDDhPy8iA26P/L
dqnwvB2sHMUQ3tzyKPQWKT/N463n5xqHLaw7YaTs4xCK5Gvoldm906fQZBpTfqmc3HgI+O5y4YJo
/iJziwaDEygq5MiVfrs0zZHlZnAsileNHMX7poc/T+BdfsPBoP0acGvg7lbyyumSZ13wm3bwJx8g
qD8PTR98ah3OYmgT+fRNUx7HbM73rol64/H1KS+JGOCYhHLC2rOptEzT0b2oMDMXVCLxnBnQFYc4
hITGaTeMT6Ep/avECYtnh2yTkyADZIvqA/eXofWet3h587KGxAciBui3ONyyNOYmYDMkrsKKxmVe
yfCOZhRfKXTj9KsPHHqRo7NcEaXAiSoDAz0xk66dbBsXhi4vRaekv+JApR6jQKIfMISiyC+Q5EwL
h7TOCyKFpgcP8OIdyer5s+FG5YHvOK7hzTLs071qZyXCvy95ue9M0qmSJQxIG6CtZROsBJpDge4d
CPStIUQgG5gPKW0wpDZTURmWC87xGvZrRC9NVfPaWfqkLZXFLjtBvQYuKmc+KqTO6B5UQajwhRbJ
k49XY+MXvEegwUS4iH2VbRsVDLd97avHqZ7SLSy5Fi+nVhvxJiFFZ1pPiZdWKCvDvlugmuAU6cvm
T2Pi3bK0gEZJ1tvNZ+XSOA8Tyz66I0PFfCj5sHVHt9Iht3hEsRNrS5Qv1sFGZvm1CtFjDgFsZ3Lj
jWVaJ8+E//kXgXBMmtUTxwXAuittnGdQUe5EJ9j3w7oLsxmEzC/Umey+YO8IrqXHvSJDLPiUqBo6
ciSH6EchfXtXpA5Ztk7kTBeW6B5lM6otJ3aQ4n7HgzD1XgF6NH5uyHpA5QR9uREZTYLwR9vV7ipq
hk9FZezaUn3rojE+5IVDRGsgHSbZnnsTdbyUouBj6SJTl6qt/XWY8p7jzqdJI930wRNyOsLe3OQT
g6FwGmS7zHsmlqC8k3hhthkPNasiSrNMjquiS/wrk7p2U2m89WmXEWmoZLCgtTCup5rVLe9btRXz
1i8tvreRJ09xo3lXHtb8p2wAm28qJkJl2KO7sQLzMHQ8UeDXgq+dP4+As7FcKbzBa7uZeI1yr/LB
WcxgS63O6kXYsOZEpOzcCKdG1qFnT7bNQlnXrB8EBLg3U0x+glHX4ypwK9oUttl5N/DPa5J3O1ay
l2Kv8+tqm+l5h0goYREzunLlMF5Y1YTi7mKmmbPEuP8eYb6URVZAYW7gRtPpX9dxdmVK2NVRb3r8
CLm8aqq5tC+N8pgJycPUV1EXL3Jh4Qjl7sSBT46nQ8jpy6pLk/JLm3rih96zWqn5GbFpxJxS2m6n
xB7CjRpxL7o9xcxC01qbUB570xAGsYTYayxtc2JFRKO2VJNTorPkDk1uUKwG3a2XbLg9jJ6WlTvT
6cuG7AZ3SqL18JyiOARTl980HWuPFrJ69D4vfapy7rlfdhs6PQig0ZuczMDQv/mia49Ks7Ml8Y/I
pZts1zi62iYIpLac97XLto6vzNhUjwgEmqtxiNrLIJkeIMv3D15KX9YbgYFZk7B3kx9PRDlX+RUp
Y8F1ln5xK5RwsRk9l+FM8mzjz7zP97XSw50Bv4l8mbxatrqJ/XlsSGwtx3DL4v5Ns8uODg6b3mw4
2mtxlN3DCC8OdcGKo+eeuIt1IWe6BoGnPxdZwiKwQfEbbDj+9YvUQb7Gvl0sEWAP3Q7fl1VvCZpe
GMQg94u28ZOCnOmMxSzhnIn60Uj8fClCPd0XjDaQnEjEKUVKUthqVBWyoUyaWFvMsGp1Ilz6ao7m
MD43uZEf+spEuu62uiTbuZsj6ptu1Ql8ZxkRtAMslePYG0M+sflkNetf7vbBbcWsEdwCPS5tayFo
iQ5oVmftLPIM5R0Q3pRMx5wOWcCS4wAmn8UEwPG5GZOIrBWV5j9QFoULEYfufvBo6S3RhNVzSqqt
E/Y7sK6P3mwhWbbIwK4LB/F5nVjkIzDPDxOMUlFtkVzfCZWz9jRfafSk7bIcsk99Yg5gzIXDCIb6
HskOWnx1KLIkXcVS/2Z53U4mSUIso0mSso3txnB4v1g41I1tJ9qlMAstWbUuEwbNMsYt76mBQyAh
FqbLvHZnVMCAhip4SiM7JavMSEmlQV9AlIl4xMA0nDr2aHK5Q5LHaBB22tLPzOnE6xp+DzNXdAta
wxq9pcGnutW0fTxgydi4Yc76Zjks31ZIdcKBzeoXvYUZcyX5wrsUhw056aOtPuism2+K0bkgJq/Q
xoyO8eP8FCjBDhLc16W7CDPFoVNN/lyaoLkXfds3eo71gNIqyzJuW5SI9qQcKguR4v+XgrIqrvMn
Nq7i4BnMfkeDo04Tz4OvbOzso0Wn8qLAHkF2cuOvW8VIftF2gb0LZyCfSWRVubbcPPiE/cN6Mp1Z
A+jzH1tPE+4NQiaW22AcgCjEcfL1ZQ0sClQSy35KjQ+tcvMx4+xwgP+FExXTG8MUL+TMV4eDZiLn
qqO/vCMhl7XX6NUlIFXdxZ1PzUSoVXxCxxhFqNGosVIf2SOLn33E1BXG8PA/OjefDdtxyVHX0LCZ
Jdtz7+H83BySJcXELNvVuSCxjCzjlP2ld+OnIutuAxTHm/dPfG8O6jwMwGq40osC6lz/0VjKzkMi
jXeqoiAtiF1is6Y0KYqoPGoWsQrvX++tvXu+oGvP3lBMPm+mWEVNsWc56YxNJO1qTlUoV3GD1niV
8GC1EHrXacOz5thef/2yBfdIHZ1tZNAdjUSmLYkKtJ/ID1Hbgbimf3rOZsyNSxj4G28I9+XstAjz
oncw4dLR5ry9tbWwPCLZ/egdfNOxmIfpaLJABmBxd89fwS5GXu8UZbxzLCpXBwAZlDmnXVaGT5Hv
pISxjAmVO9Hv6vH9H8B4ex6mPjDn/g/AoLcg31GkFqiiHht9gyh8l1mlf6EFgf8176hLm5Ku/pWP
svq+sMb71B+rZ03a/bodFcF7LRMFpPFhXbfMYjvPXIetpJazUmxXTehfoJNq/qwCEbR7DRVf+LPj
8p9+9Uf96nkK+uqHfuP0u4ybZv43zJJfutU//9zf1h5MOjrChXnxn3vCr609mHRemtQG28Vfbep5
5/jb4Kf/gXcH+ZtvoLpzXNv7J23p88efzWzG4M94mVn7ec426PQWG7SKQqZsxXSJ0HvcmvBN4oVF
/JLASBbV36nIq++SOKUPmjGOd77k0UMBj8k+4pimT3f3rPVEzl9lp1Dj9nlCepQbEt+mGQ2DqylH
kma3kQ6Exubkh6NlriuqkYAjVRoFeuly/DwF84kGnb4RLsoU0tbCFyOjv3TW0dcxSe4u/LQvBMDV
k7FokribjkHsjt26aKRBCFk7XfpuqO/ms3xA2ipQmpOKCsLqEo9ZcgVoe1NHJqFxCSKKW8wT7rJO
AiBKfU/HyJ3j5sxo3LroTw6lPXDfnGIoLviYcEegJMsnaM/ThgWYcHgOl/sRSa9YOJGl0avMRhl2
9SdBDa4dvCHqxWLU+JX+VKEZOpvedzXjXldBGK/zLhzqZEGnxv4S6T5FNMYRv42OZWsyHl/0tAX6
68pw8bC7IbFFp8nXIm9TQhwMbyHxO6gw0ryyQDHlFD1Go1p9pUX4x/bCmv/OkKQs93GoU/LTnGp2
P2ppDEKBJMp0GYgG04fovcn0OBU7AjjtIncCRhDsG+G3fBrDK+WO5brUp4zIEXes5EKElfc4dUOr
rQvRD2uGwu62c6ZVy/+a5+OE2yeVOrleojfLVA/NXYYKgRMbrbmeqLFH4GkInrNtXuf6pWg8hq3+
RtbKS8BGONWxzvtNZVXymqwNgwdGujolDnFQ2ugHN4rMss+ptNNHndAzCLNFtDQxpyzbOLV/aMWQ
3KJzoZflDxVhOpq/iQoRk0jim18Sm6KwZ464it262Md+0R6sgL1SiOw2oqq9UQNidXTSMI05AGw1
0TsHfJT7wR/vCLkExKb5fvPNLkVwm0OaXA2mGe9TfPhrvW/zI6q2Zt1gPVliWso+l8opONSLaBsO
pf/dCdMqW9RBnVwrDC9PoaKSBLUy6id/9KZoQVqddoChw58a9UK/qRs5bvuK2YtpZHeJJo0vRKPK
cGlY6feYxs294/FSWTRbN3AfrH2Y5opZzZDva7P/EYDOeJpol6x9SfLHgjWhfaqnZp1MDH1F1FuL
VPZHZUX2VcbBb2OSVZuzYQblrmZcvMci41wGpUs6lNF5J+EWPU2Fvt37SZrt2cF8HG1lc9fggbsy
e7vcpWZuHntsXie8JZh/Q2kDgorEiX5V8lgVUfKFXzTbDkNnHrtyynZdUchTCrPku+QYO2dZhe4h
rs3purJbdZG3lMF4SIRaBNJzb8ekZRysaSbLijnEl8RvmDf+pDsU2LwSu2yoA20hvTg+FE5oXnVe
B3u8NuMHhA4DgaVjr1/KVMWXbZRWd0QH95+AHcgDPqZirQ2x/wXCTcIJ1WmPRJzDQhg6NyGFxZ2M
jcijnNQTP9hDPem3MBNClDO+t6krZT/bioYDsp/xYUgM4LQ+6WKpzPetHVxiDipWdPz0Re9jehJF
uDd8eRxtojUD31wQaNn92RU9g/wUKquOHm1BNBmda9GobU2Q3caIiJOaBqf6JgO7O+pVH28yi4Od
U1j9TVLaFRWNN+7KujNvEM6Ojx09wO94/NQNNyS4GtBqPEzuKOY2Xb7iPWlXZT4kux5/5lZaiUOD
tyvTz5C7MtQzgrdFm5FVbir/NDWn3U5ePjSg23VzPTiDtajyuiWqFg3jUqH0WCYGPmuvsY3nyYh8
baHjaORR5kwIz/RODqm6pFF+LVXrn4zSCB9hImXbiWTozWCOiAT0MdYvnTjVL/029U9amRs35FN3
bBSQgS/Kcm6OZcNVVnXyf9k7jy3JjWzL/spbPQcXzAxy0BMALiM8tMjICVYwBbTW+PreiCyyyGS9
Yte8BsVJpQfcIQzX7j1nn9wTPKgIuCP2r4bLfi6c+vmUIJQ511VKBJxj0c4ciJcdGoLybMVSQ58H
dySyANkY4tFa8Ef7OkNPv2us5QvuNCKUiIltE2/o0vTY0fz7NbOgXKBqOPMuQQ7cVPJzOozJKe9M
9Jew8Z5Em3YPEck5N6ij2OsOCLc8iBfNc1cO7s1s2utlpKv1XleDzhtNTA95UjWRx9NjX5fTtHxd
tIqAGmQ89AxLczprUTEewk6MNzT11FnmcnPENM3LRC/sbjaXMFgMxBgKK/g9b7b6zXKH6lenL+3v
C3Kc3LP6DiuiG32diHLe4eCCqUpncKI7cbUQ3RQwce99QpExBblap50cEoUmT+/y8Z3AUZHjPcT5
6VsrXvsNffwCc7DfVTbuJVg8SeibVpp9J0at2UPzaV6diPjcnVFFxa8qipxD2czhZRChczU6pDnl
89qeYteh+M/o9CyS95uXG31+0xs6LXSn6C6ZIPl1gLZ5JvaRPlOPEgSkmnkz5TYmzLEcXmHiMHmp
wQf5naHNjtepabivo865Xklb/aYTQThs3VVe18xnIhJ4e+0pjk3rjd0xS08GXdqrOnj526INQHZd
Q9BwulPd2lmpbsBeAfInGibInHwRhDebzsEm+nq7J6aEPoyr0SsSoF3p6jjvGQLuvZ6od/a61UWL
SvPRiSJCWfVZXU+9a7AMLhJ4wqr7UVhetguINUWJw9oP9KbKJHDTRl5o6BGILdmdtHFZ3VUkyT/b
Tj+S8afl+6apzINmpSUWPiRVqPUkhiqihrVK1Zhl9e7eNiPjSx+3BF+Knoi5YRrdR2Gm9b5EK7zX
Ufw8MYqKDb8gr/QuCxuy8+Q4uyRll/aBnmXlT7q6dsJ24rKT0XppdHHpDWs+u710diiymm+0PYkc
15bJPYZ9Yx9xPdfg67vFL8Olu6vXvIaJXDdHZn7yOIO28yEkaP40re56CEVrv1ILyKdZuSltIIQf
352CwK+icsx9mNWfzCa3d1rq3itJPiq/T++pOxhx0S6akshL+5QuWd1qJ6uUHRZkw2pDXtrN+iWp
24IBfxJOZznMgVnxegMpGXFrGt2+SDPzLqQ23QsopFeDlRnpfnJaOw0UaPzUn1mEb1Q0NAEjjRdI
KsUtrlWj9sNVNw6878r9SGuHeYy27LVE2EdZ5c6tLWyUZ7qdvFGgWR2OMIcCZAmPQ52G5I1mLlGV
ohXZycwj4XNnY50jSCZm1jKnJsYhgsmRrOHp07LpwWpbktpWNZ0sfcHxlzUTzwlSXm4O1/5K4Rvv
2BLKQ6azrGD+opgGRjGXXi/16XHU8+hZz6r82ZDUgASTrYZvhk1zW2e9e7VmW+5IZIYn3a4H+lFY
9XGqV7zBaCeGJzbP7RpgOEzPae+6Dd48kQyUmG51LBoZdd8UQ8DOpaGP3twBDNQ41+FoZgE6qpaQ
sri5x1CuLobRLjdu04rAzRL2tlEzn+NyWncRhf+n1XKuUsN6iizan4NMblDfExyqjHOR2eJzws7e
a+nN+oS0or+0C/wf6yhPC0R8b5xiFTQDMdy1Wt/bePmVSfO9U4Ojc+PRgtchYq9rEp2MuHI66ACL
/IwO98wW4SrJRbHLIZZyWdR+oCHku8RTByqnuCGR8XY0EnWBfPImOgMF5EgaW5RlOTgOpwX9kXNi
isn18oK+s6NU7aGpK89R3Kh9OTj7OCqXs5OMt/FiyBfVYur0nbkiPtcq273AjeSv2ozfPBtUsFZL
T4pqgS2IZsuapOptQXB8SIm49onwPbihad/OVpz5tVWiSOT2e9fAyOFwD59w61vHmgHY2ZSdTkpm
ngRjNBn+6rS85ro4OSXEJOyXrl99tOemvxjD5DGkjW5KnObko6bLranz4wBUkoHdF+wT6rb3UY//
XRrFX7elloREiVoFusRfUYdxaCx5MjjJKYXcSgk32+G5XR1WaXMg8ppAaHak1FIlr2w9+xsRy89d
WWQrELsApeFeAri6UTz+KFNYk7K1lrVOTmKu2i9rCoO0TvKYeYebPfyhM/AvhE0/a0k4FBxl/rft
fv/qnkuaJLXAGHCoWjbljmeE1Nxyiapv//44f+FEbQdCrr6Rv8CGWD/T7rNqWQxCjaLTUIfLnhGk
cbIGoDJ5mfR3TZuh5hzdWE+46MV7bdP8ZFWJ4ltY/9vmOoz5dh9f6b/9o7/tH9mO+4er99f+UVVC
kASy/gMzc/r6f/8PdsftM//oHdE4+oW+oYXvbBMg0S//XenICOEXKFHwn6ytt4vA5fcWkgFhiuY6
thwYoiaoUp6535SOxi9090HMYEzFF2jRe/8PmFHGJqf8YysfnxjDjA1VrPDVorb5qXVer1Umw3CJ
b+26doWfawUyW+whpm82VrYcbSAWpG5nUcxMGRDDJZI0k/Mkir92IdHIdDAKWftQKZr5FK9NUVKC
2daXtZUwpMrEMTyjqJfrqsna/DVZjea66lb9a6qi2fUEcbVkYmLaX4JCG0d1IFy0erb73panrnHH
8TyrpJ0uLavkLkaLzg5a5iTpLlZ2qXlUfTGEvWcu2jUkuhpKU+2Qh56Wqwyapf08DhLQgIzzkzHO
bMmWlNkthqHB9D4If67DQ7Oj+2PGvmHFyQXE5nSi0LSPGpTv01gVae2xTZvvx0Y7yHSQQSXd16mc
iSrQ8h7mRUQuubcsa/o6m10NRIBI0wEkROwKtuPpSoUggimjuRsMVZ6y0cKTY1LLlTyuFBptx4sj
zKBLcuU5y/o6iLtEJuaZsXF319VTal1NiGK/cEaWq4zxZtg+kT6wngA4dJpxZbfRnO2gNXp03a25
PrROHec7CUfuUhGzmxg5ML0FDn+5t9jrjQwTjTju1ZFkgRhfkN9lqDrsKxpA2NVXX3RQ82kCxdmQ
xkyaohbH/EkUmXBH6m7I+RYKa4H56sOyYNt1UDOFfRuVFA9dBw0mB2A5fyWZtU6/u6novkMkZNdx
I0sAxjAYilDsrT7ZvCW4GuxP9YTPn30nsa0Tb+WzVQ41J6rNQkiL+ZCeEsMtFdF22T34sHanJ0gt
yJGdbkknYH/J2Ivbcs6qYKkz8KT0fs5OmlW7KNLX/ZqQcpxV8a1I6vmhtwYjCUItl0HiUpMTVN5H
Z8fpbcM3FGfblySrH+nUjITOwaQ8ATpt95S53Xsl6/yL7BuheMl2FjqUZmvwOKGTexFURkWwjSvO
neonz1BRTk2RpOJolMPnODXG3l8rw7zbsgdM6oM6Aptt6FeIW4o9EjLtMCoyzm0Od6G9Vh/EKub7
suoF+MbMSUnfDm0URA56mUzq2RU1YsMAlBZhgHOyPI2Tbt4kCAikN/e5cY19Zj2XlLkemS1sfIb4
ne+Y0uUs0L/l0Y0VdxS+g2FdY6iGXzNn4ee4jV047EwX61QZu6zJyvMg7PoZW8+NWdrm/XZn39Jo
1ANbVyjFGnFZU3vx4gQRiqMIxXWSWracgVr/XpEqcVuZWfQpqhOACI0BQ2NkltXlVu0tiRUd0nTM
DhiqQdA3mwAIGcuhtlr3MTI0+prM/K6dzH5ZpX5bqrTxbS20rrN1NHnbNxpxzN30ajYVGdMp+dfX
c6LkGwm89FoGaDu8H3NdPUAjHWjQdOq7hqCOPHrOxj5b0/6ELOkLpkXXbxNaa4E2LI3rZaNlPNZq
mmNf2mP1xXCW6MlMDSKJEaSYv/YFk9nS7Tr+Rq2d6IuB/IAb5TXDmJ8m3arOGXJBQtTSdAfFZd6r
MnKOswlof6rL0fEGBJz73owEN/rQJ1fCjYcn9nmZn3N+nrq5uee2rh4cuVy7E8I/Mwvdo2bHNQoB
1dhnp9XgZ4ABdr4S8x7fubmToFKuyq92ortBrsPBQciAxnO3VIZOx0acQit96IvWOS2oEYKMu/tR
aIgs2Yktki28Cv2pX58dPQX3NZuR7dl2g7YFQ6tHk0N9rvIIEVs8aME8Ed6KcsUy3xg7uoFCkfRQ
zW7iG3Y7vWYxRF9TpdVF5jUhaKM9f9HmctyNUvXfowxufGY2667K4w57l1SfJN6521Uk7u04O+vd
QrrwXuRRfyfbtr5C/KM/st8Cbcg2Lmv2VdVFOxKJ9XdMP21gEIX4gGgVqeLCRgIk0aB5xNVH3+eV
DmI5lvYbqKhVC8hrRc3GkuPHDOgsz4niKSgrVn5najXPdkbrIps18nkiFTstIZ9xk9ZXzmTG58pt
67uG2Ougx1fNmXXj5VuytP0j+QZNyjQyjINOX3JcT2ILFp+BEAnBHmdtl2XwsUN9K4pE7ShZXQ9S
VnUhZCb1NdW011CVpvvc1nY0b9xLA3Mk8eAkxuFJ4Um4xLpoAiGb9HPejfIpBXJ9sWtnedQn0dGf
smL3wXDn/jg6dMyqOUzoiITG5I9xot+2Y529FvROXiOnbO/KIQ9f6ixMroYZyEvMxOBZtMayI6on
PSztuOzChRB79jcAcgx+LY0RtqL9qczXsUbSODwDUqMBnRhdGWg0ZnzM/tWu0WP9rmEKoXa2E1bn
ksxitGnZtFyZ6VJkiCGEBI9lKM5jP30yZtv0zBH6yjIX7J7TJlzPIhHWFwbwuuZXYZncQVqYfCvV
3ddlNbujbqy86J1Sx8vXRV2yp7loXdtM+p5Ce2wjT8OLS7B36CRG4Ezz9dCQmE4LH9TMf4vjDxjq
3xXHm8P13xXHN9+m/zm+FzXb0ZY90B9K5B+f/EeJbOu/IKdho4NrZxuj/mYEkr+YDDwlo86NSgFB
5J/lsfkLzm7oG5vk42P8+s/yWP4CNZF/Tmyn2DLw1H9UHv+5OMbxAZSE4n0LHdtwr9vW9w86F0Oz
ZsZi9grhhvpQrazc0ope/nBS/sW+kp/4xwr8x0FwKDNg5Xf+hRSBAlSrYQisR7qnjTfb3QpsarR9
Jgf9j33c/2oCYh/yl0OR5MHm1YC4jnbnz7+nQi7epJFaCQRKgFHlCQWEhECFC6TwcozrRwK6sdqu
puG5qP/+5vA/76BxY1AEItQRWwoSg/Q/H17mdAUmS9JBLKcnWdivDm3Of38ytz/xJ2XSdgiTzRZs
in8R4da22jLooWiOppiegMu9UIwRMcamjbK6+fbvDwbG4a+Hg2QAOAV/OfWB/pPzA70gPVRKgCOj
uubMlE4gEnS14pyZYXHOR+MZRi5iQqiRPcJCVaUFAhAXwWHxIT7sqpD1XUYC3zJS6BMsLoSKYzW6
jT9/CBi7DzGjbATCRkjVSPxceZJpoX6V6XSIxq6nUe8wzG57Xb4swDq3eepQBJlGyztuBl7LcaYC
VFHzy8LG4Zp6a4o8Je2WRZ3kqSeL7uVrstiV55LHfB9GlXlr9mX2YJnsBUejLchgprM0jKWAswsd
bdNBglIwm/04rOuJRuxlSLWRlJviu2HnD1VifGGfcd+3tMcmwynOtT5/jphOcYjU2rE2k/qs0jXI
6rU5ZM0mTy9FYHbp9I3isznZaXxbY8OjQKfYN2Qx7EDnWjfzrLahhhWeZaRebE2E5zROkAB1dk1H
c8TqrLko47skWESaMllvoqfeMnJ/cDJfd8cI0ltE928KR7Ky83CXwga7sCnxhxj5fAjF58pkBJ/t
qAT6haCbJXIZM6fDvE8gGj41Nk6s2GHAKx1syDX8SB2oqmA/U85taz0bpa29xtnY3paV4O842Pyf
SBVk49QCPGaKD5UOJVDhQfeJr8KiaS9Vrps7WTYEF00ut0jRpHdNVS2A+0qxG5dB7sck11+MKkM8
OLJh0+JEDm9Dojci8vVFXIMsjJ6SmHqqTFBWhrT5g7iBUe9NyYYrQ7d7HYZxe1+vvPuLtrsO3UW9
0R/vn4xBkYCnxeIiZmURvc690ACl3A99OR/KQr3FVLzsupMh2qe2mlFBJe69joD0gA+ovayRVt1t
inLZDcuFoXjd+G6d6/t2Ag9aWWaEI8CqkbPOZnJoXWO4opePj26NrbvE7vZhqIBMhL0tmKJFjOGy
+MTHXkkuw3ISNgHe+/t6yYgMZPiljSmq2qIcr2iUZlD1RqrLIZruYT2Kg1QJaROAPo5LQV60WXfN
1QJXHS92ZFa3xcJ7gzua3gtsyEi/V2GzvHeMIzZgZHk9Rql21UeWRHbpxoGVa1g+UkJ39gxW7KDR
G44WZarieWFe7VcSok1Yx8BGNCd8c7KeoCEHL08UhtPVTPXvg4WkdkHkgSNCD3n2C83DQcmYMBxm
vzAz6kArn84MV8U1manOPtz8F0S3pZRNSRlYdvyuQvXqinVBO9brD8m86Ec5qs8215W09+gxq3TD
EzZnWpGF3hsVM6gwa73V0PognMYsaBxwjNaaXrSuqQmEDfMA6/9XCImd48HlWjwnjMZTqEXskzT9
fl6GfT9X0THVGNRWbj0dVsTkDLus5hmXuV14HelPcPNbLCUMuN67EdJhFdfWrpv3mF/Uk2nWrl+K
DF1GaY/d3aDV6p2WrnNKikkddBHTvh/pwcTxwBUyiR25CfOsZ14e1stzJZz8mgVppcHr0uGW5ltb
EVImXUfzJopLHwqdpNyOr6lpDzEvAK8Y2bd7UQRVIi9EedMVzikf5XNWMKWXoSj9iIEGDgc2AjRe
gjDTnEsUZiQ6uRh3mm5nD9J4H3Sj/jUd1HhbG13hYnnh2WNJsG6TJZ2vwSzlJ1xN7VE5SRYQMDZ9
qmac7VRDG3WPIdji5xYPkLepV2iCaPmrQH1Ofboa97AmLEYTtNxEXqSdR6yyOth53O8sJkY8J9b8
tSgW7TYjzJXTXOJjsdMXE1PDcXGZd/pNmw++MGbDB2Jk7nIHaNCw2sZ1rpKp8VS9jrdF52hH1GSW
3zT2F1uoqPdGrBpBE5rpyUkdm+S8WRwgExS7VhqLb48LKJDMkDu6O/ERfQ7aXYI8j2ZvmrdWQjpq
rEXRZ8fcoeVdDvkSc/pHiL6ClStAB+fsOUn5k4IZijdCMM7X+kw+Go21sxBnv5J0bnyeR2w3Vmut
r12pAtxNU+KlddveDKLu91lBMlu/2OnRgIbp5ZCFA16e38usk3QI2myPlqU7IfCfTmOqWDN+6PD7
H6p8uSn0P171/+2A/22Rj0n/D1XRXzrgW5F//tZ235Y/V/gfH/utwle/uLSyMXEatJldoGH/rPJN
qnwWNFtSkCpqt38W+YJGN1rHTVWM2Fdtou7fZJUO+IDN0Mv/gzBTRwj8H/TA2Rn8VMW5OkNcE2Uv
TAEbXttPLmHZwH1Wg9ke3VFDBlC2qt8x12mzK3x4+Bl1ZqiPkdmhG9STeDiNSdnfx7U2FocsFags
2nYkfoV5MEPrcECJP6D/k/Uc+VGEveIeTYN+2DQIWJHoEKyzNuE5Eww7sV+ET7MszU889u+5oODg
Tz0Rf2g+9lm13net+1TV5NPlBGqzmbfysNsgt51HG2+9DNOmXuRBpu1qoTDo617/5ALWhXusJfKh
LKfs3LX0MSuMkj/Gf5NFf4EAovkGQ0IXCE2IhxCT4q4AWPy9k22lM0pUzC3HAmUHvGNarUhkEEiO
oKbXiQyH1SD3+eNEfbDstowgrn8Cw6Xj05MY25PJQNs5UK+Tp5sWw2kleNK3FfIbrzOnTgayBCvj
WYVbuK9jujaRX+aO/skukHpa9ej6pnSRmunzCrSgoxevYSpZBXpOr0wZ1HdJ7wKSrtTgxeBQzS3N
kn7X1LHBaVOHGhg/o/Y2DArhRg+G2cNuI65bp3P1w2SK/GXJchtbbjSITy3W+8TLZlQmvDXi+dap
c+37SmiOP6smPGfxHH/VWCxvaszSh4/v123fiju7XTxc5e1J5j0Xo6Rx6tsWmrq93g7lYRiWEedQ
vVI/cpI7ByUMjPdN/NknkteWAKDjDX1GLiXEmDiG3yyy9Wh16IP2sQku+6DWrdxIw1XzSq3KzqtR
ncbW4C3ZpyNLZRLJTzVyVGsv6sXRD9wq7Cf7gnvBIc0mxW0TcPSEiXhnJjhJTPORBm/+0sJRf4Ty
v3xq6ri7dkrlPqWA4fYxIg0roBBV5xKm81XYGPEr0YmgWKC4X7FlTTClpRlk7Z7qfaz4kelqajtz
lYQNoaVDhGg2dMEtt7c8Olzr21pOy8ExOveQ51J9nywF9Sdsi6KCBAwjNIhkmhBFl+p9fJPlFX/L
xVa/tyosJpLWPBN88MJtZWNvirLuISzc5ZKsU+YrXiHB2uvhpbAINiDeYHIORDkLHMCxekFzT9K1
A+sH91gMj3cmX8khN1HvHvvK+GT2+XBdmPorUR0Lxqqx2VrJAzEqOxrVlyIK1x4TlWXtE2cNaW8y
8mKYjTogdBA0MP5ub9c1r+46a8WipykUwcuCpDAxxHmISiZdsol2BVEDx9W2+h3m7fWM9CrL6eNP
pJPkpnpmoMImsVhQmYD/77xpps1vgKD1SwkzE3RTmO3LfoRgX/UG5Sx2PX+YOu3Q1Kq7DAhvbmdH
ZVelNpl3NJblboxHFGO63emIHaCzp56juZQIkIeGYMJ0+GlcteQSChF9Wdo0pYkDPX/h0q/1poOG
NUZipqjwNC4pGClf5zPvK6EH1EIprpRjVBXNY+PqdbqbRhHvhnhUOLizcn1GzKZj8W1iYlprwmH1
unpBo7ccZGNjxkQYWPVeG9U6mmM8OrU35r0RSCjKO8j/yEYmFgqBo2zSg9GylquJoKT7eF67V5ff
r4AUrXN6qovK7gJrjdrzgAqK/a+14Y0mKnGv2JhLnt4M6NRjjMm+Xdat3+bEwGCY01d22bTbZVuk
V2OfZguZAZtrNpUWDlqr7nzMy/Mh1qMS+12Bf0ZvMJEu8lSxF7ip8PY/ISFh8R9kvO7daSYYxi7z
vkaqsbZ30MOys02vn/qQxVxaI6tSZw3h28fK0mR9+N2di+ycVzyhZDoI/cdTVEMbeJxX1qh2IgnN
0nSWVSgIyDDRxKMkq6zyMEcsz1jmiMbpo0k+CHM7EAOEOUBAxTfJx2y9TDpAf7q7mlvegEZdbroW
iUFQVaSpdQNOgtYR5g8+7n/Lpb8vl7am2v8OSNrKpcu3OflS/VQubR/7XTOgGP8bsPug9TDh3zqf
/2iKAiMiewrBANqQHzEzv9dLyuZD1DauQzPrp3qJUkoi6SYDBq6FBMH5n9RL5k9tPH1LT6WJCEbC
ZA9AK/HPbbyGgTJ4uzK9buWQLO8GA014l4bdGzsdcTCLnZrY9y9EQlddoZ0qGddmu3k1yyOoQP2A
jGz52qLHK3xNr01/TpdxvZqxsH5jU2MHCVzddm2OJbtwZqxelk8LSVAQS50BNvEgJTPCHN0+T/YS
0e3cEaeQxu6tnmi9fT9WwyjUDmdYWy+P6gPDYk14KN5gheXJsu2IN+BaXOllcU4cbfIx2LIjHxkZ
QvCIVjOb42trLJvaeYxJcaqm1NcdxZolCqOne4das0Aej1lG7Bz8Jrn+mjR2vw6Hsh4dieFWL0r9
CkdcNuxYM77EWtfu7aZe7kyZlwR6LFPKR61FW0E+ITG8/He/8v83lGCW8G8fwKrt4//x39sqT34S
7nCx+OhvexbzFwOnoU0A0DaFINDp94fQQYIjt3GFLuj7IntjLPCb98v6heoPjjtsaSX5GJ/6bdOi
fuGfkvaEm5tt76YE+g82LXTrf960CCaiIJQQwMEowyb+56fQ3mbLbd6lR+SZUFWEu9lW1i6CaSHH
FnBEP9Z65Tm6HROUIRfM9lQROIKtlVXfl5O1TaRXXj67yqyi5qjllZharyYbR/f0WHVfi8R0rpcQ
Ij3KQrgPZg6+xhhgAS6Stl7OS4q9kKBtM+HRppLJ2TOQ6OlcE0ZUvZWdA+hFXwEAjikePI9epnMt
YnorWG7EDYW/Rox8GVmWNwDUqg8yt+N212Xa9pEPtmSWJsudbHr3hdKdA08UCwRqdM78QGCn+/KR
UtdC5zyF2YYRVfVsQ3yUZVZh8mor5wystfvaOUTF5GWBTfQjQAqbxhaWYiBUASGAfSzbABZe7Rot
GnQZgcQVSjxt6+C7LUFoVJU2HNUYq+d1cua7UkGa6JSOesUqOnETyS0DCy1e+PIjkIZUnk2+4qYd
QgZ0I1/TNuEM/AhZYWr7RtNRH71ZtfwzY4YOXlSm+b5Em/F7iPgCDDD4tlPO0XRF6FIaxjTTBwX4
jJJ6nh9aY0P5OpmCsprq/HZM8LjCh0lXN5aRFCTN2PGNyrT0Gv2v8NopmS9pmIwnVUEaJYiKz/yI
jrA+cg0KUmasgPuaM/zjguaE07VBBAPjRQ7bFaYTPd9xSbvuE0AANE4TEkURzHBDiwCDQZbca4Xk
J1SQOcAKjDH/dbocHCi4TE75RKjGSMTmRu1kUddMpBxETYHEKMzxWG8tuldKX9CTebFSrY/T+j0O
t2gdfSzdlyWfHvq1M/cLbirDz8MkRBTSpff2iJ4SJ0Kj+bUo5FNpcANuLj3u2oIbPZuNIdzj4eMv
raHkv3YMmI5vwk0EpgJIykd8ld2P3A3o07myrurJ6vrIrAJDB0CVSJMtcSLquPk0EGZBOPJqA/ZR
91/Rc4J8RdFOQg7Orimw3ZkLXJEGA5PUjbbXWFqjIC5TZNN+5lI07kZuUbQBPJbXVe2yN/hgU2kp
AgkkDIrvnawD4J+CsMMHRRFKWMzEwNULxQDhdTY4JFmPALrG7T5ZINS+DdslItFcnQoT84gjOv4Y
s/vkgLOa6B0D6vwyji6ZinCYWpTsLx+3cKIR17RkkJOq7WHfpAVvoTXOD5MaOCUTFvu7D5p2AZ3n
yoihiu63CA0sbC4ncqN0Kr/OHW6YAeH7VV5a2x2wPRLs4ZKDlaAl8BdcBgcci+rEu7H5QZ9uzBqQ
pzVY4smYqhAOHKQvr+4glXhpA40mJ9UM20sFG3pl6HLIY3MaGWsU/BwdnNOP5K9G36LgmORyg2nw
KdC0jZyfsCVmbZQ9vxpQi/SY5ynSYbBvT1XuXq+NxSUkyplboqoFuU05LiHHH+wuVnc4HuHCai2K
Nkrs1Q10gNpHSK06Fk0y6Exy9QKFNKdFqZ/xe9XcRtN+BfoV71weCgbGLf0Ab1WsWIVEofSwdDMq
ypQAgmQBnqVQKT18sFCcMgP4VGDWx9LL+OaUZdTzaY+nQmem+dTDT+IMFsb8UHOjJ57E6faW6WFz
dJmKHMI+JkUMHOoNoACypJwYTtdjh6PeOM7wOU5q5QfP2YaS0lzJhcqlJp5CfV3rc1TZ2NdUWRBH
Rs4ljC8dUs1gyC0ydIJFkycbtj0hJGJHlD33FDtfbnDA0lzWtgMuoJMlQhpVKcQTaTgggky8agFz
TkWwNzY57BldT8TJlqQy0RKzcKU24ibZAruKghEBUxZYN7vR3e4cW+TVggKy5c9Lur1fowy9VRKb
3N0YrZ7QSrovLeaC9MpA/XNEoKY3+4973pCIVXy95zf7EoeM4mpaWBWTEQg3vTN+p769RsZJND26
Tso9fD4d61vb9U5Aw2C7H90F8BaRwO4LpkQu5I8ljZS+pAhgsHMrkeLbDqfU6RpEXww3211NM+3O
sHi68jxjmDBMnF5FGNfHE1eMjvEyldCK/bkx23j/sbIS+QKoYYqd5kUkqixfpog4p1fzI4YuN7ZV
SoykABhxb767W0hMOkChE/EgfZxZX8t4dk9tXW8vgwY+g7dgQsZMhFniZlpNFrKc+mHwHXpQEFdi
fLPxrVzi5cjyo4opAKVGCeFFFfNK4vpW96ooux4HkR3OMGWY9OX3a5p/S/WEdpmPSSZ64VUK7aKn
WXE2Sp2nJhtm1lqeyTaIWWLAiE3STH00TdbXqixeqki0ZzecBxiqC3oc6hDVPknDwYy6vYg6q8yf
iBysr3jHOHeitPWQZ3dUWDDpJzQCpIqpE4vXoVr0RxRbz4ndmNjNyvBz08udJqvmuoNY4re97es2
TlZIXoUotOnY98upi4f6yk5dhjNblmHlu27/WjbDvmY+uNfoXt7Vxuilhf0QSoNW0GLltbZFuuGd
PqE5LVhVN64WeeZgdXSEwLVe02O05Fr6dke7BYeukfp1JYujEE0Uo4uqHV8zMrXPSjm6Hjz1vT7M
09lM4yzzNXtaRo82aLzsF4sw2aPLbdn6UTeYgILs2IWYYqy3ztzb5y51ec0BjDoms1bT2ZjEsyFG
jGnos26TNXPOtgy5ewWxflbsoHx10ppeRj2TcJHZw1U7j/rFJkUT9Ixmzu8wLNLnxS6eYUI3+XXe
dMZ9k0En1HrYe76xtu7eGdUIk6h1f40dGkndhOVp5SbbNaadBA6dov2Cpeuoj82IXLAvdoUDI803
jHRDqHXpxWnjdLlwvqyvae+U+xWyJO/xRCfqcnp2XVxsGbbtgx1On8HFkZeY2r/iKVoeYnMpA5E3
cq8ym356b7b3HZQDyp/S2plzMX9Bjv2kpTYKlqnrLk4Sr/fY202/sodiT7abcQjdkSG9m5Ae3HRP
jTsgaWgtKqNdVzTVBab3lse7xWz+P/bObDluI+u6r/K/ABxAYr4toAZWkSWqRFGUbhAUZWGeEmPi
6b8Fyu42KTUV/V+3Lxy2TBpVGBInz9l77SlptjF1w3EopXEUndRgDdTdVe4P1nVtYvLjpFX0A1s6
Mw7t2Lltva3ms2PMWLEQ0ZT5rdVmCAy8I/nLxjteAoqSb6x2sac5V4U01fu4NgOzMquDYEe499Y3
hKmaEWOWPxwALOBvIqvkc4dSJ2Qg5qOrtd8PaSlCHOz6BZidd12rov+IuFu7JsAdmaEGHgpnGbXr
134smFlHQjABJpcZv1FfP2SrMQgHMOhG7m+R3wkZeQd3MrWz7rR6wJvXxRNpAcS01Y50wxL5qus+
ann5MGtrj9JwizVOU3Y7zeW22Sh3Qk269MNej/IksL2ceT+mgHBBS7KP4qS/Giv7W5PE1lZAEAiM
Ri/W1cq4UuiPHyOyU9swqrv5gdhBUq80SSWY6lWooFRte2Q1d1HLisLKL8stggZaiqlwD3qH7r5M
UBp0gvmqPRXGdI0WFd1AY0K4G1hIPMm56239Qv5oYWCJK6SiFm/pFV7SyMBwYGTlqohfujH+xuJP
ynMm2nCBqIcqfKwavH3QkqFVmNEe0rDGwiRT5+BhKr/XmEF6vPYi4dD3NZJQNv1FZkm7pWlRAxzh
uUhRf983jldcLTAZNr5U+W5Z+oXmqM6/Zi5yRVHoH6d49rjF4QZa2jFFbTMKFlIy8Z5IXYuv47Y8
07/tPmmJP5zQ7N44eUVKIdXAh3IQNPenzpEbsoyi/pi3rUo/dU4z6FdlTtP9qLXGIoYDq5a/o9U0
tNM2I9x3JDDbMaN3EaRhqlnERhtEGbX3OWoLFvUoy6ZGsXwr7PBMmuTCXDqD+WEHorA0HYqfpk9M
tjBRmJ/RUfPWJY0Rk7iXema8o0ltl6dWl/w5koQFMIldgqUfMYTIrT1Qg6Ivp9qqpm5lWoKZH4K0
bQp11I1lviiIRXfUogSCtoA7aChRn/1jx/8LxZ257o3/qRKjF2avJhq8VbTU6WK92juPOn5S2SaH
xkHby5uPUhBr8TRJd2aRNrvqA/4Jz7pSNW/RcKaPlR9HS4yXwRohjCQjmeoIXyneEX5Rzhs9VfVz
YhsJ5FQTaQzFq4gwhG7kuvWsfNBwoVZGbN5yV87DDeyT/tuPGhkhxHwZlnVTUinsCUmUAlBhIjbf
rq+Vx3Tl91dLRy95Y7sNBdnbp0P8NP8kzIDBp0NoAB2NnyLoEkNrU9KUtb2Z2FwSUS8EIHjDWnlV
M5+e+9C/VsIbtQ+VWNjLzWXCxyK+ffkw+w5nKzYBfgT28switvhHThZ/nzGdxNvn3aopsGVsJpmx
aRwm+KqHOmZDHqRuQ2xxPIJn/pFpSj4De0msR6ggPOqTb29/2Z/ddYYNQMd2CQDTdRy8rzSQox+n
molg5lABgIXWqeahCxInR5wkASHzlZsSR8PctY+llatL2xvz5Tn2OK1neSkJu//NJ/rV3aibFmAd
yzWZZr/6RJrdasvA256hJTPbjYPq9NLTSLrvaMxwEgCycuYEQVmwgcyrZmRXUE2kXewNnLRp0HXN
unNiO/L2B/vJ2GkwBCauiT6TcOk2vVK/oocrsHOk2SGqfe7esmYm/GmxlqF7sNRCOJVV+hTtdYUy
xtlMOTXq2x/gF9eKRDrDAugP2JFPsXai/6G/nRLHqBfRxwd79r14E1VdnIaDb0TibNAOjtmTRc0+
NdMkPvVNtFQ0fbvoHFe9cefpg3FGL8fm6+1P9YvTgmDBhCzl0P77CcNUmUPEOMyKD5W2sjxniuTt
Cgf02bgAQWWmywZhKIlwCbUxbj6/ffTntenl2mVxePLiIcWjmHjdfa+Um8MwWDgnigS9QwZoCYlN
13plxgVJlK2x2Zw88y53I+3KWHepP3LaR6ttxDvLUQyFNqAg4+TQr42mpqWXD6eW8OOpWmOKnz/w
/0ZBvx0F4Sf6x7X9WTnz3IkOH/O6f3w5DHr+xb/60D4dZV5W60sK+hwZVmi6/zUMwltqYS3ViTJ8
pZB/NpCSi2Bhjl7VLdzEfxtI7T8IF6BhzK/xUHEL/Td9aMt9qSlf1dyr75sVQjATsozXmnL0Xk0H
kFVcL0SAxMs+7WLVIxEW+qZU3Y3WEyvUlC7sitGDILWhSb58pnvmIKBNjUM3Ntp1xGffqlYrd7Fq
a+SSS3dTx9UhkeZwBHjohiDOnFM9VNoHQpPQWFcxGs3UWw2PpfNhZM/xMfP8nkCnGmmo0bT1puww
ijmYEdnCAYAUtGQBh4yRuc9aPwr43Hhe7PiQp8mNY5byyEyeOWkbvZ+W9t3c1eG6Wq/uVePQdggf
PAcJsVs4R8NCNDjkfpjE7beBRm04ZE0XlKPMAmlW6gbWUbydgHax42L0wyy5LTptS2kFUZ52y95e
GTFVLPZwvKtPvhqzbdesCobC2kI6eidzZW1Z98E6iZ5eqFvSirCJ2jVLh+OXOMY4UxZ7As8naGNI
L24M/qo0jIUmqkAWU6vVZdaMMISzd1L5OhLpfNmCa2egLnwKF70xcfrYJv1dPHZTOczg2oruyG7s
JjGo/ahLL75eAjGM3L1fwoS1VskuwJqNQpWNHiPWQxHpFD4ZUr9E3QN2YoKO73CL4asPe8xkIXzT
OJC25qBQHL6WHXr0eUYQDr3r1DBKD0yMpvXi7rQUqYe9tFUINkDbpLzGN63tHPzIP/bodwMvF2i8
l0i7VyYNBraUNu4vvHDmMM87YcU+wuBSXQmW5zsXwclVZ3hj6LqgjhA52oDUNPYNs24BEIM1Y3sg
iQcH1ym9pK0PtL6ZG+vUanjjqoj8Jdtsw6GT08ZkU5OYA3HaLduWoiAzPGvv6s659+blOhOTu4lx
C+60im2toS/J3m3Kx4VMxaztrX1WR5LO9wSXBhXosRX+nxZd27AffTvknlg1mBtn4pbwZPzeJzV3
N8RoEdj8QG+OIe97xhJYXaHDf7GvWpEZXxRcZiSh3WnW8q+LsubtnHjNNkuZu9oVTdNlqdA3F9wL
aZW1oRs3RFstOCAB088B3cs2zA35oHU9XgF3jkJcXmPQkZa2R3NrbWsogDsH6dcuMrOPEt/LTaWT
PW56X1eeNsmKbhvYjaPdEbVVdmwiEyt0izS9lGMOsR7YNG0HgHsNHts7fc0/gJWYXxaMFGHXLTfI
m4odFt1pi+jJ2S1sfEIbmeC2mgGf9ELTb1PGwFt9ycst5WUSDDZsHFzLaJHdzLky2MYGiJfHAxMb
YFyjOLE1GUKNpvxH+DOcRS8yQ0F7I3BiMN425L2NbteUTHamf4R8DIFOMxye3HZZQw7cwB+wYeMw
rD7kmqmAygz60aAdYgPnwR4eTFqebJ3Gm1AQlU4wFFWOjgXyDB91uHbxXPCD2jWQUkBbOcnhVv41
RetKCBe7wbEF0jxQR4fuwvlsmGQcXAB1GOv173OUEApLKOqRyDxaNk7/QYeqwcveOXoLvGpL2hcn
ytotE556mwDC2yxT4YSWNfd4CfwnbKyXlJEW04HbYiADSydedK9S7c/SWtSukJhve/c6nfj5zq32
k6PW/kRVwVXWZIAnoAlVRN2duKa3Maz0sYX1vok9usio3A/umiJb5IzKJ2/oA0P31FYgKwslRKhA
jx15o4S7G0rx6LfwUzywJ/DDOvtDJJI4KF1/OyjgYTxq+D3bP8eOFp27qOhsywwteIFnGx91vssK
MW5hDXUb1edNiLDYOyQmJuJCfHGc7jqLreyqs+d7byLj3sWMDkbZdK4GAnDvfH/8VEA6Agjt/ukk
E+bHCIfIFBd3whhOrtXLc+OJY1pjQrHrumCuQ266Lm+LBBB7ZCZeAFXnu5SDjv0EVIy9DPXesgY8
47bKtu3UF9dMouTemqWHqwdTbgFxvDOTL/D+/DtlAWsrKuO0OOiYR6HaXe8V9Hg8jlgtyx3N4vS2
w6+YGbyEZi2akSshBYdwVuzkYNsbvbQ/rNOw0Onb9KTa7iqWULUgJGjYzAexQSmuE17QOp+LfH6Y
omE4uMr9RrQO47W4SHaD6Kf9XM3ajrERzZVyhMxcjLd67Cab1rLWDz7dNG0XBb2NnK2MLnW21NsJ
2we4acSfuGaujET7NPhNBu1w/mbi6WYtHIYrj4Rf1ppUkhEdOQfW3/SY0AHfxxqr3OQx1xukV27w
RIN0WEx7F9Nu2uEDNoPZaox97GafpjG18aV4d6rvTl3eMnvW4u+m1rjHoiqitdW0bKzGMXYkZwKp
skr96DWM02qLN/nCqrqTtFzCyVOLWX0t2Ij2HwmFj/C80HAj3vEwT2QKNrhWW6+e7nt2fO5qLyXA
khBQ7r7Se0dmK4lLjAOZdPCQ4dCyO/PQiho+UuA2KDI/mgOFMT4TpWTnxVu7q1m9cxwyzZTmG3J+
7Ytpoe2Tn+sRNCsse3PsXMDlNRBtG7FqkWoJrJhGLlL+T+jxwyj6u/IaGtybQo938k8mFi8K6x+/
8rfKCvwKzQ6fDgA2UgpYSuS/C2thUXSbZPralK/U0NS8f2fQOX/Q0PfXSKJ/Cdb/LqyNP6BTsyFk
Zwa+x9H9/6awJpn6ZZOKatmENW8LNpqwWSjjX25+825Y8mnw09ss92nhBRSjrPgyzp13ftRY1nvL
aUmMxDoGfgoSNZKTDY+UA1IXhsl8pqpBUulCb9h0QFR785J4zPDnTzYvoFwPHCZzq9ojP8RLpU+3
fdHq34igQy+4cTvILYE0Eg/HzGDUNN1rHhBv3Ne+hY41abNjmVXGdzOGeL7x2X5+1QSNsNkhy93N
rXZT1zGNoh43IGyAaB8v9RKafqG/Y/5YjwEP1DBsWqaj+QayHOrtxbS0j66uffXAYoXl6j1EjexC
qADJmCLwYnRppVfuaA9fJhr/WypY6lhyI5KLdL0c0309q1sciZEPjWQq5dZs+MYbb1h6b9u1RUMa
aZKcWlS08fiMLpucrynKsI8dr+jsbAumuQhV3Hep1PEqKuAoKR4eBgow7cHZR/7sj5tOZ1z8wbX7
vgq5EuohUmQ5aJgLYWKSO/OBHVPkbyilojwgIma8Sp0oOS3TTLc7TQ1771izfhVX5rj1EbghqqUh
TbgFrWbmTUB2PhEGyxgImkAXeKTCHbWuQsuj2XAOWKgXD77V5A6sxRa3BNRXQeTInOAczuyuk3jW
XPW5h2KBuU5yZwWCmJA5JARpDlN9MLedTusS0k/y3ZXUesQ95YcutYbdFJtOaK/i4KFO3PftYjEC
rGjXhkL19fvcYZ8ESgJ/U9ka7+GdTwDuSucYWeCbN1LazrcJjlDI9mk4s2Vc2FGpukxYkQkPIqqr
0pprEBqMhPRq0N3miNdo8hrUgciFWOTpzPMuAuzc3Fp5m9RXS5Ua1kY3mQ1Wm8SjzmKq11nXaKHZ
QmyYZnoekAvDMq2QJJzUfD90MdeKSC/3Q9lUYOhcbfabe7I5XFyrNdASlfhYuaW+KmrYjazqYQB4
9XEt1P1rfIrJt7J1VUP0hJu7m8JTpXY92nR1mXrP9ZlQnPR6rEA6O1E1PYoycZpN3k1sYpuKHcgc
q8SmlhYVYOHC0ZODoqSpGe9ZhbHpYWEC4MEz2R9AEbq7Kk7TWwx9FPlJOyK1rmVU8mRHHpMts1Fp
H8pstRA2Ec2/62VJIRkKzcJ7mHA1w4YIMiPQK00umwz9ZXzrVMyzA8nIx72Zl3I6gzTV90DFBvas
Zqy44ywNwT7siLDQ3BQga12MuzGKioSev+7Q7iu86UGkXb3vqTRxYerdZZn7bHnPDO1JW/yKZwpY
0xywrVf2ua/NjiK6Tcp+Fw+qfpij1ZDoMQS7WxZPUEFFjaz2/CF6FWSifX9gJVIf8CDP9ZWwqXSC
FGOAsy/0RExYgMlpM+tGfgcf8dEeHO/aTAkW+jDmYmwOU54YSNUJvQi9RjNOZgcpbwF8896iOQrR
2/KzcpvFrGb2oFcQo9psv8ymd8w0T+UwIbR5vp6NqT65NPyJiG5kvve8qNsWRhyRssa1qndxs2Sh
WCzzvQbPGYvzkBSh42fihAKbrDkvo/GnpauCxUpm465ZQAsx8hdc59yKs6+ydbNHHA3aR1MW4+cO
WLHcytqyeNaseURFv5iIPhytv6JrgKaJMVa3BcsTyxM/YDGt0tbZPmLFRjFi9mgsHi0GuKhMFUaO
hm2WKiyqS3ZgZAY72EptR8aAiEa2/1or2SxEfTlh/UMLhYyprpoBgEwVFXeEWZv3aKw+0TmE6PRD
SONXujg43uS+d+zUCOOeEWkvEkzZPlN5BEdM2zHFEvuD33G+VFFnnQtSmMZNKd3SuJnIYbph2uVk
e6+tzYe2nx/ieWb+3Tsp4xQjjQomBKPed5sBLs5wUzalcV6U0V2Ay2cygMQyx++NmTB7NkJWoRZ1
KE0wvCgKyAWLoyOz6sk7W17+V7LH/9qVv6unXJTmb7UrL0n97c//d9UVjxUjlx812jPv7scv/i2b
Nf6AWog6llBWhKnP1I6/qirX+IMgTIi/bPMd6t5/11QCRJ6BKn2dxlk/ICD/rqkYQjyrZVdv4H8h
mGUI+rKeIkgSkAhRu3wGPpf5evDTyniQpQ/tVKO64ZlJ6g9+ji4MnYTPiFnYD1M5jjck1jMlH5qH
Ira1K30C/VwPoD7LJcnDprNK3Hxlxf5av7cjPUbiVrTEaHM7hsuaGiCZlQcWONMdo64J8aN7bvBh
bMRsEDY+yUffLG+cqbgxtQnJVhOFPXMnlEKlvSlGHkwcKN8HfUjP7Jfx7boNTc2KPEpd8xYmtWLa
pPpyqn391jE62g1yelyfww1+OzIiYefLnti5NcupZKXfokY4u+a8n5i0oV2svvs5qGJjvESznWCZ
G3ZovG7AZN1amTqxO2yITdDQCaWPZG3WYQ1+1+5xqIzGE1lXD63qdnVBY0qWifkJW9ghlR7jH52J
Z91FCwY1iPK9+ZCPxaPL/Henx9NFl/nNegb6kuxJTL3f0UKi0KM5uTPX1Dh0SOhF1q3pOI13sTld
vGpmpEzb6UoW/hNve8IxE+uANuqU4zW/WgpGX9rUcWJ0PbDs9ChWRdScz3dOoi5TYz0kZn6M5+JR
thnOHfvsJiZlD2liW4svtKbz1b26tXgB7pTZ7yA8oaWwVncdeT5zn7BZF0xiRc2JEgksYvaK8MaF
nmzTnMjKQRtr5k4plnxtPZdJ+TgYCtL26iLoacEG67Eaix8AYnw7dfptL6b9kCyn55Q9bdRPjVuT
rpgn302cCVvbSG/yfD4JLs7Bqylvs5RvWFvqfokI/it6p6AnYWph3nGgMfWyMMFKdi0hn9dquZcW
IZBo5O5K3Q5nVU1BlUjs/zVRSAytt4WYn7x6OY3kugdZItNz3roP6ax/9VrznQ8qInBIDFKiPyw2
qrp2Hu8W0OWIl+nnSvMQs4Om1vVoTPa47AdiOhBmJttp4noyeDCP6K397bz0RN2IEgB+p99XsfHk
mxOipVlCM46Lo+GOd60c7qy5+F5SDQbg0sAjlvOdGcH4zVOA5lRMCD4dLQkMI8W6uJ53o3LObMIe
6rbKdoz4cWNa7q5ff4/viZyXVs5kOg8oitQBWTNKRwPLptCaL1mk+YS/JiqUa46ZuSaaFTPZejTS
Aej6/Xig5hsBlNvjVVc63tU8avjvE1Vs2eqX7yhdFbDtYjyy/+kCoRXmU0+wmhqlc214TJC5a+qU
trwk9isLfcyTIbkj02Pk1nAJ4oapxz6z2uo+r6L7ctacIVywQxI3iDVzTqKzVeVfUAmNQT4XNHQd
FSxmGja9ktvWmhMjlOQ50y5EZXr06h73rNueCy25rQhZ2VIn3dcaPBD0Y/Z2HOzHuVLyqarEwFOZ
JVtiODaei+m2WXxnV6ZEKApVR7d0lQEmVNz+SyaeanBADBRLSveRbeIsjJ3pUlHxKaINe6loQ1IR
sw3Ee+/gDA37WXDTqdx9cDXnPIh2uopG+V2b5InIqt8F0fy0ivvAfdhh8+i79k8ZUDB4rSGb8vpA
5HJO578lyNWbz6ndUvwZzm9mva9NFkQ3Y5xiSIbLCWO482oP7lvTUDkK31LMox6CsYDXbyJAM1nQ
//Ey/YUm5fVUmSOtCFaXg+k0JJ7fXv8cdbvubGbYGw+izx/9lY2yLseZMTEg6dhLXvFP+u7tY74c
3UFiWo+J5Z1WB973n/KVY7PyE68Diq96O6GtNd7VMw+2ZlqHaQ2OXL8v0v2T7Fjd3j70TxKc52P7
kFZXMYaBzIDr/I/vixhkWjLlVYcO5lCY4U6/VRE+aJaLEzVgfiDZ9Gnq5nGXT1Bgs7HjuYUACkOf
OAd2b3G1nIYYKQTdxYO/JhBnA6hXbzpN+CsZ1tHTzNmotnV2UzkSZfB4mcv4XrcT5CWzdR7oDQD6
Jw3Thif/OYa2G1gey8Pb3/QXtxCZTYxoDcfQbUjVL7+oKFK/rIXFMFN0O6vWbwl7vsVX3/7mjK4k
4ReipvWMMn9dSytmqNiQXh7InwwaJ956r/r4dDpMK8pA9qgXLMIVO5YQARExfURLF6O6dXu9fE+j
GFbjEn9vR9bltVTBAptjSJhPsQaM05+GO813zqYc94nHcm83BGjHMaS+dhZU9bZQ+zIWDQIIBUZQ
l92lyuf7WfLaB/5uHZnRlrSUexwDVfo9Shm7VTnBiHL26v2sZd+jern34mG39ET1zo15QMFwQKOc
BnG5PPt5TgwcikAMy62rSE1E2mjsoL98kTYjMtegxnr7gr3quz0/FehNoJQR3yTovL08j4ur1a2F
geCwTOi0KSdmVja7ERAVJvPw9rGosH+6ZrbOe4pGsIv/Yv3v/3gKpFApekpVofwcLzCVjiXm/t8c
4hcrC+p2SInr330Yzy+PARKK0BBdx3vpjw3QhBknfbTAShdPdObVvicsLBfWwdfEeYr8ZIt/+ajN
0SdyUr56uCA3gsk2rfzMPIwZL/HEZ3VqVHmDafz74kxQHiP6RyQZ0H5gqLAZMAhdF6mzZS7/0SOX
e+PQN78i0gYiDqaADQl7ILsYpu6EJJ3S9FuxH2ZEzbpIv9sVt2Cb5jfjnMNRo1kBZ4AC1ZiofuGr
kbEIb0DvL3UlCEwwlx/e5f8IybN+8cRyLZDBwTfUwQuKlyesEg3QI1VWB6NgozAmZRqkPbHiAj3s
DelK7JMptxhse+fSdiAYdBK8rlG+ozly79GW2mrQi3dTtJBFi4IpRPX5MGWNGWLGQ/83OucIQ0JA
vOc5wSQS2pKVqEGEGLqZutfF9LR0+obEtQ8oD6mqWr6w1OZ9nuj3ikJs00RJsyfXYA+S6RLbzrDJ
GNAyK2Hh65wRypoGmLWMCLQWpPL6jRx/jB3+40n6xUPCO2P9yzARkrzWrE1xi6JjGqvDhICVEgfZ
5MTHscAMRE38mysCHvDn52RlObKsYfJbzZUvL0lrmQp12FAdJHCJreEgzvCi7BjxpvINrg8OXdrI
ZG3hkWeZyjIqwLhALksBONSRs6krwHgpc146rksJ+rDrEVt6X7vcuNZG713hM8JOfKr9uarN0Gy6
pzJbLnOhTsT58jLmNovN/JEkIqpUYBTZQojKABhsrokYT/st+ABv13NJn7eX9E3NMLX5QV8Cs9Z6
fqOZxl0TDf2mWPqETN/59nkTFFUzMyxgL0eSsu/Sno2kl5NuvxAhzOhxupM9yGFlAfo1xzuRG7d4
f46mSbVm0M9DHaqYrDP2LvmTaFxvyGYYd4ZFWPD6GHWzfa7d6c6hkbMpbMLdPYcc7qKlWoIgcTO3
cK3chp+Wmv3QZjaPWB+11749P5EsHE4IkmmEpjepiazAnynFrcJ6yJIRa5jlgN6wD3hGj0DZjkvZ
riMKHuC+L45sivdlxJsljUduTJ4OZ+pvCsP+knRTdcwN+zwCrjaFVMG6MSJHKN1PwMROZAGdYUE8
CAQiv3kfO794vKl1oA7BvueOep3dyqA4azF4lIfOVU9oHi6dzntvZJsVkW0crvXX81a7XukhvU+l
9/zMV0m/U1M3bdqMX2tLMwT0lm19ZEDeKE2X8JgYp5Lwqq0/D+pQGOQXjyk5fkQDp1soXvETJlH/
BlF/Ei4x78V+IZW+QvwXLC5kdI01JuvV/WhSbunSbAJHT4dgjvucFjSVdczGsJlPiYmCIYsps91s
uOvxIG5QCV0k+if0C8XNOAwXy8ZnVxfOvE0l9Md2Wk5lMmEiBSZRGtpCH1w9OR0BRxL5usvuAB2U
cx55ibDJHO5MB/Ex1Xzv/v1+/V+H7TcdNhO1Oe/e/8yG+JR2T+S8pi+Gln/91l/tNc/5A1gbtSRj
wb8lf3+113zxB85zZpM+hnQu02pY/3toCRoCqZ+1GtPX4FyTj/F3g038gZzUxRblWIBMfT7hf9Fk
e/lWoK0Gw8E2dYGWGaUiPcCXy7QwdAID7MQ5+dCzDoQxE59kVKuyW6Fa79lHoIT81wn6xa7pVwd0
BaNWjNjQjYxXtQ1pmqIRTWmfTHLew2ebHMig+daBhneIFc7st4/3cu348QUZ7XK+MGBAC3v1HvIz
zPPsT0lcqBPnMfM5gLkKuDp7/J34+WXZ9nwoLjXXmn0Ho+bXmdYymZJ4yA3rlJcTYns3wxLeLxj7
GFUZ535Z/HsX+thZrsLd//pbcifZ3A14E6iDX13Gqc1HpWvSOnUigxrgNXgkgGCycowxkv23D/bq
3f78RbkDDZ8JDzts73V9OqM5LN05tU5TTQG74U2kY+7NdLYmY+8yK4L432BKnWccBUomI/JzA2Z8
OCOrCPTVPP32J/r5Ijvgnh0YlAaYrp9075mB4byA2wbu3eLr0sZJ9zoBq/v/z2OByoOGvMb9uK/V
3HFm6kVC3g/jK3y7g6V131y6WZchE79Tjq/Pwr+F4+t5dpjq8ea0gUl4bEVfPpx01CTjusE6jVEC
5Y0m3SDYNf/3545FiNKQg7FKvXog9TGDA4NPiDgynOSZN2LeeS43jGW1R799MGN93F5/pdWbIHiR
cwpfb3lR9xngqwzzlAletCGqm/pkRBrOYkJV8L63uf2I4J2HNPVxFiEdhGbHVPE3H+NldfrjzFJI
ILTmUSXH59XOO6I8RgWVW6fZ6wWBo5WBHzgCg9GQvhjoMJbLbZ4Les9qYR8TPj+8YGkxWfud/M2W
8ld3L5xFH94BV/qnRlKOUBqmBzrWDjflhd74BHdjYP9N3bF9+4v/6lAOzSP6N7xaxOs7am48WUu3
NU+pzeklkXLtyJPBslBhciXePtjLpZ7lex0d6StDUnC4n27fJunrom0b7Rip1W+sabL5XJlACpYV
yDFWq1v77SMaL5fg9ZDYTsBSOsyyGBytb9R/7s5xWllk8br+UY8oTC2yLjFaSOgPDrPjC2klXFfT
xqaVeJm4e/Z8lTOtDmSgzRQiVWgPyJnBSq4rSG+Rns0NIHBYRYnGHDQ1YKu+/ZHt51fsvx8Jmt0Y
lQFs2mj/Idfzanz5meHXZdZcEreHWrjcIUVednXqIAI0unwgx7lUUCmLIpN1FNRZo5ytwf/sPdxc
eBSoFPiMERvHNIjsuP+2mGX/bQYV4BDAt/BcCUrYJNRlZozoBFZCiRH71mObgDeguww3JePX5Ap4
cAkfkWG3slmmFRfTjy6FfWyZR5lxAmkYZ+qWbGpNblFn+fdUw1rGHixqjYPREReDRjVBxln6uLNg
QKQR+MwhNdEHVC3H8DjTTpeo27YF+rCxRmIRNwOJwucuQcmIMwC+haqhMu21iH430ZKrfbyPsagr
aWBxyxFRfsuzov3MkE00x9JI1cXwqFo00RNaSxh5nH4xwO0uyFRRAAKXRMt03xb0C6s+dx5zgJMo
szMBusXw4cwYzfqGHkf7sVS5eGpgjRxQ/bYX6ZDBZ09opt00xmfO+jui10L2UgYGyUx3mtnykM6e
d20BJEaWAubhmW+iLJHuIxMej1zpBFotQEE8uwX9KXIvXRcv92K0u28/6DWlgzfRmGX3LaczJ+hV
w1xYusgwA09JODrNalskW9C88qOKs1xmsBqWnvNmDXoHN2F9o1a8qXcYO2jVqTKR2QEpAv5v5brc
2VbiWAq0nlrcY7IWJliw59tnlyDkPGgWtWLjUegaOBm7Koxzm7bcNbmpQ9NxVvyEyjKCgsbaUxWt
nMh1js26XmoodLp9Z42gjPE382HwxKD+lj3vRacmb4s7OMZSWOLVPSdaiS1NPbtLo9pbmSvKWmEe
OTIW0rXYxOOi1Pz7DkRGt/d6Ro8z4dK3jbGyPvsehtIO6QRFR1/ZUCIaM15uFlSnJIilpf041q39
6CQDnveOWKwitJUh8Tou4rBAQHNDETvWl2ocqztvSdVN0Y6QlbsZ/DqwZ8MjjlSXx5Qwn6uY9C3+
L8U8B1O11EOod5FzR3M9ZVzoQP7YoG1QZ8Iw9FNpJQxgytxHuo8WdQ2hsQJVLeouZ0+7RZjVNMec
RGUqIydH6aR31fu+6Tym2tFQ/lnbsv/uWUt9ZQt3ONOEh/ek5gxz/ZCzMgVLwcI14YHlJGiqeXDw
/Xa7zlbO07y4RthhNSelTZfxjtxFl3bS0KShkdXVfqyH+uxnI5ZuHKnJl9jEO+LWfXOD0I2ucKWi
E/Imt9173eR8pl3Mrrlqli+EDtRHVLKxgr1vLV+qos23ti0WsJojl9GLbKZe+VR9IQvH7cNqTLow
16W7X4tR7NszII9QylLbttSAKwWOxCxPMI9N6BNX8N0vQ07YcZW3zVUmk26n7EH9SZrBtIVCpL3H
s1I+pPmIxEahjUcZxna77SCN5PLR7VFTeSnZQBFqrmAYpbEryUPOoISfmbzpLP9mhOk/lyZjOMct
TGKG8hZpKRFgjuvF9Xrlm+maStc7CNNQdgizkxCwiOboBv9SFFpDnFx5NVahoidRh4xQbSvKevjY
5E7bBGPV7bA4kLeb6E+F29UPWOqBi/rGvOs0nAxDwefA612+563EiHlheb92LALAmljnihIFmV3X
qHRuYZ80t/S4uKk1xKr9o4pg+mgCm9KmW61+27rpRXZiQkqBLUwE0gGrbf8tljDxAhggxt0PXI6O
SeVeugMmR2+YbX2LXYq4u57UJfQ+cHkWfDJa/TkyLELfwNIErirk/3F3dk2NYlsY/itdcx+LzwAX
M1XHGM1oR9u21XZuLEwQSAgQNgTCrz8PJLElfrQzUHO6DuWNEhc7i/251rved5QKi/XYzHT0LeCn
hFQoCRgAklzE4oRwGVMQszEbszhiti04RwkxYwvXX5Ww9cQaQz/z9OUIANSsgAtrHt/FMd0WZocV
NbFzAOJ3EH647Oe8jICyGiGkR6BGxIu/INcw48d1vNIOxcpI74eBkYphONNyZ2FSZYOMVk+/BQEI
bYpniRE8M+Bbw8JFDjeQZ96DWKX2LNbVoa75rju4XzN9fA/KXta7Qr41Ukem4pnnVHtBqIyGypAa
AzRNev3ymIRWfF1aJMkPqZvLr1cIXXztu/Ej2iffSZjKF/OU1DrzKiARxUqoxsliZYq2kTtFoy6/
cjODN8eIp8yAagsL5RAjJ6rp+bDzU0RmnILJIvpZ5EEMy2CfeXwwB/AIxwl8U2faMlqPlwKsb78s
fACZi3kmH/Z5CwCnyHnc9EIQ6sNCToMxYhXaRemXwcVS1rKvC9+ExyeSxYTMajCM0lJ9AICAxAJC
gxXXjeL3D2E8hLuK+v3DPCvRyl0sA6YLtGyh7jG103W+eriPe/lVDj3vpZxl0jjxXf2ved6HxBYm
Xou1skJtLhFfPLdICIyTQldPe1YO1MFbucJW/Dwm5KpayFjo2Rnl+737Qy0lS3giM+UdU1+QgXWT
FeUeepV7ozj2glD9Rv12TBRSLa9ixLI+S+usvEzRsaLgz83vsiBdZkNJCM0/Lfyi0CHDkXroft1D
EnveL6Q8PkF7TYw45fY+zyB8vJZ8+AoGPYqSyH/0DGk+yug85zkr/KO8WopxFserk4KF8CyciUVw
FMN5B42/zPHCY3I7IfcoQzHHzqIHp7exunSVFeoAIarjZNeZ8u7mRUoibB3o6NUpTKOqBAhhsASS
DYXfIsnu4fyOlHFqIHhFxd1SNodmYGhMiHLuRApZzmMEy0sginD7adoSRt2gX45EZvhfxUJeXgNG
ETdmQCnhqkA0rZwVMFwbFLxpwKChAkKyj0h3bsBfgBDHVFqkrEOpBPwAFgw/ONJw1ZdVyTkFwS8j
Geio1VxQoVVcS0neG+t+qiLroaKPbPbUxKDAIdSPUWLR80Gk+JY4yei7j0BKi9sYRrJJrt8bU5KB
VJhIcZ+ye0EsOKBMIjDQcjQh+Ac1uPSPEq9cU86Sxo+6V7hfBGo3rHK+SE9V1PgioOXh8sgr/OX6
UDOSZACEOrnoBflsqEh9VDYtlz27W0KsBY9hBF5Fz7TUBDaEVFlPM1bfAVYgY2G45exCQnxSImcR
BhchnGxkBQCBX3pQBAxYs4WsjRboxBXZTeFR6q1tTrD/N7HQ7RepapeHNf3mZeYk668OJEup2AUK
q7tfIj9Mv0X/7EPvG9piDX8WXaUUnvPpU/DwqVF1i9+zEdgp6bup8/tvqkxFCCFSEyHU+uKgH1BK
vL3ds6wDVeUoQs1/nfqyODDywGdOessN73/DjT/f/0zjG0yodE6r9+D6+yUuBFw+4oM9C898YB1A
o0WlOQff+gJmsOcDSYbXtgow1Nfmgf++D+zpAuEbBn3iT9LngFQyOwBdPuKEPRPPnGAcIFTGsV9G
g7m69jqCLFto1sGZImubJOjmgb+QE+jBL4io6875N4aDYh5AeKLLhLY2154XTHIHJskEaAQ29+kq
/5PhsPcef2CTCXdW6b1WfUGTQDSD/SKlsenwvOvnA8K0DngM5Awm/a6+fjUvKJqiEgZq6wVSLHrF
H775kri14QXlgDuwEGs/po1fqy9w5HpRMPh3R4SmwJ1hkd6CN6O+9iZHQz+AlIW8Mpw19UXE8KNe
+MDk8bTiDjw/mNZrre+I15bktz6wW2Ne3t+uLzWin1xT44PV0rt59mZoVb//0Rh09Rr47OZuTayf
s/337Rd8+ejGs3bfavfHke8kdjLx1vWN9baZ5/aC9fo/gf1gL+znkz8LN+/kR0t+/63Rzmej4CeG
xXzPbpWaaW038cuoyTpO3odtS3vDczsUtthZql4j9Z5M2G0tD+wAGHwS+g13bNbY1rajIErsaUMK
ATAqg6a95TB0JqkP5cHOWOUSMHbMW22NHzmBndtNSVtKSzpw9m478yl6/DSAcm7x0HQ7YKsOeuEx
Xvenjfe53S609cyJEyVus8kVnpktYlvLIzzu+zs7dfdWa4hDW8N/Tm2v0QHhGpM7mEL+pPwElo/m
iNxsR1o3OZxSrdF8f6BWyee2thzle2atSvK2rdmzl3MTmfwOxssZLcsm8/WuiXW/oDSgg0HyOcp8
8cLNwGc76BtjKBudRpvB3XTQ5rFNtGi/PE9ij7571qtn6Kd94Xsr4tgWwp4QAnPStNGnSXprXbjE
n3i+azegT9QEWh2sBWOftUDsk6xxcutgwEDnKqqfOG7MTVChSR1Zj7Jk33QnDY/CdG8OqdLqVvue
cu48JPbe7glIRMWh0XYeOXdWdnPd4mCjdrB9qlSZRu8p1b8tPfOh0VPZf1skswPjb0tKdWD8DqXL
3curZtjtSar126z5D99T4mnb9p8QLLY0f+H5jY3D9pjd1i0X84AdSfNUg2mrg0n2bUqclq744oSh
WAcre++YAKRP6aDdPys9b9n6qyh7QxKKmHKFOWv7SjcPeMn0WZnv4DzyDe87QjiNLYUKHq2DmfGb
UzRPleomzt7WJdep7e0cW80pFApUBEhtzd44yYKVbWeotsxS3MFafONzstnr3irwqw7ONre28PzQ
TZuhfAKKWgdb5FtHpJ9ebTyRqg4637ug9ZYD8xZmIBzTeJt94NW7P7y1nX0t0vSUpnkZf9qlX177
t2ZwrfrEJHDs5I//AgAA//8=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hyperlink" Target="#Map!A1"/></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board!A1"/><Relationship Id="rId1" Type="http://schemas.microsoft.com/office/2014/relationships/chartEx" Target="../charts/chartEx2.xml"/><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24</xdr:col>
      <xdr:colOff>207818</xdr:colOff>
      <xdr:row>71</xdr:row>
      <xdr:rowOff>86595</xdr:rowOff>
    </xdr:to>
    <xdr:sp macro="" textlink="">
      <xdr:nvSpPr>
        <xdr:cNvPr id="2" name="Rectangle: Rounded Corners 1">
          <a:extLst>
            <a:ext uri="{FF2B5EF4-FFF2-40B4-BE49-F238E27FC236}">
              <a16:creationId xmlns:a16="http://schemas.microsoft.com/office/drawing/2014/main" id="{492FDC07-7C49-4F4D-9BB9-2C47E8769D9A}"/>
            </a:ext>
          </a:extLst>
        </xdr:cNvPr>
        <xdr:cNvSpPr/>
      </xdr:nvSpPr>
      <xdr:spPr>
        <a:xfrm>
          <a:off x="0" y="1"/>
          <a:ext cx="14838218" cy="13612094"/>
        </a:xfrm>
        <a:prstGeom prst="roundRect">
          <a:avLst>
            <a:gd name="adj" fmla="val 3309"/>
          </a:avLst>
        </a:prstGeom>
        <a:solidFill>
          <a:schemeClr val="bg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24</xdr:col>
      <xdr:colOff>190500</xdr:colOff>
      <xdr:row>5</xdr:row>
      <xdr:rowOff>35052</xdr:rowOff>
    </xdr:to>
    <xdr:sp macro="" textlink="">
      <xdr:nvSpPr>
        <xdr:cNvPr id="3" name="Rectangle: Rounded Corners 2">
          <a:extLst>
            <a:ext uri="{FF2B5EF4-FFF2-40B4-BE49-F238E27FC236}">
              <a16:creationId xmlns:a16="http://schemas.microsoft.com/office/drawing/2014/main" id="{5E668559-72D3-4E28-A979-6C1A975D988E}"/>
            </a:ext>
          </a:extLst>
        </xdr:cNvPr>
        <xdr:cNvSpPr/>
      </xdr:nvSpPr>
      <xdr:spPr>
        <a:xfrm>
          <a:off x="0" y="0"/>
          <a:ext cx="16815955" cy="900961"/>
        </a:xfrm>
        <a:prstGeom prst="roundRect">
          <a:avLst>
            <a:gd name="adj" fmla="val 3309"/>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Sales And Profit Dashboard</a:t>
          </a:r>
        </a:p>
      </xdr:txBody>
    </xdr:sp>
    <xdr:clientData/>
  </xdr:twoCellAnchor>
  <xdr:twoCellAnchor editAs="oneCell">
    <xdr:from>
      <xdr:col>6</xdr:col>
      <xdr:colOff>256309</xdr:colOff>
      <xdr:row>0</xdr:row>
      <xdr:rowOff>78039</xdr:rowOff>
    </xdr:from>
    <xdr:to>
      <xdr:col>7</xdr:col>
      <xdr:colOff>472787</xdr:colOff>
      <xdr:row>4</xdr:row>
      <xdr:rowOff>58989</xdr:rowOff>
    </xdr:to>
    <xdr:pic>
      <xdr:nvPicPr>
        <xdr:cNvPr id="5" name="Graphic 4" descr="Upward trend with solid fill">
          <a:extLst>
            <a:ext uri="{FF2B5EF4-FFF2-40B4-BE49-F238E27FC236}">
              <a16:creationId xmlns:a16="http://schemas.microsoft.com/office/drawing/2014/main" id="{A8EFCA49-E9F6-5F49-5369-4360A80D031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99622" y="78039"/>
          <a:ext cx="823696" cy="742950"/>
        </a:xfrm>
        <a:prstGeom prst="rect">
          <a:avLst/>
        </a:prstGeom>
      </xdr:spPr>
    </xdr:pic>
    <xdr:clientData/>
  </xdr:twoCellAnchor>
  <xdr:twoCellAnchor>
    <xdr:from>
      <xdr:col>0</xdr:col>
      <xdr:colOff>20728</xdr:colOff>
      <xdr:row>5</xdr:row>
      <xdr:rowOff>51292</xdr:rowOff>
    </xdr:from>
    <xdr:to>
      <xdr:col>2</xdr:col>
      <xdr:colOff>361944</xdr:colOff>
      <xdr:row>71</xdr:row>
      <xdr:rowOff>86597</xdr:rowOff>
    </xdr:to>
    <xdr:sp macro="" textlink="">
      <xdr:nvSpPr>
        <xdr:cNvPr id="6" name="Rectangle: Rounded Corners 5">
          <a:extLst>
            <a:ext uri="{FF2B5EF4-FFF2-40B4-BE49-F238E27FC236}">
              <a16:creationId xmlns:a16="http://schemas.microsoft.com/office/drawing/2014/main" id="{F68AF367-3861-454A-8E18-C099F95A596D}"/>
            </a:ext>
          </a:extLst>
        </xdr:cNvPr>
        <xdr:cNvSpPr/>
      </xdr:nvSpPr>
      <xdr:spPr>
        <a:xfrm rot="5400000">
          <a:off x="-5503217" y="6527737"/>
          <a:ext cx="12608305" cy="1560416"/>
        </a:xfrm>
        <a:prstGeom prst="roundRect">
          <a:avLst>
            <a:gd name="adj" fmla="val 10368"/>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198343</xdr:colOff>
      <xdr:row>5</xdr:row>
      <xdr:rowOff>131024</xdr:rowOff>
    </xdr:from>
    <xdr:to>
      <xdr:col>11</xdr:col>
      <xdr:colOff>52362</xdr:colOff>
      <xdr:row>10</xdr:row>
      <xdr:rowOff>68665</xdr:rowOff>
    </xdr:to>
    <xdr:grpSp>
      <xdr:nvGrpSpPr>
        <xdr:cNvPr id="32" name="Group 31">
          <a:extLst>
            <a:ext uri="{FF2B5EF4-FFF2-40B4-BE49-F238E27FC236}">
              <a16:creationId xmlns:a16="http://schemas.microsoft.com/office/drawing/2014/main" id="{3EEBF72A-B275-6D50-B9FF-87CB3F673199}"/>
            </a:ext>
          </a:extLst>
        </xdr:cNvPr>
        <xdr:cNvGrpSpPr/>
      </xdr:nvGrpSpPr>
      <xdr:grpSpPr>
        <a:xfrm>
          <a:off x="4465543" y="1083524"/>
          <a:ext cx="2292419" cy="890141"/>
          <a:chOff x="4257675" y="1213339"/>
          <a:chExt cx="2292419" cy="890141"/>
        </a:xfrm>
      </xdr:grpSpPr>
      <xdr:grpSp>
        <xdr:nvGrpSpPr>
          <xdr:cNvPr id="19" name="Group 18">
            <a:extLst>
              <a:ext uri="{FF2B5EF4-FFF2-40B4-BE49-F238E27FC236}">
                <a16:creationId xmlns:a16="http://schemas.microsoft.com/office/drawing/2014/main" id="{70BB3EC0-1E37-4EE6-A50B-17F3717C27FD}"/>
              </a:ext>
            </a:extLst>
          </xdr:cNvPr>
          <xdr:cNvGrpSpPr/>
        </xdr:nvGrpSpPr>
        <xdr:grpSpPr>
          <a:xfrm>
            <a:off x="4257675" y="1213339"/>
            <a:ext cx="2292419" cy="890141"/>
            <a:chOff x="1470373" y="1093847"/>
            <a:chExt cx="2277920" cy="890141"/>
          </a:xfrm>
        </xdr:grpSpPr>
        <xdr:sp macro="" textlink="">
          <xdr:nvSpPr>
            <xdr:cNvPr id="20" name="Rectangle: Rounded Corners 19">
              <a:extLst>
                <a:ext uri="{FF2B5EF4-FFF2-40B4-BE49-F238E27FC236}">
                  <a16:creationId xmlns:a16="http://schemas.microsoft.com/office/drawing/2014/main" id="{AFE791B5-AE63-C1EC-B0F1-1AC15CA202F1}"/>
                </a:ext>
              </a:extLst>
            </xdr:cNvPr>
            <xdr:cNvSpPr/>
          </xdr:nvSpPr>
          <xdr:spPr>
            <a:xfrm>
              <a:off x="1470373" y="1093847"/>
              <a:ext cx="2277920" cy="890141"/>
            </a:xfrm>
            <a:prstGeom prst="roundRect">
              <a:avLst>
                <a:gd name="adj" fmla="val 2595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2"/>
                </a:solidFill>
              </a:endParaRPr>
            </a:p>
          </xdr:txBody>
        </xdr:sp>
        <xdr:sp macro="" textlink="">
          <xdr:nvSpPr>
            <xdr:cNvPr id="21" name="TextBox 20">
              <a:extLst>
                <a:ext uri="{FF2B5EF4-FFF2-40B4-BE49-F238E27FC236}">
                  <a16:creationId xmlns:a16="http://schemas.microsoft.com/office/drawing/2014/main" id="{BFAEFF16-1CD7-D6DC-C2E8-E92F5EBBFA6D}"/>
                </a:ext>
              </a:extLst>
            </xdr:cNvPr>
            <xdr:cNvSpPr txBox="1"/>
          </xdr:nvSpPr>
          <xdr:spPr>
            <a:xfrm>
              <a:off x="2241156" y="1150827"/>
              <a:ext cx="1290132" cy="411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solidFill>
                </a:rPr>
                <a:t>Total</a:t>
              </a:r>
              <a:r>
                <a:rPr lang="en-US" sz="1800" b="1" baseline="0">
                  <a:solidFill>
                    <a:schemeClr val="tx2"/>
                  </a:solidFill>
                </a:rPr>
                <a:t> Profit</a:t>
              </a:r>
            </a:p>
          </xdr:txBody>
        </xdr:sp>
        <xdr:sp macro="" textlink="Pivot!B33">
          <xdr:nvSpPr>
            <xdr:cNvPr id="22" name="TextBox 21">
              <a:extLst>
                <a:ext uri="{FF2B5EF4-FFF2-40B4-BE49-F238E27FC236}">
                  <a16:creationId xmlns:a16="http://schemas.microsoft.com/office/drawing/2014/main" id="{3FF7B7C4-EE53-061C-F195-CB82DD0A6C07}"/>
                </a:ext>
              </a:extLst>
            </xdr:cNvPr>
            <xdr:cNvSpPr txBox="1"/>
          </xdr:nvSpPr>
          <xdr:spPr>
            <a:xfrm>
              <a:off x="2241156" y="1548956"/>
              <a:ext cx="1208049" cy="2044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1A7B0E-08B9-4F07-8F55-FE56DDD21BD7}" type="TxLink">
                <a:rPr lang="en-US" sz="1800" b="1" i="0" u="none" strike="noStrike">
                  <a:solidFill>
                    <a:schemeClr val="tx2"/>
                  </a:solidFill>
                  <a:latin typeface="Aptos Narrow"/>
                </a:rPr>
                <a:pPr algn="ctr"/>
                <a:t> 1,610,697 </a:t>
              </a:fld>
              <a:endParaRPr lang="en-US" sz="4400" b="1">
                <a:solidFill>
                  <a:schemeClr val="tx2"/>
                </a:solidFill>
              </a:endParaRPr>
            </a:p>
          </xdr:txBody>
        </xdr:sp>
      </xdr:grpSp>
      <xdr:pic>
        <xdr:nvPicPr>
          <xdr:cNvPr id="28" name="Graphic 27" descr="Money with solid fill">
            <a:extLst>
              <a:ext uri="{FF2B5EF4-FFF2-40B4-BE49-F238E27FC236}">
                <a16:creationId xmlns:a16="http://schemas.microsoft.com/office/drawing/2014/main" id="{CEA4F62C-3A07-D617-E43D-52B3178DB0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33875" y="1228724"/>
            <a:ext cx="731520" cy="731520"/>
          </a:xfrm>
          <a:prstGeom prst="rect">
            <a:avLst/>
          </a:prstGeom>
        </xdr:spPr>
      </xdr:pic>
    </xdr:grpSp>
    <xdr:clientData/>
  </xdr:twoCellAnchor>
  <xdr:twoCellAnchor>
    <xdr:from>
      <xdr:col>3</xdr:col>
      <xdr:colOff>66003</xdr:colOff>
      <xdr:row>5</xdr:row>
      <xdr:rowOff>133479</xdr:rowOff>
    </xdr:from>
    <xdr:to>
      <xdr:col>6</xdr:col>
      <xdr:colOff>527865</xdr:colOff>
      <xdr:row>10</xdr:row>
      <xdr:rowOff>66210</xdr:rowOff>
    </xdr:to>
    <xdr:grpSp>
      <xdr:nvGrpSpPr>
        <xdr:cNvPr id="31" name="Group 30">
          <a:extLst>
            <a:ext uri="{FF2B5EF4-FFF2-40B4-BE49-F238E27FC236}">
              <a16:creationId xmlns:a16="http://schemas.microsoft.com/office/drawing/2014/main" id="{17C8A4D9-1347-C729-6540-98D221A23FA9}"/>
            </a:ext>
          </a:extLst>
        </xdr:cNvPr>
        <xdr:cNvGrpSpPr/>
      </xdr:nvGrpSpPr>
      <xdr:grpSpPr>
        <a:xfrm>
          <a:off x="1894803" y="1085979"/>
          <a:ext cx="2290662" cy="885231"/>
          <a:chOff x="1643789" y="1216663"/>
          <a:chExt cx="2295144" cy="885231"/>
        </a:xfrm>
      </xdr:grpSpPr>
      <xdr:grpSp>
        <xdr:nvGrpSpPr>
          <xdr:cNvPr id="7" name="Group 6">
            <a:extLst>
              <a:ext uri="{FF2B5EF4-FFF2-40B4-BE49-F238E27FC236}">
                <a16:creationId xmlns:a16="http://schemas.microsoft.com/office/drawing/2014/main" id="{28A2BF65-EA1F-408E-81DD-B78657A83A9A}"/>
              </a:ext>
            </a:extLst>
          </xdr:cNvPr>
          <xdr:cNvGrpSpPr/>
        </xdr:nvGrpSpPr>
        <xdr:grpSpPr>
          <a:xfrm>
            <a:off x="1643789" y="1216663"/>
            <a:ext cx="2295144" cy="885231"/>
            <a:chOff x="1527434" y="1093848"/>
            <a:chExt cx="2277920" cy="890141"/>
          </a:xfrm>
        </xdr:grpSpPr>
        <xdr:sp macro="" textlink="">
          <xdr:nvSpPr>
            <xdr:cNvPr id="8" name="Rectangle: Rounded Corners 7">
              <a:extLst>
                <a:ext uri="{FF2B5EF4-FFF2-40B4-BE49-F238E27FC236}">
                  <a16:creationId xmlns:a16="http://schemas.microsoft.com/office/drawing/2014/main" id="{68310A6D-FE2B-09F3-913D-169BEE5AAFC9}"/>
                </a:ext>
              </a:extLst>
            </xdr:cNvPr>
            <xdr:cNvSpPr/>
          </xdr:nvSpPr>
          <xdr:spPr>
            <a:xfrm>
              <a:off x="1527434" y="1093848"/>
              <a:ext cx="2277920" cy="890141"/>
            </a:xfrm>
            <a:prstGeom prst="roundRect">
              <a:avLst>
                <a:gd name="adj" fmla="val 2595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2"/>
                </a:solidFill>
              </a:endParaRPr>
            </a:p>
          </xdr:txBody>
        </xdr:sp>
        <xdr:sp macro="" textlink="">
          <xdr:nvSpPr>
            <xdr:cNvPr id="9" name="TextBox 8">
              <a:extLst>
                <a:ext uri="{FF2B5EF4-FFF2-40B4-BE49-F238E27FC236}">
                  <a16:creationId xmlns:a16="http://schemas.microsoft.com/office/drawing/2014/main" id="{0CF46EA8-82C8-1606-86B7-44AA4EF169A5}"/>
                </a:ext>
              </a:extLst>
            </xdr:cNvPr>
            <xdr:cNvSpPr txBox="1"/>
          </xdr:nvSpPr>
          <xdr:spPr>
            <a:xfrm>
              <a:off x="2211093" y="1264688"/>
              <a:ext cx="1412883" cy="2044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solidFill>
                </a:rPr>
                <a:t>Total</a:t>
              </a:r>
              <a:r>
                <a:rPr lang="en-US" sz="1800" b="1" baseline="0">
                  <a:solidFill>
                    <a:schemeClr val="tx2"/>
                  </a:solidFill>
                </a:rPr>
                <a:t> Sales</a:t>
              </a:r>
              <a:endParaRPr lang="en-US" sz="1800" b="1">
                <a:solidFill>
                  <a:schemeClr val="tx2"/>
                </a:solidFill>
              </a:endParaRPr>
            </a:p>
          </xdr:txBody>
        </xdr:sp>
        <xdr:sp macro="" textlink="Pivot!C16">
          <xdr:nvSpPr>
            <xdr:cNvPr id="10" name="TextBox 9">
              <a:extLst>
                <a:ext uri="{FF2B5EF4-FFF2-40B4-BE49-F238E27FC236}">
                  <a16:creationId xmlns:a16="http://schemas.microsoft.com/office/drawing/2014/main" id="{82E8C1F8-B3A0-340B-8DAF-9AFA9A166E9F}"/>
                </a:ext>
              </a:extLst>
            </xdr:cNvPr>
            <xdr:cNvSpPr txBox="1"/>
          </xdr:nvSpPr>
          <xdr:spPr>
            <a:xfrm>
              <a:off x="2171953" y="1562499"/>
              <a:ext cx="1441744" cy="2044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7F8EB8-3536-4520-A52D-AEE7541FDBFA}" type="TxLink">
                <a:rPr lang="en-US" sz="1800" b="1" i="0" u="none" strike="noStrike">
                  <a:solidFill>
                    <a:schemeClr val="tx2"/>
                  </a:solidFill>
                  <a:latin typeface="Aptos Narrow"/>
                </a:rPr>
                <a:pPr algn="ctr"/>
                <a:t> 6,182,639 </a:t>
              </a:fld>
              <a:endParaRPr lang="en-US" sz="3200" b="1">
                <a:solidFill>
                  <a:schemeClr val="tx2"/>
                </a:solidFill>
              </a:endParaRPr>
            </a:p>
          </xdr:txBody>
        </xdr:sp>
      </xdr:grpSp>
      <xdr:pic>
        <xdr:nvPicPr>
          <xdr:cNvPr id="30" name="Graphic 29" descr="Credit card with solid fill">
            <a:extLst>
              <a:ext uri="{FF2B5EF4-FFF2-40B4-BE49-F238E27FC236}">
                <a16:creationId xmlns:a16="http://schemas.microsoft.com/office/drawing/2014/main" id="{43501B04-2B43-E129-78A0-43237A5C32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14499" y="1245870"/>
            <a:ext cx="809625" cy="802005"/>
          </a:xfrm>
          <a:prstGeom prst="rect">
            <a:avLst/>
          </a:prstGeom>
        </xdr:spPr>
      </xdr:pic>
    </xdr:grpSp>
    <xdr:clientData/>
  </xdr:twoCellAnchor>
  <xdr:twoCellAnchor>
    <xdr:from>
      <xdr:col>2</xdr:col>
      <xdr:colOff>485775</xdr:colOff>
      <xdr:row>11</xdr:row>
      <xdr:rowOff>69344</xdr:rowOff>
    </xdr:from>
    <xdr:to>
      <xdr:col>12</xdr:col>
      <xdr:colOff>44823</xdr:colOff>
      <xdr:row>29</xdr:row>
      <xdr:rowOff>125374</xdr:rowOff>
    </xdr:to>
    <xdr:sp macro="" textlink="">
      <xdr:nvSpPr>
        <xdr:cNvPr id="34" name="Rectangle: Rounded Corners 33">
          <a:extLst>
            <a:ext uri="{FF2B5EF4-FFF2-40B4-BE49-F238E27FC236}">
              <a16:creationId xmlns:a16="http://schemas.microsoft.com/office/drawing/2014/main" id="{D14E1104-AC48-4A99-8B0B-9B91605D2134}"/>
            </a:ext>
          </a:extLst>
        </xdr:cNvPr>
        <xdr:cNvSpPr/>
      </xdr:nvSpPr>
      <xdr:spPr>
        <a:xfrm>
          <a:off x="1704975" y="2164844"/>
          <a:ext cx="5655048" cy="3485030"/>
        </a:xfrm>
        <a:prstGeom prst="roundRect">
          <a:avLst>
            <a:gd name="adj" fmla="val 147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2</xdr:col>
      <xdr:colOff>552451</xdr:colOff>
      <xdr:row>11</xdr:row>
      <xdr:rowOff>114299</xdr:rowOff>
    </xdr:from>
    <xdr:to>
      <xdr:col>11</xdr:col>
      <xdr:colOff>515471</xdr:colOff>
      <xdr:row>29</xdr:row>
      <xdr:rowOff>161924</xdr:rowOff>
    </xdr:to>
    <xdr:graphicFrame macro="">
      <xdr:nvGraphicFramePr>
        <xdr:cNvPr id="33" name="Chart 32">
          <a:extLst>
            <a:ext uri="{FF2B5EF4-FFF2-40B4-BE49-F238E27FC236}">
              <a16:creationId xmlns:a16="http://schemas.microsoft.com/office/drawing/2014/main" id="{645DA595-BA38-4D00-8E13-B0B556DC5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143726</xdr:colOff>
      <xdr:row>5</xdr:row>
      <xdr:rowOff>122450</xdr:rowOff>
    </xdr:from>
    <xdr:to>
      <xdr:col>24</xdr:col>
      <xdr:colOff>33617</xdr:colOff>
      <xdr:row>29</xdr:row>
      <xdr:rowOff>125374</xdr:rowOff>
    </xdr:to>
    <xdr:sp macro="" textlink="">
      <xdr:nvSpPr>
        <xdr:cNvPr id="36" name="Rectangle: Rounded Corners 35">
          <a:extLst>
            <a:ext uri="{FF2B5EF4-FFF2-40B4-BE49-F238E27FC236}">
              <a16:creationId xmlns:a16="http://schemas.microsoft.com/office/drawing/2014/main" id="{E128663A-DEAB-49FB-AD66-36248CF1528B}"/>
            </a:ext>
          </a:extLst>
        </xdr:cNvPr>
        <xdr:cNvSpPr/>
      </xdr:nvSpPr>
      <xdr:spPr>
        <a:xfrm>
          <a:off x="7458926" y="1074950"/>
          <a:ext cx="7205091" cy="4574924"/>
        </a:xfrm>
        <a:prstGeom prst="roundRect">
          <a:avLst>
            <a:gd name="adj" fmla="val 147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13</xdr:col>
      <xdr:colOff>1602</xdr:colOff>
      <xdr:row>6</xdr:row>
      <xdr:rowOff>88046</xdr:rowOff>
    </xdr:from>
    <xdr:to>
      <xdr:col>22</xdr:col>
      <xdr:colOff>593912</xdr:colOff>
      <xdr:row>28</xdr:row>
      <xdr:rowOff>134471</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1F9DA3DD-5997-4FA0-92B1-CEA7986B8B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926402" y="1231046"/>
              <a:ext cx="6078710" cy="4237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515470</xdr:colOff>
      <xdr:row>30</xdr:row>
      <xdr:rowOff>16808</xdr:rowOff>
    </xdr:from>
    <xdr:to>
      <xdr:col>12</xdr:col>
      <xdr:colOff>155863</xdr:colOff>
      <xdr:row>48</xdr:row>
      <xdr:rowOff>72838</xdr:rowOff>
    </xdr:to>
    <xdr:sp macro="" textlink="">
      <xdr:nvSpPr>
        <xdr:cNvPr id="38" name="Rectangle: Rounded Corners 37">
          <a:extLst>
            <a:ext uri="{FF2B5EF4-FFF2-40B4-BE49-F238E27FC236}">
              <a16:creationId xmlns:a16="http://schemas.microsoft.com/office/drawing/2014/main" id="{24F534F7-80A8-471C-B115-A1CD93B2527D}"/>
            </a:ext>
          </a:extLst>
        </xdr:cNvPr>
        <xdr:cNvSpPr/>
      </xdr:nvSpPr>
      <xdr:spPr>
        <a:xfrm>
          <a:off x="1734670" y="5731808"/>
          <a:ext cx="5736393" cy="3485030"/>
        </a:xfrm>
        <a:prstGeom prst="roundRect">
          <a:avLst>
            <a:gd name="adj" fmla="val 147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2</xdr:col>
      <xdr:colOff>571499</xdr:colOff>
      <xdr:row>29</xdr:row>
      <xdr:rowOff>168090</xdr:rowOff>
    </xdr:from>
    <xdr:to>
      <xdr:col>12</xdr:col>
      <xdr:colOff>69272</xdr:colOff>
      <xdr:row>48</xdr:row>
      <xdr:rowOff>17318</xdr:rowOff>
    </xdr:to>
    <xdr:graphicFrame macro="">
      <xdr:nvGraphicFramePr>
        <xdr:cNvPr id="37" name="Chart 36">
          <a:extLst>
            <a:ext uri="{FF2B5EF4-FFF2-40B4-BE49-F238E27FC236}">
              <a16:creationId xmlns:a16="http://schemas.microsoft.com/office/drawing/2014/main" id="{A91225AD-67F3-4A64-A25C-9AD05F056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246529</xdr:colOff>
      <xdr:row>30</xdr:row>
      <xdr:rowOff>11715</xdr:rowOff>
    </xdr:from>
    <xdr:to>
      <xdr:col>18</xdr:col>
      <xdr:colOff>155864</xdr:colOff>
      <xdr:row>48</xdr:row>
      <xdr:rowOff>95249</xdr:rowOff>
    </xdr:to>
    <xdr:sp macro="" textlink="">
      <xdr:nvSpPr>
        <xdr:cNvPr id="40" name="Rectangle: Rounded Corners 39">
          <a:extLst>
            <a:ext uri="{FF2B5EF4-FFF2-40B4-BE49-F238E27FC236}">
              <a16:creationId xmlns:a16="http://schemas.microsoft.com/office/drawing/2014/main" id="{51042371-81D0-4500-9DD5-097DE1F26BDB}"/>
            </a:ext>
          </a:extLst>
        </xdr:cNvPr>
        <xdr:cNvSpPr/>
      </xdr:nvSpPr>
      <xdr:spPr>
        <a:xfrm>
          <a:off x="7561729" y="5726715"/>
          <a:ext cx="3566935" cy="3512534"/>
        </a:xfrm>
        <a:prstGeom prst="roundRect">
          <a:avLst>
            <a:gd name="adj" fmla="val 147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12</xdr:col>
      <xdr:colOff>112059</xdr:colOff>
      <xdr:row>30</xdr:row>
      <xdr:rowOff>69272</xdr:rowOff>
    </xdr:from>
    <xdr:to>
      <xdr:col>18</xdr:col>
      <xdr:colOff>134470</xdr:colOff>
      <xdr:row>47</xdr:row>
      <xdr:rowOff>138546</xdr:rowOff>
    </xdr:to>
    <xdr:graphicFrame macro="">
      <xdr:nvGraphicFramePr>
        <xdr:cNvPr id="39" name="Chart 38">
          <a:extLst>
            <a:ext uri="{FF2B5EF4-FFF2-40B4-BE49-F238E27FC236}">
              <a16:creationId xmlns:a16="http://schemas.microsoft.com/office/drawing/2014/main" id="{A0CF2A3F-11F3-4268-B1F2-54F0C5479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224116</xdr:colOff>
      <xdr:row>30</xdr:row>
      <xdr:rowOff>11715</xdr:rowOff>
    </xdr:from>
    <xdr:to>
      <xdr:col>24</xdr:col>
      <xdr:colOff>69272</xdr:colOff>
      <xdr:row>48</xdr:row>
      <xdr:rowOff>95249</xdr:rowOff>
    </xdr:to>
    <xdr:sp macro="" textlink="">
      <xdr:nvSpPr>
        <xdr:cNvPr id="41" name="Rectangle: Rounded Corners 40">
          <a:extLst>
            <a:ext uri="{FF2B5EF4-FFF2-40B4-BE49-F238E27FC236}">
              <a16:creationId xmlns:a16="http://schemas.microsoft.com/office/drawing/2014/main" id="{5008633F-04E2-4A1D-83C1-D3988292EE78}"/>
            </a:ext>
          </a:extLst>
        </xdr:cNvPr>
        <xdr:cNvSpPr/>
      </xdr:nvSpPr>
      <xdr:spPr>
        <a:xfrm>
          <a:off x="11196916" y="5726715"/>
          <a:ext cx="3502756" cy="3512534"/>
        </a:xfrm>
        <a:prstGeom prst="roundRect">
          <a:avLst>
            <a:gd name="adj" fmla="val 147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18</xdr:col>
      <xdr:colOff>336176</xdr:colOff>
      <xdr:row>30</xdr:row>
      <xdr:rowOff>134471</xdr:rowOff>
    </xdr:from>
    <xdr:to>
      <xdr:col>23</xdr:col>
      <xdr:colOff>415638</xdr:colOff>
      <xdr:row>49</xdr:row>
      <xdr:rowOff>33618</xdr:rowOff>
    </xdr:to>
    <xdr:graphicFrame macro="">
      <xdr:nvGraphicFramePr>
        <xdr:cNvPr id="42" name="Chart 41">
          <a:extLst>
            <a:ext uri="{FF2B5EF4-FFF2-40B4-BE49-F238E27FC236}">
              <a16:creationId xmlns:a16="http://schemas.microsoft.com/office/drawing/2014/main" id="{31B3BE5E-5C67-43A8-BD46-71DC6658F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432955</xdr:colOff>
      <xdr:row>49</xdr:row>
      <xdr:rowOff>34566</xdr:rowOff>
    </xdr:from>
    <xdr:to>
      <xdr:col>13</xdr:col>
      <xdr:colOff>190500</xdr:colOff>
      <xdr:row>70</xdr:row>
      <xdr:rowOff>106326</xdr:rowOff>
    </xdr:to>
    <xdr:sp macro="" textlink="">
      <xdr:nvSpPr>
        <xdr:cNvPr id="44" name="Rectangle: Rounded Corners 43">
          <a:extLst>
            <a:ext uri="{FF2B5EF4-FFF2-40B4-BE49-F238E27FC236}">
              <a16:creationId xmlns:a16="http://schemas.microsoft.com/office/drawing/2014/main" id="{D3E70C35-9E78-4F7E-B3B6-990C7F09380D}"/>
            </a:ext>
          </a:extLst>
        </xdr:cNvPr>
        <xdr:cNvSpPr/>
      </xdr:nvSpPr>
      <xdr:spPr>
        <a:xfrm>
          <a:off x="1652155" y="9369066"/>
          <a:ext cx="6463145" cy="4072260"/>
        </a:xfrm>
        <a:prstGeom prst="roundRect">
          <a:avLst>
            <a:gd name="adj" fmla="val 147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2</xdr:col>
      <xdr:colOff>432954</xdr:colOff>
      <xdr:row>49</xdr:row>
      <xdr:rowOff>11257</xdr:rowOff>
    </xdr:from>
    <xdr:to>
      <xdr:col>13</xdr:col>
      <xdr:colOff>138545</xdr:colOff>
      <xdr:row>70</xdr:row>
      <xdr:rowOff>34637</xdr:rowOff>
    </xdr:to>
    <xdr:graphicFrame macro="">
      <xdr:nvGraphicFramePr>
        <xdr:cNvPr id="43" name="Chart 42">
          <a:extLst>
            <a:ext uri="{FF2B5EF4-FFF2-40B4-BE49-F238E27FC236}">
              <a16:creationId xmlns:a16="http://schemas.microsoft.com/office/drawing/2014/main" id="{D5ECD41E-EA55-42DD-98A4-56597D0A7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363682</xdr:colOff>
      <xdr:row>49</xdr:row>
      <xdr:rowOff>36422</xdr:rowOff>
    </xdr:from>
    <xdr:to>
      <xdr:col>24</xdr:col>
      <xdr:colOff>69272</xdr:colOff>
      <xdr:row>70</xdr:row>
      <xdr:rowOff>104471</xdr:rowOff>
    </xdr:to>
    <xdr:sp macro="" textlink="">
      <xdr:nvSpPr>
        <xdr:cNvPr id="50" name="Rectangle: Rounded Corners 49">
          <a:extLst>
            <a:ext uri="{FF2B5EF4-FFF2-40B4-BE49-F238E27FC236}">
              <a16:creationId xmlns:a16="http://schemas.microsoft.com/office/drawing/2014/main" id="{14A08215-62F4-4AA9-93E7-0A254265EC64}"/>
            </a:ext>
          </a:extLst>
        </xdr:cNvPr>
        <xdr:cNvSpPr/>
      </xdr:nvSpPr>
      <xdr:spPr>
        <a:xfrm>
          <a:off x="8288482" y="9370922"/>
          <a:ext cx="6411190" cy="4068549"/>
        </a:xfrm>
        <a:prstGeom prst="roundRect">
          <a:avLst>
            <a:gd name="adj" fmla="val 147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13</xdr:col>
      <xdr:colOff>502227</xdr:colOff>
      <xdr:row>49</xdr:row>
      <xdr:rowOff>51956</xdr:rowOff>
    </xdr:from>
    <xdr:to>
      <xdr:col>23</xdr:col>
      <xdr:colOff>363682</xdr:colOff>
      <xdr:row>70</xdr:row>
      <xdr:rowOff>9526</xdr:rowOff>
    </xdr:to>
    <xdr:graphicFrame macro="">
      <xdr:nvGraphicFramePr>
        <xdr:cNvPr id="51" name="Chart 50">
          <a:extLst>
            <a:ext uri="{FF2B5EF4-FFF2-40B4-BE49-F238E27FC236}">
              <a16:creationId xmlns:a16="http://schemas.microsoft.com/office/drawing/2014/main" id="{4AB30CAC-A578-48D1-84F5-4A26AE4FE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18527</xdr:colOff>
      <xdr:row>5</xdr:row>
      <xdr:rowOff>188003</xdr:rowOff>
    </xdr:from>
    <xdr:to>
      <xdr:col>2</xdr:col>
      <xdr:colOff>336176</xdr:colOff>
      <xdr:row>16</xdr:row>
      <xdr:rowOff>85724</xdr:rowOff>
    </xdr:to>
    <mc:AlternateContent xmlns:mc="http://schemas.openxmlformats.org/markup-compatibility/2006">
      <mc:Choice xmlns:a14="http://schemas.microsoft.com/office/drawing/2010/main" Requires="a14">
        <xdr:graphicFrame macro="">
          <xdr:nvGraphicFramePr>
            <xdr:cNvPr id="46" name="State">
              <a:extLst>
                <a:ext uri="{FF2B5EF4-FFF2-40B4-BE49-F238E27FC236}">
                  <a16:creationId xmlns:a16="http://schemas.microsoft.com/office/drawing/2014/main" id="{30AA1E77-CEB2-4CEF-9F4E-63D85F4A033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8527" y="1140503"/>
              <a:ext cx="1536849" cy="1993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484910</xdr:colOff>
      <xdr:row>0</xdr:row>
      <xdr:rowOff>155864</xdr:rowOff>
    </xdr:from>
    <xdr:to>
      <xdr:col>23</xdr:col>
      <xdr:colOff>467592</xdr:colOff>
      <xdr:row>4</xdr:row>
      <xdr:rowOff>86591</xdr:rowOff>
    </xdr:to>
    <xdr:sp macro="" textlink="">
      <xdr:nvSpPr>
        <xdr:cNvPr id="4" name="Rectangle: Rounded Corners 3">
          <a:hlinkClick xmlns:r="http://schemas.openxmlformats.org/officeDocument/2006/relationships" r:id="rId14"/>
          <a:extLst>
            <a:ext uri="{FF2B5EF4-FFF2-40B4-BE49-F238E27FC236}">
              <a16:creationId xmlns:a16="http://schemas.microsoft.com/office/drawing/2014/main" id="{E499F964-0FE2-4590-8DB9-BFC8FC465ECC}"/>
            </a:ext>
          </a:extLst>
        </xdr:cNvPr>
        <xdr:cNvSpPr/>
      </xdr:nvSpPr>
      <xdr:spPr>
        <a:xfrm>
          <a:off x="13646728" y="155864"/>
          <a:ext cx="2753591" cy="623454"/>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2"/>
              </a:solidFill>
            </a:rPr>
            <a:t>Map</a:t>
          </a:r>
        </a:p>
      </xdr:txBody>
    </xdr:sp>
    <xdr:clientData/>
  </xdr:twoCellAnchor>
  <xdr:twoCellAnchor editAs="oneCell">
    <xdr:from>
      <xdr:col>0</xdr:col>
      <xdr:colOff>20730</xdr:colOff>
      <xdr:row>42</xdr:row>
      <xdr:rowOff>92282</xdr:rowOff>
    </xdr:from>
    <xdr:to>
      <xdr:col>2</xdr:col>
      <xdr:colOff>345700</xdr:colOff>
      <xdr:row>61</xdr:row>
      <xdr:rowOff>85725</xdr:rowOff>
    </xdr:to>
    <mc:AlternateContent xmlns:mc="http://schemas.openxmlformats.org/markup-compatibility/2006">
      <mc:Choice xmlns:a14="http://schemas.microsoft.com/office/drawing/2010/main" Requires="a14">
        <xdr:graphicFrame macro="">
          <xdr:nvGraphicFramePr>
            <xdr:cNvPr id="48" name="Month Name">
              <a:extLst>
                <a:ext uri="{FF2B5EF4-FFF2-40B4-BE49-F238E27FC236}">
                  <a16:creationId xmlns:a16="http://schemas.microsoft.com/office/drawing/2014/main" id="{C0126BF0-11C4-4AD6-9AB0-68DEE3D27A0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20730" y="8093282"/>
              <a:ext cx="1544170" cy="3612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61</xdr:row>
      <xdr:rowOff>152400</xdr:rowOff>
    </xdr:from>
    <xdr:to>
      <xdr:col>2</xdr:col>
      <xdr:colOff>358588</xdr:colOff>
      <xdr:row>69</xdr:row>
      <xdr:rowOff>0</xdr:rowOff>
    </xdr:to>
    <mc:AlternateContent xmlns:mc="http://schemas.openxmlformats.org/markup-compatibility/2006">
      <mc:Choice xmlns:a14="http://schemas.microsoft.com/office/drawing/2010/main" Requires="a14">
        <xdr:graphicFrame macro="">
          <xdr:nvGraphicFramePr>
            <xdr:cNvPr id="49" name="Year">
              <a:extLst>
                <a:ext uri="{FF2B5EF4-FFF2-40B4-BE49-F238E27FC236}">
                  <a16:creationId xmlns:a16="http://schemas.microsoft.com/office/drawing/2014/main" id="{B5F1FDB7-7BB2-430C-B0FA-E334C3E503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11772900"/>
              <a:ext cx="157778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11206</xdr:colOff>
      <xdr:row>23</xdr:row>
      <xdr:rowOff>79560</xdr:rowOff>
    </xdr:from>
    <xdr:to>
      <xdr:col>2</xdr:col>
      <xdr:colOff>347382</xdr:colOff>
      <xdr:row>42</xdr:row>
      <xdr:rowOff>57150</xdr:rowOff>
    </xdr:to>
    <mc:AlternateContent xmlns:mc="http://schemas.openxmlformats.org/markup-compatibility/2006">
      <mc:Choice xmlns:a14="http://schemas.microsoft.com/office/drawing/2010/main" Requires="a14">
        <xdr:graphicFrame macro="">
          <xdr:nvGraphicFramePr>
            <xdr:cNvPr id="52" name="Sub-Category">
              <a:extLst>
                <a:ext uri="{FF2B5EF4-FFF2-40B4-BE49-F238E27FC236}">
                  <a16:creationId xmlns:a16="http://schemas.microsoft.com/office/drawing/2014/main" id="{BE36C2BD-6CD2-4211-B1CB-2D16A61EF73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1206" y="4461060"/>
              <a:ext cx="1555376" cy="3597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136873</xdr:rowOff>
    </xdr:from>
    <xdr:to>
      <xdr:col>2</xdr:col>
      <xdr:colOff>336176</xdr:colOff>
      <xdr:row>23</xdr:row>
      <xdr:rowOff>28575</xdr:rowOff>
    </xdr:to>
    <mc:AlternateContent xmlns:mc="http://schemas.openxmlformats.org/markup-compatibility/2006">
      <mc:Choice xmlns:a14="http://schemas.microsoft.com/office/drawing/2010/main" Requires="a14">
        <xdr:graphicFrame macro="">
          <xdr:nvGraphicFramePr>
            <xdr:cNvPr id="53" name="Category">
              <a:extLst>
                <a:ext uri="{FF2B5EF4-FFF2-40B4-BE49-F238E27FC236}">
                  <a16:creationId xmlns:a16="http://schemas.microsoft.com/office/drawing/2014/main" id="{680E3274-40ED-467D-82CF-6C49E3D7C1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184873"/>
              <a:ext cx="1555376" cy="1225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17318</xdr:rowOff>
    </xdr:from>
    <xdr:to>
      <xdr:col>23</xdr:col>
      <xdr:colOff>554182</xdr:colOff>
      <xdr:row>51</xdr:row>
      <xdr:rowOff>86591</xdr:rowOff>
    </xdr:to>
    <xdr:sp macro="" textlink="">
      <xdr:nvSpPr>
        <xdr:cNvPr id="2" name="Rectangle: Rounded Corners 1">
          <a:extLst>
            <a:ext uri="{FF2B5EF4-FFF2-40B4-BE49-F238E27FC236}">
              <a16:creationId xmlns:a16="http://schemas.microsoft.com/office/drawing/2014/main" id="{400D87D7-AEAC-427A-8F45-49829A84F214}"/>
            </a:ext>
          </a:extLst>
        </xdr:cNvPr>
        <xdr:cNvSpPr/>
      </xdr:nvSpPr>
      <xdr:spPr>
        <a:xfrm>
          <a:off x="0" y="17318"/>
          <a:ext cx="16486909" cy="8901546"/>
        </a:xfrm>
        <a:prstGeom prst="roundRect">
          <a:avLst>
            <a:gd name="adj" fmla="val 3309"/>
          </a:avLst>
        </a:prstGeom>
        <a:solidFill>
          <a:schemeClr val="bg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23</xdr:col>
      <xdr:colOff>571500</xdr:colOff>
      <xdr:row>5</xdr:row>
      <xdr:rowOff>53607</xdr:rowOff>
    </xdr:to>
    <xdr:sp macro="" textlink="">
      <xdr:nvSpPr>
        <xdr:cNvPr id="3" name="Rectangle: Rounded Corners 2">
          <a:extLst>
            <a:ext uri="{FF2B5EF4-FFF2-40B4-BE49-F238E27FC236}">
              <a16:creationId xmlns:a16="http://schemas.microsoft.com/office/drawing/2014/main" id="{350F7583-688F-4562-A67B-E7C01348720A}"/>
            </a:ext>
          </a:extLst>
        </xdr:cNvPr>
        <xdr:cNvSpPr/>
      </xdr:nvSpPr>
      <xdr:spPr>
        <a:xfrm>
          <a:off x="0" y="0"/>
          <a:ext cx="14654893" cy="1006107"/>
        </a:xfrm>
        <a:prstGeom prst="roundRect">
          <a:avLst>
            <a:gd name="adj" fmla="val 3309"/>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Map</a:t>
          </a:r>
        </a:p>
      </xdr:txBody>
    </xdr:sp>
    <xdr:clientData/>
  </xdr:twoCellAnchor>
  <xdr:twoCellAnchor>
    <xdr:from>
      <xdr:col>0</xdr:col>
      <xdr:colOff>51955</xdr:colOff>
      <xdr:row>5</xdr:row>
      <xdr:rowOff>122465</xdr:rowOff>
    </xdr:from>
    <xdr:to>
      <xdr:col>23</xdr:col>
      <xdr:colOff>484909</xdr:colOff>
      <xdr:row>50</xdr:row>
      <xdr:rowOff>163286</xdr:rowOff>
    </xdr:to>
    <xdr:sp macro="" textlink="">
      <xdr:nvSpPr>
        <xdr:cNvPr id="5" name="Rectangle: Rounded Corners 4">
          <a:extLst>
            <a:ext uri="{FF2B5EF4-FFF2-40B4-BE49-F238E27FC236}">
              <a16:creationId xmlns:a16="http://schemas.microsoft.com/office/drawing/2014/main" id="{75F37D75-DEE5-4A9A-92D7-555523365255}"/>
            </a:ext>
          </a:extLst>
        </xdr:cNvPr>
        <xdr:cNvSpPr/>
      </xdr:nvSpPr>
      <xdr:spPr>
        <a:xfrm>
          <a:off x="51955" y="1006929"/>
          <a:ext cx="16081168" cy="8001000"/>
        </a:xfrm>
        <a:prstGeom prst="roundRect">
          <a:avLst>
            <a:gd name="adj" fmla="val 8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a:p>
      </xdr:txBody>
    </xdr:sp>
    <xdr:clientData/>
  </xdr:twoCellAnchor>
  <xdr:twoCellAnchor>
    <xdr:from>
      <xdr:col>0</xdr:col>
      <xdr:colOff>214003</xdr:colOff>
      <xdr:row>5</xdr:row>
      <xdr:rowOff>155863</xdr:rowOff>
    </xdr:from>
    <xdr:to>
      <xdr:col>23</xdr:col>
      <xdr:colOff>439139</xdr:colOff>
      <xdr:row>50</xdr:row>
      <xdr:rowOff>122464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0E14105-BA5A-46D0-9040-EBFFD15D51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4003" y="1108363"/>
              <a:ext cx="14245936" cy="85391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95250</xdr:colOff>
      <xdr:row>0</xdr:row>
      <xdr:rowOff>163286</xdr:rowOff>
    </xdr:from>
    <xdr:to>
      <xdr:col>23</xdr:col>
      <xdr:colOff>77932</xdr:colOff>
      <xdr:row>4</xdr:row>
      <xdr:rowOff>94013</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36D2FF6-CF8F-4DD4-84E8-C1825CF2FDA9}"/>
            </a:ext>
          </a:extLst>
        </xdr:cNvPr>
        <xdr:cNvSpPr/>
      </xdr:nvSpPr>
      <xdr:spPr>
        <a:xfrm>
          <a:off x="13022036" y="163286"/>
          <a:ext cx="2704110" cy="638298"/>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2"/>
              </a:solidFill>
            </a:rPr>
            <a:t>Dashboard</a:t>
          </a:r>
        </a:p>
      </xdr:txBody>
    </xdr:sp>
    <xdr:clientData/>
  </xdr:twoCellAnchor>
  <xdr:twoCellAnchor editAs="oneCell">
    <xdr:from>
      <xdr:col>10</xdr:col>
      <xdr:colOff>0</xdr:colOff>
      <xdr:row>0</xdr:row>
      <xdr:rowOff>188194</xdr:rowOff>
    </xdr:from>
    <xdr:to>
      <xdr:col>11</xdr:col>
      <xdr:colOff>151984</xdr:colOff>
      <xdr:row>5</xdr:row>
      <xdr:rowOff>0</xdr:rowOff>
    </xdr:to>
    <xdr:pic>
      <xdr:nvPicPr>
        <xdr:cNvPr id="12" name="Graphic 11" descr="Earth Globe - Asia with solid fill">
          <a:extLst>
            <a:ext uri="{FF2B5EF4-FFF2-40B4-BE49-F238E27FC236}">
              <a16:creationId xmlns:a16="http://schemas.microsoft.com/office/drawing/2014/main" id="{D2257273-C8B9-0393-978D-D39394FA1E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23214" y="188194"/>
          <a:ext cx="764306" cy="7643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 Dy" refreshedDate="45996.838730671298" createdVersion="8" refreshedVersion="8" minRefreshableVersion="3" recordCount="1194" xr:uid="{47E8545A-0276-4D7B-AA13-FDB20399E02F}">
  <cacheSource type="worksheet">
    <worksheetSource name="Table1_1"/>
  </cacheSource>
  <cacheFields count="14">
    <cacheField name="Order ID" numFmtId="0">
      <sharedItems/>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Profit Mirging" numFmtId="0">
      <sharedItems containsSemiMixedTypes="0" containsString="0" containsNumber="1" minValue="7.7901843676966998E-3" maxValue="0.5"/>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acheField>
    <cacheField name="State" numFmtId="0">
      <sharedItems count="6">
        <s v="Florida"/>
        <s v="Illinois"/>
        <s v="New York"/>
        <s v="California"/>
        <s v="Texas"/>
        <s v="Ohio"/>
      </sharedItems>
    </cacheField>
    <cacheField name="City" numFmtId="0">
      <sharedItems/>
    </cacheField>
    <cacheField name="Month Name" numFmtId="0">
      <sharedItems count="12">
        <s v="June"/>
        <s v="December"/>
        <s v="July"/>
        <s v="May"/>
        <s v="October"/>
        <s v="November"/>
        <s v="March"/>
        <s v="February"/>
        <s v="January"/>
        <s v="August"/>
        <s v="September"/>
        <s v="April"/>
      </sharedItems>
    </cacheField>
    <cacheField name="Year" numFmtId="0">
      <sharedItems containsSemiMixedTypes="0" containsString="0" containsNumber="1" containsInteger="1" minValue="2020" maxValue="2025" count="6">
        <n v="2023"/>
        <n v="2024"/>
        <n v="2021"/>
        <n v="2022"/>
        <n v="2020"/>
        <n v="2025"/>
      </sharedItems>
    </cacheField>
  </cacheFields>
  <extLst>
    <ext xmlns:x14="http://schemas.microsoft.com/office/spreadsheetml/2009/9/main" uri="{725AE2AE-9491-48be-B2B4-4EB974FC3084}">
      <x14:pivotCacheDefinition pivotCacheId="297658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x v="0"/>
    <n v="9726"/>
    <n v="1275"/>
    <n v="0.13109191856878499"/>
    <n v="5"/>
    <x v="0"/>
    <x v="0"/>
    <x v="0"/>
    <d v="2023-06-27T00:00:00"/>
    <x v="0"/>
    <s v="Miami"/>
    <x v="0"/>
    <x v="0"/>
  </r>
  <r>
    <s v="B-26776"/>
    <x v="1"/>
    <n v="9726"/>
    <n v="1275"/>
    <n v="0.13109191856878499"/>
    <n v="5"/>
    <x v="0"/>
    <x v="0"/>
    <x v="0"/>
    <d v="2024-12-27T00:00:00"/>
    <x v="1"/>
    <s v="Chicago"/>
    <x v="1"/>
    <x v="1"/>
  </r>
  <r>
    <s v="B-26776"/>
    <x v="2"/>
    <n v="9726"/>
    <n v="1275"/>
    <n v="0.13109191856878499"/>
    <n v="5"/>
    <x v="0"/>
    <x v="0"/>
    <x v="0"/>
    <d v="2021-07-25T00:00:00"/>
    <x v="2"/>
    <s v="Buffalo"/>
    <x v="2"/>
    <x v="2"/>
  </r>
  <r>
    <s v="B-26776"/>
    <x v="0"/>
    <n v="4975"/>
    <n v="1330"/>
    <n v="0.267336683417085"/>
    <n v="14"/>
    <x v="0"/>
    <x v="1"/>
    <x v="0"/>
    <d v="2023-06-27T00:00:00"/>
    <x v="0"/>
    <s v="Miami"/>
    <x v="0"/>
    <x v="0"/>
  </r>
  <r>
    <s v="B-26776"/>
    <x v="1"/>
    <n v="4975"/>
    <n v="1330"/>
    <n v="0.267336683417085"/>
    <n v="14"/>
    <x v="0"/>
    <x v="1"/>
    <x v="0"/>
    <d v="2024-12-27T00:00:00"/>
    <x v="1"/>
    <s v="Chicago"/>
    <x v="1"/>
    <x v="1"/>
  </r>
  <r>
    <s v="B-26776"/>
    <x v="2"/>
    <n v="4975"/>
    <n v="1330"/>
    <n v="0.267336683417085"/>
    <n v="14"/>
    <x v="0"/>
    <x v="1"/>
    <x v="0"/>
    <d v="2021-07-25T00:00:00"/>
    <x v="2"/>
    <s v="Buffalo"/>
    <x v="2"/>
    <x v="2"/>
  </r>
  <r>
    <s v="B-26942"/>
    <x v="3"/>
    <n v="1525"/>
    <n v="185"/>
    <n v="0.121311475409836"/>
    <n v="12"/>
    <x v="1"/>
    <x v="2"/>
    <x v="1"/>
    <d v="2024-05-11T00:00:00"/>
    <x v="0"/>
    <s v="Orlando"/>
    <x v="3"/>
    <x v="1"/>
  </r>
  <r>
    <s v="B-26942"/>
    <x v="4"/>
    <n v="1525"/>
    <n v="185"/>
    <n v="0.121311475409836"/>
    <n v="12"/>
    <x v="1"/>
    <x v="2"/>
    <x v="1"/>
    <d v="2021-10-09T00:00:00"/>
    <x v="0"/>
    <s v="Miami"/>
    <x v="4"/>
    <x v="2"/>
  </r>
  <r>
    <s v="B-26640"/>
    <x v="5"/>
    <n v="883"/>
    <n v="117"/>
    <n v="0.13250283125707801"/>
    <n v="10"/>
    <x v="0"/>
    <x v="3"/>
    <x v="2"/>
    <d v="2022-11-18T00:00:00"/>
    <x v="3"/>
    <s v="Los Angeles"/>
    <x v="5"/>
    <x v="3"/>
  </r>
  <r>
    <s v="B-26640"/>
    <x v="5"/>
    <n v="8127"/>
    <n v="3551"/>
    <n v="0.43693859972929699"/>
    <n v="16"/>
    <x v="2"/>
    <x v="4"/>
    <x v="3"/>
    <d v="2022-11-18T00:00:00"/>
    <x v="3"/>
    <s v="Los Angeles"/>
    <x v="5"/>
    <x v="3"/>
  </r>
  <r>
    <s v="B-25890"/>
    <x v="6"/>
    <n v="2516"/>
    <n v="734"/>
    <n v="0.29173290937996799"/>
    <n v="19"/>
    <x v="2"/>
    <x v="5"/>
    <x v="0"/>
    <d v="2023-11-12T00:00:00"/>
    <x v="2"/>
    <s v="New York City"/>
    <x v="5"/>
    <x v="0"/>
  </r>
  <r>
    <s v="B-25102"/>
    <x v="7"/>
    <n v="2975"/>
    <n v="462"/>
    <n v="0.155294117647059"/>
    <n v="14"/>
    <x v="1"/>
    <x v="2"/>
    <x v="3"/>
    <d v="2020-03-23T00:00:00"/>
    <x v="2"/>
    <s v="New York City"/>
    <x v="6"/>
    <x v="4"/>
  </r>
  <r>
    <s v="B-25426"/>
    <x v="8"/>
    <n v="6851"/>
    <n v="2812"/>
    <n v="0.41045102904685399"/>
    <n v="1"/>
    <x v="1"/>
    <x v="6"/>
    <x v="1"/>
    <d v="2020-05-04T00:00:00"/>
    <x v="0"/>
    <s v="Orlando"/>
    <x v="3"/>
    <x v="4"/>
  </r>
  <r>
    <s v="B-25426"/>
    <x v="8"/>
    <n v="7626"/>
    <n v="1046"/>
    <n v="0.13716233936532901"/>
    <n v="15"/>
    <x v="2"/>
    <x v="7"/>
    <x v="3"/>
    <d v="2020-05-04T00:00:00"/>
    <x v="0"/>
    <s v="Orlando"/>
    <x v="3"/>
    <x v="4"/>
  </r>
  <r>
    <s v="B-25426"/>
    <x v="8"/>
    <n v="1023"/>
    <n v="78"/>
    <n v="7.62463343108504E-2"/>
    <n v="9"/>
    <x v="2"/>
    <x v="4"/>
    <x v="0"/>
    <d v="2020-05-04T00:00:00"/>
    <x v="0"/>
    <s v="Orlando"/>
    <x v="3"/>
    <x v="4"/>
  </r>
  <r>
    <s v="B-25238"/>
    <x v="9"/>
    <n v="7600"/>
    <n v="1098"/>
    <n v="0.144473684210526"/>
    <n v="10"/>
    <x v="1"/>
    <x v="2"/>
    <x v="0"/>
    <d v="2023-11-09T00:00:00"/>
    <x v="1"/>
    <s v="Springfield"/>
    <x v="5"/>
    <x v="0"/>
  </r>
  <r>
    <s v="B-25238"/>
    <x v="9"/>
    <n v="7501"/>
    <n v="262"/>
    <n v="3.4928676176509799E-2"/>
    <n v="18"/>
    <x v="1"/>
    <x v="8"/>
    <x v="4"/>
    <d v="2023-11-09T00:00:00"/>
    <x v="1"/>
    <s v="Springfield"/>
    <x v="5"/>
    <x v="0"/>
  </r>
  <r>
    <s v="B-25051"/>
    <x v="10"/>
    <n v="725"/>
    <n v="133"/>
    <n v="0.18344827586206899"/>
    <n v="6"/>
    <x v="1"/>
    <x v="8"/>
    <x v="3"/>
    <d v="2024-12-30T00:00:00"/>
    <x v="2"/>
    <s v="Rochester"/>
    <x v="1"/>
    <x v="1"/>
  </r>
  <r>
    <s v="B-25051"/>
    <x v="10"/>
    <n v="7201"/>
    <n v="2685"/>
    <n v="0.37286487987779499"/>
    <n v="2"/>
    <x v="2"/>
    <x v="4"/>
    <x v="3"/>
    <d v="2024-12-30T00:00:00"/>
    <x v="2"/>
    <s v="Rochester"/>
    <x v="1"/>
    <x v="1"/>
  </r>
  <r>
    <s v="B-26510"/>
    <x v="11"/>
    <n v="1629"/>
    <n v="265"/>
    <n v="0.162676488643339"/>
    <n v="1"/>
    <x v="1"/>
    <x v="8"/>
    <x v="0"/>
    <d v="2025-02-11T00:00:00"/>
    <x v="4"/>
    <s v="Dallas"/>
    <x v="7"/>
    <x v="5"/>
  </r>
  <r>
    <s v="B-26510"/>
    <x v="12"/>
    <n v="1629"/>
    <n v="265"/>
    <n v="0.162676488643339"/>
    <n v="1"/>
    <x v="1"/>
    <x v="8"/>
    <x v="0"/>
    <d v="2024-01-23T00:00:00"/>
    <x v="3"/>
    <s v="San Diego"/>
    <x v="8"/>
    <x v="1"/>
  </r>
  <r>
    <s v="B-25104"/>
    <x v="13"/>
    <n v="8971"/>
    <n v="2971"/>
    <n v="0.33117824099877402"/>
    <n v="19"/>
    <x v="1"/>
    <x v="9"/>
    <x v="1"/>
    <d v="2020-11-28T00:00:00"/>
    <x v="3"/>
    <s v="San Diego"/>
    <x v="5"/>
    <x v="4"/>
  </r>
  <r>
    <s v="B-25104"/>
    <x v="13"/>
    <n v="2939"/>
    <n v="894"/>
    <n v="0.30418509697175899"/>
    <n v="20"/>
    <x v="1"/>
    <x v="9"/>
    <x v="4"/>
    <d v="2020-11-28T00:00:00"/>
    <x v="3"/>
    <s v="San Diego"/>
    <x v="5"/>
    <x v="4"/>
  </r>
  <r>
    <s v="B-25553"/>
    <x v="14"/>
    <n v="9380"/>
    <n v="414"/>
    <n v="4.4136460554371003E-2"/>
    <n v="11"/>
    <x v="0"/>
    <x v="10"/>
    <x v="0"/>
    <d v="2024-05-30T00:00:00"/>
    <x v="2"/>
    <s v="Rochester"/>
    <x v="3"/>
    <x v="1"/>
  </r>
  <r>
    <s v="B-25553"/>
    <x v="14"/>
    <n v="8558"/>
    <n v="1644"/>
    <n v="0.19210095816779599"/>
    <n v="18"/>
    <x v="1"/>
    <x v="9"/>
    <x v="3"/>
    <d v="2024-05-30T00:00:00"/>
    <x v="2"/>
    <s v="Rochester"/>
    <x v="3"/>
    <x v="1"/>
  </r>
  <r>
    <s v="B-25553"/>
    <x v="14"/>
    <n v="4080"/>
    <n v="72"/>
    <n v="1.7647058823529401E-2"/>
    <n v="17"/>
    <x v="1"/>
    <x v="8"/>
    <x v="4"/>
    <d v="2024-05-30T00:00:00"/>
    <x v="2"/>
    <s v="Rochester"/>
    <x v="3"/>
    <x v="1"/>
  </r>
  <r>
    <s v="B-26703"/>
    <x v="15"/>
    <n v="4206"/>
    <n v="1821"/>
    <n v="0.43295292439372302"/>
    <n v="17"/>
    <x v="0"/>
    <x v="0"/>
    <x v="2"/>
    <d v="2022-01-23T00:00:00"/>
    <x v="4"/>
    <s v="Austin"/>
    <x v="8"/>
    <x v="3"/>
  </r>
  <r>
    <s v="B-26232"/>
    <x v="16"/>
    <n v="5219"/>
    <n v="1180"/>
    <n v="0.22609695343935601"/>
    <n v="20"/>
    <x v="1"/>
    <x v="9"/>
    <x v="4"/>
    <d v="2021-12-17T00:00:00"/>
    <x v="2"/>
    <s v="New York City"/>
    <x v="1"/>
    <x v="2"/>
  </r>
  <r>
    <s v="B-26232"/>
    <x v="17"/>
    <n v="5219"/>
    <n v="1180"/>
    <n v="0.22609695343935601"/>
    <n v="20"/>
    <x v="1"/>
    <x v="9"/>
    <x v="4"/>
    <d v="2023-02-03T00:00:00"/>
    <x v="3"/>
    <s v="San Francisco"/>
    <x v="7"/>
    <x v="0"/>
  </r>
  <r>
    <s v="B-25394"/>
    <x v="18"/>
    <n v="3686"/>
    <n v="760"/>
    <n v="0.20618556701030899"/>
    <n v="20"/>
    <x v="1"/>
    <x v="2"/>
    <x v="1"/>
    <d v="2022-10-30T00:00:00"/>
    <x v="3"/>
    <s v="San Francisco"/>
    <x v="4"/>
    <x v="3"/>
  </r>
  <r>
    <s v="B-25394"/>
    <x v="19"/>
    <n v="3686"/>
    <n v="760"/>
    <n v="0.20618556701030899"/>
    <n v="20"/>
    <x v="1"/>
    <x v="2"/>
    <x v="1"/>
    <d v="2022-01-15T00:00:00"/>
    <x v="5"/>
    <s v="Columbus"/>
    <x v="8"/>
    <x v="3"/>
  </r>
  <r>
    <s v="B-26157"/>
    <x v="20"/>
    <n v="6045"/>
    <n v="1606"/>
    <n v="0.26567411083540099"/>
    <n v="4"/>
    <x v="1"/>
    <x v="8"/>
    <x v="4"/>
    <d v="2023-12-14T00:00:00"/>
    <x v="0"/>
    <s v="Orlando"/>
    <x v="1"/>
    <x v="0"/>
  </r>
  <r>
    <s v="B-26157"/>
    <x v="20"/>
    <n v="9337"/>
    <n v="554"/>
    <n v="5.9333833136981901E-2"/>
    <n v="11"/>
    <x v="1"/>
    <x v="2"/>
    <x v="4"/>
    <d v="2023-12-14T00:00:00"/>
    <x v="0"/>
    <s v="Orlando"/>
    <x v="1"/>
    <x v="0"/>
  </r>
  <r>
    <s v="B-25555"/>
    <x v="21"/>
    <n v="4051"/>
    <n v="1848"/>
    <n v="0.45618365835596197"/>
    <n v="12"/>
    <x v="0"/>
    <x v="10"/>
    <x v="3"/>
    <d v="2023-07-03T00:00:00"/>
    <x v="3"/>
    <s v="San Diego"/>
    <x v="2"/>
    <x v="0"/>
  </r>
  <r>
    <s v="B-25555"/>
    <x v="22"/>
    <n v="4051"/>
    <n v="1848"/>
    <n v="0.45618365835596197"/>
    <n v="12"/>
    <x v="0"/>
    <x v="10"/>
    <x v="3"/>
    <d v="2021-05-08T00:00:00"/>
    <x v="5"/>
    <s v="Cincinnati"/>
    <x v="3"/>
    <x v="2"/>
  </r>
  <r>
    <s v="B-25555"/>
    <x v="21"/>
    <n v="5011"/>
    <n v="866"/>
    <n v="0.17281979644781501"/>
    <n v="11"/>
    <x v="2"/>
    <x v="11"/>
    <x v="3"/>
    <d v="2023-07-03T00:00:00"/>
    <x v="3"/>
    <s v="San Diego"/>
    <x v="2"/>
    <x v="0"/>
  </r>
  <r>
    <s v="B-25555"/>
    <x v="22"/>
    <n v="5011"/>
    <n v="866"/>
    <n v="0.17281979644781501"/>
    <n v="11"/>
    <x v="2"/>
    <x v="11"/>
    <x v="3"/>
    <d v="2021-05-08T00:00:00"/>
    <x v="5"/>
    <s v="Cincinnati"/>
    <x v="3"/>
    <x v="2"/>
  </r>
  <r>
    <s v="B-26139"/>
    <x v="23"/>
    <n v="3958"/>
    <n v="630"/>
    <n v="0.159171298635675"/>
    <n v="15"/>
    <x v="2"/>
    <x v="7"/>
    <x v="2"/>
    <d v="2022-10-07T00:00:00"/>
    <x v="0"/>
    <s v="Orlando"/>
    <x v="4"/>
    <x v="3"/>
  </r>
  <r>
    <s v="B-26139"/>
    <x v="23"/>
    <n v="3132"/>
    <n v="963"/>
    <n v="0.30747126436781602"/>
    <n v="1"/>
    <x v="2"/>
    <x v="4"/>
    <x v="1"/>
    <d v="2022-10-07T00:00:00"/>
    <x v="0"/>
    <s v="Orlando"/>
    <x v="4"/>
    <x v="3"/>
  </r>
  <r>
    <s v="B-25032"/>
    <x v="24"/>
    <n v="7784"/>
    <n v="2937"/>
    <n v="0.37731243576567303"/>
    <n v="12"/>
    <x v="1"/>
    <x v="6"/>
    <x v="0"/>
    <d v="2024-08-06T00:00:00"/>
    <x v="3"/>
    <s v="San Francisco"/>
    <x v="9"/>
    <x v="1"/>
  </r>
  <r>
    <s v="B-25032"/>
    <x v="24"/>
    <n v="5591"/>
    <n v="1696"/>
    <n v="0.30334466106242203"/>
    <n v="3"/>
    <x v="1"/>
    <x v="2"/>
    <x v="4"/>
    <d v="2024-08-06T00:00:00"/>
    <x v="3"/>
    <s v="San Francisco"/>
    <x v="9"/>
    <x v="1"/>
  </r>
  <r>
    <s v="B-25032"/>
    <x v="24"/>
    <n v="5122"/>
    <n v="2413"/>
    <n v="0.47110503709488499"/>
    <n v="12"/>
    <x v="0"/>
    <x v="0"/>
    <x v="4"/>
    <d v="2024-08-06T00:00:00"/>
    <x v="3"/>
    <s v="San Francisco"/>
    <x v="9"/>
    <x v="1"/>
  </r>
  <r>
    <s v="B-25730"/>
    <x v="25"/>
    <n v="8293"/>
    <n v="2632"/>
    <n v="0.317376100325576"/>
    <n v="8"/>
    <x v="1"/>
    <x v="9"/>
    <x v="4"/>
    <d v="2022-01-05T00:00:00"/>
    <x v="5"/>
    <s v="Cleveland"/>
    <x v="8"/>
    <x v="3"/>
  </r>
  <r>
    <s v="B-25730"/>
    <x v="26"/>
    <n v="8293"/>
    <n v="2632"/>
    <n v="0.317376100325576"/>
    <n v="8"/>
    <x v="1"/>
    <x v="9"/>
    <x v="4"/>
    <d v="2020-10-17T00:00:00"/>
    <x v="2"/>
    <s v="Rochester"/>
    <x v="4"/>
    <x v="4"/>
  </r>
  <r>
    <s v="B-25730"/>
    <x v="27"/>
    <n v="8293"/>
    <n v="2632"/>
    <n v="0.317376100325576"/>
    <n v="8"/>
    <x v="1"/>
    <x v="9"/>
    <x v="4"/>
    <d v="2023-08-21T00:00:00"/>
    <x v="3"/>
    <s v="Los Angeles"/>
    <x v="9"/>
    <x v="0"/>
  </r>
  <r>
    <s v="B-25730"/>
    <x v="25"/>
    <n v="2863"/>
    <n v="205"/>
    <n v="7.1603213412504405E-2"/>
    <n v="17"/>
    <x v="0"/>
    <x v="10"/>
    <x v="0"/>
    <d v="2022-01-05T00:00:00"/>
    <x v="5"/>
    <s v="Cleveland"/>
    <x v="8"/>
    <x v="3"/>
  </r>
  <r>
    <s v="B-25730"/>
    <x v="26"/>
    <n v="2863"/>
    <n v="205"/>
    <n v="7.1603213412504405E-2"/>
    <n v="17"/>
    <x v="0"/>
    <x v="10"/>
    <x v="0"/>
    <d v="2020-10-17T00:00:00"/>
    <x v="2"/>
    <s v="Rochester"/>
    <x v="4"/>
    <x v="4"/>
  </r>
  <r>
    <s v="B-25730"/>
    <x v="27"/>
    <n v="2863"/>
    <n v="205"/>
    <n v="7.1603213412504405E-2"/>
    <n v="17"/>
    <x v="0"/>
    <x v="10"/>
    <x v="0"/>
    <d v="2023-08-21T00:00:00"/>
    <x v="3"/>
    <s v="Los Angeles"/>
    <x v="9"/>
    <x v="0"/>
  </r>
  <r>
    <s v="B-26470"/>
    <x v="28"/>
    <n v="3090"/>
    <n v="573"/>
    <n v="0.18543689320388401"/>
    <n v="6"/>
    <x v="2"/>
    <x v="4"/>
    <x v="2"/>
    <d v="2024-12-27T00:00:00"/>
    <x v="3"/>
    <s v="San Diego"/>
    <x v="1"/>
    <x v="1"/>
  </r>
  <r>
    <s v="B-26470"/>
    <x v="29"/>
    <n v="3090"/>
    <n v="573"/>
    <n v="0.18543689320388401"/>
    <n v="6"/>
    <x v="2"/>
    <x v="4"/>
    <x v="2"/>
    <d v="2021-06-18T00:00:00"/>
    <x v="5"/>
    <s v="Cincinnati"/>
    <x v="0"/>
    <x v="2"/>
  </r>
  <r>
    <s v="B-26470"/>
    <x v="30"/>
    <n v="3090"/>
    <n v="573"/>
    <n v="0.18543689320388401"/>
    <n v="6"/>
    <x v="2"/>
    <x v="4"/>
    <x v="2"/>
    <d v="2023-05-27T00:00:00"/>
    <x v="4"/>
    <s v="Austin"/>
    <x v="3"/>
    <x v="0"/>
  </r>
  <r>
    <s v="B-26470"/>
    <x v="31"/>
    <n v="3090"/>
    <n v="573"/>
    <n v="0.18543689320388401"/>
    <n v="6"/>
    <x v="2"/>
    <x v="4"/>
    <x v="2"/>
    <d v="2021-10-12T00:00:00"/>
    <x v="4"/>
    <s v="Dallas"/>
    <x v="4"/>
    <x v="2"/>
  </r>
  <r>
    <s v="B-26470"/>
    <x v="28"/>
    <n v="9683"/>
    <n v="1014"/>
    <n v="0.104719611690592"/>
    <n v="5"/>
    <x v="0"/>
    <x v="1"/>
    <x v="0"/>
    <d v="2024-12-27T00:00:00"/>
    <x v="3"/>
    <s v="San Diego"/>
    <x v="1"/>
    <x v="1"/>
  </r>
  <r>
    <s v="B-26470"/>
    <x v="29"/>
    <n v="9683"/>
    <n v="1014"/>
    <n v="0.104719611690592"/>
    <n v="5"/>
    <x v="0"/>
    <x v="1"/>
    <x v="0"/>
    <d v="2021-06-18T00:00:00"/>
    <x v="5"/>
    <s v="Cincinnati"/>
    <x v="0"/>
    <x v="2"/>
  </r>
  <r>
    <s v="B-26470"/>
    <x v="30"/>
    <n v="9683"/>
    <n v="1014"/>
    <n v="0.104719611690592"/>
    <n v="5"/>
    <x v="0"/>
    <x v="1"/>
    <x v="0"/>
    <d v="2023-05-27T00:00:00"/>
    <x v="4"/>
    <s v="Austin"/>
    <x v="3"/>
    <x v="0"/>
  </r>
  <r>
    <s v="B-26470"/>
    <x v="31"/>
    <n v="9683"/>
    <n v="1014"/>
    <n v="0.104719611690592"/>
    <n v="5"/>
    <x v="0"/>
    <x v="1"/>
    <x v="0"/>
    <d v="2021-10-12T00:00:00"/>
    <x v="4"/>
    <s v="Dallas"/>
    <x v="4"/>
    <x v="2"/>
  </r>
  <r>
    <s v="B-25988"/>
    <x v="32"/>
    <n v="2463"/>
    <n v="648"/>
    <n v="0.263093788063337"/>
    <n v="18"/>
    <x v="2"/>
    <x v="4"/>
    <x v="2"/>
    <d v="2022-09-19T00:00:00"/>
    <x v="5"/>
    <s v="Cincinnati"/>
    <x v="10"/>
    <x v="3"/>
  </r>
  <r>
    <s v="B-25568"/>
    <x v="33"/>
    <n v="7811"/>
    <n v="1538"/>
    <n v="0.196901805146588"/>
    <n v="12"/>
    <x v="2"/>
    <x v="7"/>
    <x v="4"/>
    <d v="2022-03-25T00:00:00"/>
    <x v="0"/>
    <s v="Miami"/>
    <x v="6"/>
    <x v="3"/>
  </r>
  <r>
    <s v="B-26730"/>
    <x v="34"/>
    <n v="6139"/>
    <n v="451"/>
    <n v="7.3464733669978799E-2"/>
    <n v="10"/>
    <x v="2"/>
    <x v="4"/>
    <x v="1"/>
    <d v="2022-02-26T00:00:00"/>
    <x v="0"/>
    <s v="Orlando"/>
    <x v="7"/>
    <x v="3"/>
  </r>
  <r>
    <s v="B-26730"/>
    <x v="17"/>
    <n v="6139"/>
    <n v="451"/>
    <n v="7.3464733669978799E-2"/>
    <n v="10"/>
    <x v="2"/>
    <x v="4"/>
    <x v="1"/>
    <d v="2021-04-05T00:00:00"/>
    <x v="4"/>
    <s v="Houston"/>
    <x v="11"/>
    <x v="2"/>
  </r>
  <r>
    <s v="B-26730"/>
    <x v="34"/>
    <n v="8636"/>
    <n v="3192"/>
    <n v="0.36961556276053698"/>
    <n v="3"/>
    <x v="2"/>
    <x v="5"/>
    <x v="4"/>
    <d v="2022-02-26T00:00:00"/>
    <x v="0"/>
    <s v="Orlando"/>
    <x v="7"/>
    <x v="3"/>
  </r>
  <r>
    <s v="B-26730"/>
    <x v="17"/>
    <n v="8636"/>
    <n v="3192"/>
    <n v="0.36961556276053698"/>
    <n v="3"/>
    <x v="2"/>
    <x v="5"/>
    <x v="4"/>
    <d v="2021-04-05T00:00:00"/>
    <x v="4"/>
    <s v="Houston"/>
    <x v="11"/>
    <x v="2"/>
  </r>
  <r>
    <s v="B-26730"/>
    <x v="34"/>
    <n v="4439"/>
    <n v="1712"/>
    <n v="0.38567244874971801"/>
    <n v="19"/>
    <x v="2"/>
    <x v="7"/>
    <x v="3"/>
    <d v="2022-02-26T00:00:00"/>
    <x v="0"/>
    <s v="Orlando"/>
    <x v="7"/>
    <x v="3"/>
  </r>
  <r>
    <s v="B-26730"/>
    <x v="17"/>
    <n v="4439"/>
    <n v="1712"/>
    <n v="0.38567244874971801"/>
    <n v="19"/>
    <x v="2"/>
    <x v="7"/>
    <x v="3"/>
    <d v="2021-04-05T00:00:00"/>
    <x v="4"/>
    <s v="Houston"/>
    <x v="11"/>
    <x v="2"/>
  </r>
  <r>
    <s v="B-25372"/>
    <x v="35"/>
    <n v="1016"/>
    <n v="172"/>
    <n v="0.169291338582677"/>
    <n v="20"/>
    <x v="2"/>
    <x v="4"/>
    <x v="1"/>
    <d v="2020-11-16T00:00:00"/>
    <x v="2"/>
    <s v="Buffalo"/>
    <x v="5"/>
    <x v="4"/>
  </r>
  <r>
    <s v="B-25372"/>
    <x v="35"/>
    <n v="5768"/>
    <n v="2059"/>
    <n v="0.35696948682385599"/>
    <n v="14"/>
    <x v="2"/>
    <x v="4"/>
    <x v="0"/>
    <d v="2020-11-16T00:00:00"/>
    <x v="2"/>
    <s v="Buffalo"/>
    <x v="5"/>
    <x v="4"/>
  </r>
  <r>
    <s v="B-25372"/>
    <x v="35"/>
    <n v="1217"/>
    <n v="151"/>
    <n v="0.12407559572719799"/>
    <n v="3"/>
    <x v="2"/>
    <x v="4"/>
    <x v="3"/>
    <d v="2020-11-16T00:00:00"/>
    <x v="2"/>
    <s v="Buffalo"/>
    <x v="5"/>
    <x v="4"/>
  </r>
  <r>
    <s v="B-26026"/>
    <x v="36"/>
    <n v="953"/>
    <n v="93"/>
    <n v="9.7586568730325299E-2"/>
    <n v="2"/>
    <x v="1"/>
    <x v="8"/>
    <x v="1"/>
    <d v="2024-12-12T00:00:00"/>
    <x v="5"/>
    <s v="Cleveland"/>
    <x v="1"/>
    <x v="1"/>
  </r>
  <r>
    <s v="B-26026"/>
    <x v="37"/>
    <n v="953"/>
    <n v="93"/>
    <n v="9.7586568730325299E-2"/>
    <n v="2"/>
    <x v="1"/>
    <x v="8"/>
    <x v="1"/>
    <d v="2023-04-06T00:00:00"/>
    <x v="3"/>
    <s v="Los Angeles"/>
    <x v="11"/>
    <x v="0"/>
  </r>
  <r>
    <s v="B-26026"/>
    <x v="36"/>
    <n v="7355"/>
    <n v="1034"/>
    <n v="0.14058463630183499"/>
    <n v="3"/>
    <x v="2"/>
    <x v="7"/>
    <x v="4"/>
    <d v="2024-12-12T00:00:00"/>
    <x v="5"/>
    <s v="Cleveland"/>
    <x v="1"/>
    <x v="1"/>
  </r>
  <r>
    <s v="B-26026"/>
    <x v="37"/>
    <n v="7355"/>
    <n v="1034"/>
    <n v="0.14058463630183499"/>
    <n v="3"/>
    <x v="2"/>
    <x v="7"/>
    <x v="4"/>
    <d v="2023-04-06T00:00:00"/>
    <x v="3"/>
    <s v="Los Angeles"/>
    <x v="11"/>
    <x v="0"/>
  </r>
  <r>
    <s v="B-26026"/>
    <x v="36"/>
    <n v="1843"/>
    <n v="248"/>
    <n v="0.134563212154097"/>
    <n v="3"/>
    <x v="0"/>
    <x v="10"/>
    <x v="3"/>
    <d v="2024-12-12T00:00:00"/>
    <x v="5"/>
    <s v="Cleveland"/>
    <x v="1"/>
    <x v="1"/>
  </r>
  <r>
    <s v="B-26026"/>
    <x v="37"/>
    <n v="1843"/>
    <n v="248"/>
    <n v="0.134563212154097"/>
    <n v="3"/>
    <x v="0"/>
    <x v="10"/>
    <x v="3"/>
    <d v="2023-04-06T00:00:00"/>
    <x v="3"/>
    <s v="Los Angeles"/>
    <x v="11"/>
    <x v="0"/>
  </r>
  <r>
    <s v="B-26026"/>
    <x v="36"/>
    <n v="1603"/>
    <n v="361"/>
    <n v="0.2252027448534"/>
    <n v="10"/>
    <x v="1"/>
    <x v="2"/>
    <x v="1"/>
    <d v="2024-12-12T00:00:00"/>
    <x v="5"/>
    <s v="Cleveland"/>
    <x v="1"/>
    <x v="1"/>
  </r>
  <r>
    <s v="B-26026"/>
    <x v="37"/>
    <n v="1603"/>
    <n v="361"/>
    <n v="0.2252027448534"/>
    <n v="10"/>
    <x v="1"/>
    <x v="2"/>
    <x v="1"/>
    <d v="2023-04-06T00:00:00"/>
    <x v="3"/>
    <s v="Los Angeles"/>
    <x v="11"/>
    <x v="0"/>
  </r>
  <r>
    <s v="B-25295"/>
    <x v="38"/>
    <n v="2025"/>
    <n v="528"/>
    <n v="0.26074074074074099"/>
    <n v="1"/>
    <x v="1"/>
    <x v="2"/>
    <x v="3"/>
    <d v="2024-01-28T00:00:00"/>
    <x v="0"/>
    <s v="Miami"/>
    <x v="8"/>
    <x v="1"/>
  </r>
  <r>
    <s v="B-25295"/>
    <x v="38"/>
    <n v="6800"/>
    <n v="167"/>
    <n v="2.45588235294118E-2"/>
    <n v="16"/>
    <x v="1"/>
    <x v="9"/>
    <x v="2"/>
    <d v="2024-01-28T00:00:00"/>
    <x v="0"/>
    <s v="Miami"/>
    <x v="8"/>
    <x v="1"/>
  </r>
  <r>
    <s v="B-26121"/>
    <x v="39"/>
    <n v="1126"/>
    <n v="55"/>
    <n v="4.8845470692717601E-2"/>
    <n v="1"/>
    <x v="2"/>
    <x v="11"/>
    <x v="0"/>
    <d v="2022-01-16T00:00:00"/>
    <x v="0"/>
    <s v="Tampa"/>
    <x v="8"/>
    <x v="3"/>
  </r>
  <r>
    <s v="B-26121"/>
    <x v="40"/>
    <n v="1126"/>
    <n v="55"/>
    <n v="4.8845470692717601E-2"/>
    <n v="1"/>
    <x v="2"/>
    <x v="11"/>
    <x v="0"/>
    <d v="2022-12-16T00:00:00"/>
    <x v="2"/>
    <s v="Buffalo"/>
    <x v="1"/>
    <x v="3"/>
  </r>
  <r>
    <s v="B-25560"/>
    <x v="41"/>
    <n v="7533"/>
    <n v="3508"/>
    <n v="0.465684322315147"/>
    <n v="12"/>
    <x v="2"/>
    <x v="4"/>
    <x v="0"/>
    <d v="2023-07-13T00:00:00"/>
    <x v="3"/>
    <s v="San Diego"/>
    <x v="2"/>
    <x v="0"/>
  </r>
  <r>
    <s v="B-25560"/>
    <x v="41"/>
    <n v="4734"/>
    <n v="1178"/>
    <n v="0.24883819180397099"/>
    <n v="16"/>
    <x v="1"/>
    <x v="9"/>
    <x v="3"/>
    <d v="2023-07-13T00:00:00"/>
    <x v="3"/>
    <s v="San Diego"/>
    <x v="2"/>
    <x v="0"/>
  </r>
  <r>
    <s v="B-25560"/>
    <x v="41"/>
    <n v="4074"/>
    <n v="1175"/>
    <n v="0.28841433480608702"/>
    <n v="6"/>
    <x v="0"/>
    <x v="0"/>
    <x v="1"/>
    <d v="2023-07-13T00:00:00"/>
    <x v="3"/>
    <s v="San Diego"/>
    <x v="2"/>
    <x v="0"/>
  </r>
  <r>
    <s v="B-25560"/>
    <x v="41"/>
    <n v="2334"/>
    <n v="484"/>
    <n v="0.207369323050557"/>
    <n v="3"/>
    <x v="2"/>
    <x v="7"/>
    <x v="3"/>
    <d v="2023-07-13T00:00:00"/>
    <x v="3"/>
    <s v="San Diego"/>
    <x v="2"/>
    <x v="0"/>
  </r>
  <r>
    <s v="B-26076"/>
    <x v="42"/>
    <n v="2750"/>
    <n v="1239"/>
    <n v="0.45054545454545403"/>
    <n v="11"/>
    <x v="0"/>
    <x v="10"/>
    <x v="1"/>
    <d v="2025-03-10T00:00:00"/>
    <x v="2"/>
    <s v="Buffalo"/>
    <x v="6"/>
    <x v="5"/>
  </r>
  <r>
    <s v="B-26076"/>
    <x v="43"/>
    <n v="2750"/>
    <n v="1239"/>
    <n v="0.45054545454545403"/>
    <n v="11"/>
    <x v="0"/>
    <x v="10"/>
    <x v="1"/>
    <d v="2024-09-24T00:00:00"/>
    <x v="5"/>
    <s v="Cleveland"/>
    <x v="10"/>
    <x v="1"/>
  </r>
  <r>
    <s v="B-26076"/>
    <x v="42"/>
    <n v="8639"/>
    <n v="3104"/>
    <n v="0.35930084500520898"/>
    <n v="19"/>
    <x v="1"/>
    <x v="2"/>
    <x v="2"/>
    <d v="2025-03-10T00:00:00"/>
    <x v="2"/>
    <s v="Buffalo"/>
    <x v="6"/>
    <x v="5"/>
  </r>
  <r>
    <s v="B-26076"/>
    <x v="43"/>
    <n v="8639"/>
    <n v="3104"/>
    <n v="0.35930084500520898"/>
    <n v="19"/>
    <x v="1"/>
    <x v="2"/>
    <x v="2"/>
    <d v="2024-09-24T00:00:00"/>
    <x v="5"/>
    <s v="Cleveland"/>
    <x v="10"/>
    <x v="1"/>
  </r>
  <r>
    <s v="B-25872"/>
    <x v="44"/>
    <n v="3808"/>
    <n v="1192"/>
    <n v="0.313025210084034"/>
    <n v="4"/>
    <x v="1"/>
    <x v="6"/>
    <x v="0"/>
    <d v="2020-04-13T00:00:00"/>
    <x v="2"/>
    <s v="New York City"/>
    <x v="11"/>
    <x v="4"/>
  </r>
  <r>
    <s v="B-25872"/>
    <x v="44"/>
    <n v="2588"/>
    <n v="705"/>
    <n v="0.27241112828439001"/>
    <n v="16"/>
    <x v="1"/>
    <x v="2"/>
    <x v="3"/>
    <d v="2020-04-13T00:00:00"/>
    <x v="2"/>
    <s v="New York City"/>
    <x v="11"/>
    <x v="4"/>
  </r>
  <r>
    <s v="B-26185"/>
    <x v="45"/>
    <n v="1591"/>
    <n v="727"/>
    <n v="0.45694531741043398"/>
    <n v="5"/>
    <x v="0"/>
    <x v="0"/>
    <x v="3"/>
    <d v="2022-06-27T00:00:00"/>
    <x v="1"/>
    <s v="Springfield"/>
    <x v="0"/>
    <x v="3"/>
  </r>
  <r>
    <s v="B-26185"/>
    <x v="46"/>
    <n v="1591"/>
    <n v="727"/>
    <n v="0.45694531741043398"/>
    <n v="5"/>
    <x v="0"/>
    <x v="0"/>
    <x v="3"/>
    <d v="2021-03-14T00:00:00"/>
    <x v="0"/>
    <s v="Tampa"/>
    <x v="6"/>
    <x v="2"/>
  </r>
  <r>
    <s v="B-26185"/>
    <x v="47"/>
    <n v="1591"/>
    <n v="727"/>
    <n v="0.45694531741043398"/>
    <n v="5"/>
    <x v="0"/>
    <x v="0"/>
    <x v="3"/>
    <d v="2022-02-23T00:00:00"/>
    <x v="5"/>
    <s v="Cincinnati"/>
    <x v="7"/>
    <x v="3"/>
  </r>
  <r>
    <s v="B-26259"/>
    <x v="48"/>
    <n v="1757"/>
    <n v="622"/>
    <n v="0.35401252134319899"/>
    <n v="10"/>
    <x v="2"/>
    <x v="5"/>
    <x v="0"/>
    <d v="2022-03-29T00:00:00"/>
    <x v="5"/>
    <s v="Cleveland"/>
    <x v="6"/>
    <x v="3"/>
  </r>
  <r>
    <s v="B-26259"/>
    <x v="49"/>
    <n v="1757"/>
    <n v="622"/>
    <n v="0.35401252134319899"/>
    <n v="10"/>
    <x v="2"/>
    <x v="5"/>
    <x v="0"/>
    <d v="2022-11-20T00:00:00"/>
    <x v="1"/>
    <s v="Peoria"/>
    <x v="5"/>
    <x v="3"/>
  </r>
  <r>
    <s v="B-25142"/>
    <x v="50"/>
    <n v="6940"/>
    <n v="253"/>
    <n v="3.6455331412103803E-2"/>
    <n v="15"/>
    <x v="2"/>
    <x v="11"/>
    <x v="1"/>
    <d v="2021-11-12T00:00:00"/>
    <x v="0"/>
    <s v="Orlando"/>
    <x v="5"/>
    <x v="2"/>
  </r>
  <r>
    <s v="B-25142"/>
    <x v="50"/>
    <n v="5105"/>
    <n v="465"/>
    <n v="9.1087169441723806E-2"/>
    <n v="5"/>
    <x v="0"/>
    <x v="1"/>
    <x v="0"/>
    <d v="2021-11-12T00:00:00"/>
    <x v="0"/>
    <s v="Orlando"/>
    <x v="5"/>
    <x v="2"/>
  </r>
  <r>
    <s v="B-25326"/>
    <x v="51"/>
    <n v="5578"/>
    <n v="277"/>
    <n v="4.9659376120473303E-2"/>
    <n v="16"/>
    <x v="2"/>
    <x v="4"/>
    <x v="4"/>
    <d v="2021-08-17T00:00:00"/>
    <x v="0"/>
    <s v="Miami"/>
    <x v="9"/>
    <x v="2"/>
  </r>
  <r>
    <s v="B-25326"/>
    <x v="52"/>
    <n v="5578"/>
    <n v="277"/>
    <n v="4.9659376120473303E-2"/>
    <n v="16"/>
    <x v="2"/>
    <x v="4"/>
    <x v="4"/>
    <d v="2022-05-16T00:00:00"/>
    <x v="5"/>
    <s v="Columbus"/>
    <x v="3"/>
    <x v="3"/>
  </r>
  <r>
    <s v="B-26795"/>
    <x v="53"/>
    <n v="5224"/>
    <n v="1958"/>
    <n v="0.37480857580398202"/>
    <n v="16"/>
    <x v="2"/>
    <x v="5"/>
    <x v="3"/>
    <d v="2023-07-16T00:00:00"/>
    <x v="4"/>
    <s v="Houston"/>
    <x v="2"/>
    <x v="0"/>
  </r>
  <r>
    <s v="B-26795"/>
    <x v="53"/>
    <n v="5002"/>
    <n v="1801"/>
    <n v="0.36005597760895602"/>
    <n v="11"/>
    <x v="1"/>
    <x v="6"/>
    <x v="3"/>
    <d v="2023-07-16T00:00:00"/>
    <x v="4"/>
    <s v="Houston"/>
    <x v="2"/>
    <x v="0"/>
  </r>
  <r>
    <s v="B-26795"/>
    <x v="53"/>
    <n v="7380"/>
    <n v="1673"/>
    <n v="0.22669376693766899"/>
    <n v="18"/>
    <x v="1"/>
    <x v="6"/>
    <x v="4"/>
    <d v="2023-07-16T00:00:00"/>
    <x v="4"/>
    <s v="Houston"/>
    <x v="2"/>
    <x v="0"/>
  </r>
  <r>
    <s v="B-25660"/>
    <x v="54"/>
    <n v="7595"/>
    <n v="2873"/>
    <n v="0.378275181040158"/>
    <n v="4"/>
    <x v="2"/>
    <x v="5"/>
    <x v="1"/>
    <d v="2020-08-18T00:00:00"/>
    <x v="3"/>
    <s v="Los Angeles"/>
    <x v="9"/>
    <x v="4"/>
  </r>
  <r>
    <s v="B-25660"/>
    <x v="55"/>
    <n v="7595"/>
    <n v="2873"/>
    <n v="0.378275181040158"/>
    <n v="4"/>
    <x v="2"/>
    <x v="5"/>
    <x v="1"/>
    <d v="2022-04-19T00:00:00"/>
    <x v="2"/>
    <s v="Rochester"/>
    <x v="11"/>
    <x v="3"/>
  </r>
  <r>
    <s v="B-25410"/>
    <x v="56"/>
    <n v="1954"/>
    <n v="294"/>
    <n v="0.15046059365404299"/>
    <n v="7"/>
    <x v="2"/>
    <x v="7"/>
    <x v="1"/>
    <d v="2022-12-23T00:00:00"/>
    <x v="4"/>
    <s v="Austin"/>
    <x v="1"/>
    <x v="3"/>
  </r>
  <r>
    <s v="B-25690"/>
    <x v="57"/>
    <n v="523"/>
    <n v="95"/>
    <n v="0.18164435946462701"/>
    <n v="20"/>
    <x v="0"/>
    <x v="1"/>
    <x v="2"/>
    <d v="2024-12-07T00:00:00"/>
    <x v="4"/>
    <s v="Dallas"/>
    <x v="1"/>
    <x v="1"/>
  </r>
  <r>
    <s v="B-26464"/>
    <x v="58"/>
    <n v="5704"/>
    <n v="714"/>
    <n v="0.125175315568022"/>
    <n v="13"/>
    <x v="0"/>
    <x v="3"/>
    <x v="2"/>
    <d v="2022-02-03T00:00:00"/>
    <x v="4"/>
    <s v="Austin"/>
    <x v="7"/>
    <x v="3"/>
  </r>
  <r>
    <s v="B-26464"/>
    <x v="59"/>
    <n v="5704"/>
    <n v="714"/>
    <n v="0.125175315568022"/>
    <n v="13"/>
    <x v="0"/>
    <x v="3"/>
    <x v="2"/>
    <d v="2021-12-12T00:00:00"/>
    <x v="3"/>
    <s v="San Diego"/>
    <x v="1"/>
    <x v="2"/>
  </r>
  <r>
    <s v="B-26464"/>
    <x v="58"/>
    <n v="8797"/>
    <n v="1010"/>
    <n v="0.114811867682164"/>
    <n v="8"/>
    <x v="2"/>
    <x v="4"/>
    <x v="0"/>
    <d v="2022-02-03T00:00:00"/>
    <x v="4"/>
    <s v="Austin"/>
    <x v="7"/>
    <x v="3"/>
  </r>
  <r>
    <s v="B-26464"/>
    <x v="59"/>
    <n v="8797"/>
    <n v="1010"/>
    <n v="0.114811867682164"/>
    <n v="8"/>
    <x v="2"/>
    <x v="4"/>
    <x v="0"/>
    <d v="2021-12-12T00:00:00"/>
    <x v="3"/>
    <s v="San Diego"/>
    <x v="1"/>
    <x v="2"/>
  </r>
  <r>
    <s v="B-26464"/>
    <x v="58"/>
    <n v="9236"/>
    <n v="2899"/>
    <n v="0.31388046773494999"/>
    <n v="5"/>
    <x v="0"/>
    <x v="3"/>
    <x v="1"/>
    <d v="2022-02-03T00:00:00"/>
    <x v="4"/>
    <s v="Austin"/>
    <x v="7"/>
    <x v="3"/>
  </r>
  <r>
    <s v="B-26464"/>
    <x v="59"/>
    <n v="9236"/>
    <n v="2899"/>
    <n v="0.31388046773494999"/>
    <n v="5"/>
    <x v="0"/>
    <x v="3"/>
    <x v="1"/>
    <d v="2021-12-12T00:00:00"/>
    <x v="3"/>
    <s v="San Diego"/>
    <x v="1"/>
    <x v="2"/>
  </r>
  <r>
    <s v="B-26454"/>
    <x v="60"/>
    <n v="9109"/>
    <n v="586"/>
    <n v="6.4331979361071503E-2"/>
    <n v="17"/>
    <x v="2"/>
    <x v="7"/>
    <x v="2"/>
    <d v="2020-05-17T00:00:00"/>
    <x v="0"/>
    <s v="Miami"/>
    <x v="3"/>
    <x v="4"/>
  </r>
  <r>
    <s v="B-26742"/>
    <x v="61"/>
    <n v="4358"/>
    <n v="526"/>
    <n v="0.120697567691602"/>
    <n v="19"/>
    <x v="0"/>
    <x v="10"/>
    <x v="3"/>
    <d v="2022-12-05T00:00:00"/>
    <x v="4"/>
    <s v="Dallas"/>
    <x v="1"/>
    <x v="3"/>
  </r>
  <r>
    <s v="B-26742"/>
    <x v="62"/>
    <n v="4358"/>
    <n v="526"/>
    <n v="0.120697567691602"/>
    <n v="19"/>
    <x v="0"/>
    <x v="10"/>
    <x v="3"/>
    <d v="2024-09-17T00:00:00"/>
    <x v="3"/>
    <s v="San Francisco"/>
    <x v="10"/>
    <x v="1"/>
  </r>
  <r>
    <s v="B-26742"/>
    <x v="61"/>
    <n v="6459"/>
    <n v="825"/>
    <n v="0.127728750580585"/>
    <n v="8"/>
    <x v="0"/>
    <x v="10"/>
    <x v="3"/>
    <d v="2022-12-05T00:00:00"/>
    <x v="4"/>
    <s v="Dallas"/>
    <x v="1"/>
    <x v="3"/>
  </r>
  <r>
    <s v="B-26742"/>
    <x v="62"/>
    <n v="6459"/>
    <n v="825"/>
    <n v="0.127728750580585"/>
    <n v="8"/>
    <x v="0"/>
    <x v="10"/>
    <x v="3"/>
    <d v="2024-09-17T00:00:00"/>
    <x v="3"/>
    <s v="San Francisco"/>
    <x v="10"/>
    <x v="1"/>
  </r>
  <r>
    <s v="B-25510"/>
    <x v="63"/>
    <n v="2478"/>
    <n v="92"/>
    <n v="3.71267150928168E-2"/>
    <n v="12"/>
    <x v="2"/>
    <x v="11"/>
    <x v="4"/>
    <d v="2023-05-08T00:00:00"/>
    <x v="3"/>
    <s v="San Francisco"/>
    <x v="3"/>
    <x v="0"/>
  </r>
  <r>
    <s v="B-25510"/>
    <x v="64"/>
    <n v="2478"/>
    <n v="92"/>
    <n v="3.71267150928168E-2"/>
    <n v="12"/>
    <x v="2"/>
    <x v="11"/>
    <x v="4"/>
    <d v="2021-03-03T00:00:00"/>
    <x v="2"/>
    <s v="New York City"/>
    <x v="6"/>
    <x v="2"/>
  </r>
  <r>
    <s v="B-25510"/>
    <x v="65"/>
    <n v="2478"/>
    <n v="92"/>
    <n v="3.71267150928168E-2"/>
    <n v="12"/>
    <x v="2"/>
    <x v="11"/>
    <x v="4"/>
    <d v="2021-03-18T00:00:00"/>
    <x v="3"/>
    <s v="San Francisco"/>
    <x v="6"/>
    <x v="2"/>
  </r>
  <r>
    <s v="B-25510"/>
    <x v="66"/>
    <n v="2478"/>
    <n v="92"/>
    <n v="3.71267150928168E-2"/>
    <n v="12"/>
    <x v="2"/>
    <x v="11"/>
    <x v="4"/>
    <d v="2023-04-24T00:00:00"/>
    <x v="5"/>
    <s v="Cleveland"/>
    <x v="11"/>
    <x v="0"/>
  </r>
  <r>
    <s v="B-25936"/>
    <x v="67"/>
    <n v="9992"/>
    <n v="3696"/>
    <n v="0.36989591673338701"/>
    <n v="20"/>
    <x v="1"/>
    <x v="2"/>
    <x v="1"/>
    <d v="2021-10-09T00:00:00"/>
    <x v="2"/>
    <s v="Rochester"/>
    <x v="4"/>
    <x v="2"/>
  </r>
  <r>
    <s v="B-25936"/>
    <x v="68"/>
    <n v="9992"/>
    <n v="3696"/>
    <n v="0.36989591673338701"/>
    <n v="20"/>
    <x v="1"/>
    <x v="2"/>
    <x v="1"/>
    <d v="2022-04-15T00:00:00"/>
    <x v="4"/>
    <s v="Austin"/>
    <x v="11"/>
    <x v="3"/>
  </r>
  <r>
    <s v="B-25936"/>
    <x v="69"/>
    <n v="9992"/>
    <n v="3696"/>
    <n v="0.36989591673338701"/>
    <n v="20"/>
    <x v="1"/>
    <x v="2"/>
    <x v="1"/>
    <d v="2022-08-29T00:00:00"/>
    <x v="2"/>
    <s v="Rochester"/>
    <x v="9"/>
    <x v="3"/>
  </r>
  <r>
    <s v="B-25936"/>
    <x v="67"/>
    <n v="9619"/>
    <n v="3420"/>
    <n v="0.35554631458571601"/>
    <n v="7"/>
    <x v="1"/>
    <x v="9"/>
    <x v="0"/>
    <d v="2021-10-09T00:00:00"/>
    <x v="2"/>
    <s v="Rochester"/>
    <x v="4"/>
    <x v="2"/>
  </r>
  <r>
    <s v="B-25936"/>
    <x v="68"/>
    <n v="9619"/>
    <n v="3420"/>
    <n v="0.35554631458571601"/>
    <n v="7"/>
    <x v="1"/>
    <x v="9"/>
    <x v="0"/>
    <d v="2022-04-15T00:00:00"/>
    <x v="4"/>
    <s v="Austin"/>
    <x v="11"/>
    <x v="3"/>
  </r>
  <r>
    <s v="B-25936"/>
    <x v="69"/>
    <n v="9619"/>
    <n v="3420"/>
    <n v="0.35554631458571601"/>
    <n v="7"/>
    <x v="1"/>
    <x v="9"/>
    <x v="0"/>
    <d v="2022-08-29T00:00:00"/>
    <x v="2"/>
    <s v="Rochester"/>
    <x v="9"/>
    <x v="3"/>
  </r>
  <r>
    <s v="B-25884"/>
    <x v="70"/>
    <n v="9538"/>
    <n v="3158"/>
    <n v="0.33109666596770798"/>
    <n v="20"/>
    <x v="0"/>
    <x v="1"/>
    <x v="3"/>
    <d v="2024-09-04T00:00:00"/>
    <x v="3"/>
    <s v="San Francisco"/>
    <x v="10"/>
    <x v="1"/>
  </r>
  <r>
    <s v="B-25884"/>
    <x v="71"/>
    <n v="9538"/>
    <n v="3158"/>
    <n v="0.33109666596770798"/>
    <n v="20"/>
    <x v="0"/>
    <x v="1"/>
    <x v="3"/>
    <d v="2021-05-18T00:00:00"/>
    <x v="5"/>
    <s v="Cleveland"/>
    <x v="3"/>
    <x v="2"/>
  </r>
  <r>
    <s v="B-25884"/>
    <x v="70"/>
    <n v="9035"/>
    <n v="1227"/>
    <n v="0.13580520199225199"/>
    <n v="14"/>
    <x v="2"/>
    <x v="5"/>
    <x v="2"/>
    <d v="2024-09-04T00:00:00"/>
    <x v="3"/>
    <s v="San Francisco"/>
    <x v="10"/>
    <x v="1"/>
  </r>
  <r>
    <s v="B-25884"/>
    <x v="71"/>
    <n v="9035"/>
    <n v="1227"/>
    <n v="0.13580520199225199"/>
    <n v="14"/>
    <x v="2"/>
    <x v="5"/>
    <x v="2"/>
    <d v="2021-05-18T00:00:00"/>
    <x v="5"/>
    <s v="Cleveland"/>
    <x v="3"/>
    <x v="2"/>
  </r>
  <r>
    <s v="B-26287"/>
    <x v="72"/>
    <n v="2684"/>
    <n v="670"/>
    <n v="0.249627421758569"/>
    <n v="2"/>
    <x v="1"/>
    <x v="8"/>
    <x v="4"/>
    <d v="2024-07-02T00:00:00"/>
    <x v="0"/>
    <s v="Tampa"/>
    <x v="2"/>
    <x v="1"/>
  </r>
  <r>
    <s v="B-26287"/>
    <x v="72"/>
    <n v="822"/>
    <n v="147"/>
    <n v="0.178832116788321"/>
    <n v="5"/>
    <x v="2"/>
    <x v="7"/>
    <x v="3"/>
    <d v="2024-07-02T00:00:00"/>
    <x v="0"/>
    <s v="Tampa"/>
    <x v="2"/>
    <x v="1"/>
  </r>
  <r>
    <s v="B-26287"/>
    <x v="72"/>
    <n v="9730"/>
    <n v="2341"/>
    <n v="0.24059609455292899"/>
    <n v="2"/>
    <x v="2"/>
    <x v="5"/>
    <x v="2"/>
    <d v="2024-07-02T00:00:00"/>
    <x v="0"/>
    <s v="Tampa"/>
    <x v="2"/>
    <x v="1"/>
  </r>
  <r>
    <s v="B-26287"/>
    <x v="72"/>
    <n v="2483"/>
    <n v="236"/>
    <n v="9.50463149416029E-2"/>
    <n v="2"/>
    <x v="0"/>
    <x v="0"/>
    <x v="4"/>
    <d v="2024-07-02T00:00:00"/>
    <x v="0"/>
    <s v="Tampa"/>
    <x v="2"/>
    <x v="1"/>
  </r>
  <r>
    <s v="B-26564"/>
    <x v="73"/>
    <n v="1297"/>
    <n v="600"/>
    <n v="0.46260601387818001"/>
    <n v="7"/>
    <x v="1"/>
    <x v="9"/>
    <x v="3"/>
    <d v="2024-02-16T00:00:00"/>
    <x v="0"/>
    <s v="Orlando"/>
    <x v="7"/>
    <x v="1"/>
  </r>
  <r>
    <s v="B-26564"/>
    <x v="73"/>
    <n v="7909"/>
    <n v="1942"/>
    <n v="0.245543052218991"/>
    <n v="19"/>
    <x v="0"/>
    <x v="10"/>
    <x v="4"/>
    <d v="2024-02-16T00:00:00"/>
    <x v="0"/>
    <s v="Orlando"/>
    <x v="7"/>
    <x v="1"/>
  </r>
  <r>
    <s v="B-26293"/>
    <x v="74"/>
    <n v="9768"/>
    <n v="4518"/>
    <n v="0.46253071253071298"/>
    <n v="8"/>
    <x v="2"/>
    <x v="4"/>
    <x v="3"/>
    <d v="2021-11-26T00:00:00"/>
    <x v="4"/>
    <s v="Dallas"/>
    <x v="5"/>
    <x v="2"/>
  </r>
  <r>
    <s v="B-26293"/>
    <x v="74"/>
    <n v="4968"/>
    <n v="934"/>
    <n v="0.18800322061191599"/>
    <n v="5"/>
    <x v="2"/>
    <x v="7"/>
    <x v="1"/>
    <d v="2021-11-26T00:00:00"/>
    <x v="4"/>
    <s v="Dallas"/>
    <x v="5"/>
    <x v="2"/>
  </r>
  <r>
    <s v="B-26293"/>
    <x v="74"/>
    <n v="1731"/>
    <n v="149"/>
    <n v="8.6077411900635503E-2"/>
    <n v="4"/>
    <x v="0"/>
    <x v="3"/>
    <x v="2"/>
    <d v="2021-11-26T00:00:00"/>
    <x v="4"/>
    <s v="Dallas"/>
    <x v="5"/>
    <x v="2"/>
  </r>
  <r>
    <s v="B-25915"/>
    <x v="75"/>
    <n v="3433"/>
    <n v="1169"/>
    <n v="0.34051849694145098"/>
    <n v="10"/>
    <x v="1"/>
    <x v="9"/>
    <x v="4"/>
    <d v="2024-02-01T00:00:00"/>
    <x v="3"/>
    <s v="San Francisco"/>
    <x v="7"/>
    <x v="1"/>
  </r>
  <r>
    <s v="B-25915"/>
    <x v="76"/>
    <n v="3433"/>
    <n v="1169"/>
    <n v="0.34051849694145098"/>
    <n v="10"/>
    <x v="1"/>
    <x v="9"/>
    <x v="4"/>
    <d v="2021-09-09T00:00:00"/>
    <x v="1"/>
    <s v="Springfield"/>
    <x v="10"/>
    <x v="2"/>
  </r>
  <r>
    <s v="B-25915"/>
    <x v="77"/>
    <n v="3433"/>
    <n v="1169"/>
    <n v="0.34051849694145098"/>
    <n v="10"/>
    <x v="1"/>
    <x v="9"/>
    <x v="4"/>
    <d v="2021-09-08T00:00:00"/>
    <x v="3"/>
    <s v="San Diego"/>
    <x v="10"/>
    <x v="2"/>
  </r>
  <r>
    <s v="B-25915"/>
    <x v="75"/>
    <n v="3887"/>
    <n v="1490"/>
    <n v="0.38332904553640301"/>
    <n v="1"/>
    <x v="1"/>
    <x v="9"/>
    <x v="1"/>
    <d v="2024-02-01T00:00:00"/>
    <x v="3"/>
    <s v="San Francisco"/>
    <x v="7"/>
    <x v="1"/>
  </r>
  <r>
    <s v="B-25915"/>
    <x v="76"/>
    <n v="3887"/>
    <n v="1490"/>
    <n v="0.38332904553640301"/>
    <n v="1"/>
    <x v="1"/>
    <x v="9"/>
    <x v="1"/>
    <d v="2021-09-09T00:00:00"/>
    <x v="1"/>
    <s v="Springfield"/>
    <x v="10"/>
    <x v="2"/>
  </r>
  <r>
    <s v="B-25915"/>
    <x v="77"/>
    <n v="3887"/>
    <n v="1490"/>
    <n v="0.38332904553640301"/>
    <n v="1"/>
    <x v="1"/>
    <x v="9"/>
    <x v="1"/>
    <d v="2021-09-08T00:00:00"/>
    <x v="3"/>
    <s v="San Diego"/>
    <x v="10"/>
    <x v="2"/>
  </r>
  <r>
    <s v="B-26496"/>
    <x v="78"/>
    <n v="1801"/>
    <n v="641"/>
    <n v="0.35591338145474699"/>
    <n v="20"/>
    <x v="1"/>
    <x v="6"/>
    <x v="3"/>
    <d v="2024-07-09T00:00:00"/>
    <x v="3"/>
    <s v="Los Angeles"/>
    <x v="2"/>
    <x v="1"/>
  </r>
  <r>
    <s v="B-26496"/>
    <x v="78"/>
    <n v="5301"/>
    <n v="817"/>
    <n v="0.154121863799283"/>
    <n v="10"/>
    <x v="2"/>
    <x v="4"/>
    <x v="1"/>
    <d v="2024-07-09T00:00:00"/>
    <x v="3"/>
    <s v="Los Angeles"/>
    <x v="2"/>
    <x v="1"/>
  </r>
  <r>
    <s v="B-26496"/>
    <x v="78"/>
    <n v="1166"/>
    <n v="520"/>
    <n v="0.44596912521440801"/>
    <n v="12"/>
    <x v="1"/>
    <x v="8"/>
    <x v="1"/>
    <d v="2024-07-09T00:00:00"/>
    <x v="3"/>
    <s v="Los Angeles"/>
    <x v="2"/>
    <x v="1"/>
  </r>
  <r>
    <s v="B-26496"/>
    <x v="78"/>
    <n v="3196"/>
    <n v="1411"/>
    <n v="0.44148936170212799"/>
    <n v="15"/>
    <x v="1"/>
    <x v="8"/>
    <x v="1"/>
    <d v="2024-07-09T00:00:00"/>
    <x v="3"/>
    <s v="Los Angeles"/>
    <x v="2"/>
    <x v="1"/>
  </r>
  <r>
    <s v="B-25856"/>
    <x v="79"/>
    <n v="3428"/>
    <n v="350"/>
    <n v="0.102100350058343"/>
    <n v="1"/>
    <x v="2"/>
    <x v="5"/>
    <x v="3"/>
    <d v="2023-02-28T00:00:00"/>
    <x v="1"/>
    <s v="Springfield"/>
    <x v="7"/>
    <x v="0"/>
  </r>
  <r>
    <s v="B-25856"/>
    <x v="79"/>
    <n v="7223"/>
    <n v="2433"/>
    <n v="0.336840647930223"/>
    <n v="12"/>
    <x v="1"/>
    <x v="9"/>
    <x v="3"/>
    <d v="2023-02-28T00:00:00"/>
    <x v="1"/>
    <s v="Springfield"/>
    <x v="7"/>
    <x v="0"/>
  </r>
  <r>
    <s v="B-25856"/>
    <x v="79"/>
    <n v="3731"/>
    <n v="647"/>
    <n v="0.173411953899759"/>
    <n v="1"/>
    <x v="1"/>
    <x v="2"/>
    <x v="3"/>
    <d v="2023-02-28T00:00:00"/>
    <x v="1"/>
    <s v="Springfield"/>
    <x v="7"/>
    <x v="0"/>
  </r>
  <r>
    <s v="B-26899"/>
    <x v="80"/>
    <n v="8903"/>
    <n v="4401"/>
    <n v="0.49432775468943002"/>
    <n v="18"/>
    <x v="1"/>
    <x v="2"/>
    <x v="3"/>
    <d v="2022-08-08T00:00:00"/>
    <x v="5"/>
    <s v="Columbus"/>
    <x v="9"/>
    <x v="3"/>
  </r>
  <r>
    <s v="B-25916"/>
    <x v="81"/>
    <n v="6009"/>
    <n v="2107"/>
    <n v="0.350640705608254"/>
    <n v="7"/>
    <x v="0"/>
    <x v="10"/>
    <x v="0"/>
    <d v="2022-12-07T00:00:00"/>
    <x v="1"/>
    <s v="Chicago"/>
    <x v="1"/>
    <x v="3"/>
  </r>
  <r>
    <s v="B-25916"/>
    <x v="82"/>
    <n v="6009"/>
    <n v="2107"/>
    <n v="0.350640705608254"/>
    <n v="7"/>
    <x v="0"/>
    <x v="10"/>
    <x v="0"/>
    <d v="2024-04-29T00:00:00"/>
    <x v="4"/>
    <s v="Austin"/>
    <x v="11"/>
    <x v="1"/>
  </r>
  <r>
    <s v="B-25916"/>
    <x v="81"/>
    <n v="2858"/>
    <n v="230"/>
    <n v="8.0475857242827104E-2"/>
    <n v="3"/>
    <x v="2"/>
    <x v="4"/>
    <x v="3"/>
    <d v="2022-12-07T00:00:00"/>
    <x v="1"/>
    <s v="Chicago"/>
    <x v="1"/>
    <x v="3"/>
  </r>
  <r>
    <s v="B-25916"/>
    <x v="82"/>
    <n v="2858"/>
    <n v="230"/>
    <n v="8.0475857242827104E-2"/>
    <n v="3"/>
    <x v="2"/>
    <x v="4"/>
    <x v="3"/>
    <d v="2024-04-29T00:00:00"/>
    <x v="4"/>
    <s v="Austin"/>
    <x v="11"/>
    <x v="1"/>
  </r>
  <r>
    <s v="B-25916"/>
    <x v="81"/>
    <n v="8175"/>
    <n v="525"/>
    <n v="6.4220183486238494E-2"/>
    <n v="7"/>
    <x v="2"/>
    <x v="7"/>
    <x v="3"/>
    <d v="2022-12-07T00:00:00"/>
    <x v="1"/>
    <s v="Chicago"/>
    <x v="1"/>
    <x v="3"/>
  </r>
  <r>
    <s v="B-25916"/>
    <x v="82"/>
    <n v="8175"/>
    <n v="525"/>
    <n v="6.4220183486238494E-2"/>
    <n v="7"/>
    <x v="2"/>
    <x v="7"/>
    <x v="3"/>
    <d v="2024-04-29T00:00:00"/>
    <x v="4"/>
    <s v="Austin"/>
    <x v="11"/>
    <x v="1"/>
  </r>
  <r>
    <s v="B-25916"/>
    <x v="81"/>
    <n v="5846"/>
    <n v="586"/>
    <n v="0.10023947998631499"/>
    <n v="18"/>
    <x v="2"/>
    <x v="7"/>
    <x v="0"/>
    <d v="2022-12-07T00:00:00"/>
    <x v="1"/>
    <s v="Chicago"/>
    <x v="1"/>
    <x v="3"/>
  </r>
  <r>
    <s v="B-25916"/>
    <x v="82"/>
    <n v="5846"/>
    <n v="586"/>
    <n v="0.10023947998631499"/>
    <n v="18"/>
    <x v="2"/>
    <x v="7"/>
    <x v="0"/>
    <d v="2024-04-29T00:00:00"/>
    <x v="4"/>
    <s v="Austin"/>
    <x v="11"/>
    <x v="1"/>
  </r>
  <r>
    <s v="B-26428"/>
    <x v="83"/>
    <n v="706"/>
    <n v="197"/>
    <n v="0.27903682719546702"/>
    <n v="11"/>
    <x v="0"/>
    <x v="3"/>
    <x v="3"/>
    <d v="2022-01-02T00:00:00"/>
    <x v="4"/>
    <s v="Austin"/>
    <x v="8"/>
    <x v="3"/>
  </r>
  <r>
    <s v="B-26332"/>
    <x v="84"/>
    <n v="9835"/>
    <n v="2571"/>
    <n v="0.26141331977630899"/>
    <n v="16"/>
    <x v="2"/>
    <x v="4"/>
    <x v="4"/>
    <d v="2022-06-10T00:00:00"/>
    <x v="4"/>
    <s v="Dallas"/>
    <x v="0"/>
    <x v="3"/>
  </r>
  <r>
    <s v="B-26332"/>
    <x v="85"/>
    <n v="9835"/>
    <n v="2571"/>
    <n v="0.26141331977630899"/>
    <n v="16"/>
    <x v="2"/>
    <x v="4"/>
    <x v="4"/>
    <d v="2021-11-16T00:00:00"/>
    <x v="0"/>
    <s v="Orlando"/>
    <x v="5"/>
    <x v="2"/>
  </r>
  <r>
    <s v="B-26332"/>
    <x v="86"/>
    <n v="9835"/>
    <n v="2571"/>
    <n v="0.26141331977630899"/>
    <n v="16"/>
    <x v="2"/>
    <x v="4"/>
    <x v="4"/>
    <d v="2022-08-17T00:00:00"/>
    <x v="3"/>
    <s v="Los Angeles"/>
    <x v="9"/>
    <x v="3"/>
  </r>
  <r>
    <s v="B-26332"/>
    <x v="84"/>
    <n v="9691"/>
    <n v="3056"/>
    <n v="0.315344133732329"/>
    <n v="13"/>
    <x v="1"/>
    <x v="6"/>
    <x v="3"/>
    <d v="2022-06-10T00:00:00"/>
    <x v="4"/>
    <s v="Dallas"/>
    <x v="0"/>
    <x v="3"/>
  </r>
  <r>
    <s v="B-26332"/>
    <x v="85"/>
    <n v="9691"/>
    <n v="3056"/>
    <n v="0.315344133732329"/>
    <n v="13"/>
    <x v="1"/>
    <x v="6"/>
    <x v="3"/>
    <d v="2021-11-16T00:00:00"/>
    <x v="0"/>
    <s v="Orlando"/>
    <x v="5"/>
    <x v="2"/>
  </r>
  <r>
    <s v="B-26332"/>
    <x v="86"/>
    <n v="9691"/>
    <n v="3056"/>
    <n v="0.315344133732329"/>
    <n v="13"/>
    <x v="1"/>
    <x v="6"/>
    <x v="3"/>
    <d v="2022-08-17T00:00:00"/>
    <x v="3"/>
    <s v="Los Angeles"/>
    <x v="9"/>
    <x v="3"/>
  </r>
  <r>
    <s v="B-26332"/>
    <x v="84"/>
    <n v="7826"/>
    <n v="1221"/>
    <n v="0.15601840020444699"/>
    <n v="14"/>
    <x v="2"/>
    <x v="11"/>
    <x v="0"/>
    <d v="2022-06-10T00:00:00"/>
    <x v="4"/>
    <s v="Dallas"/>
    <x v="0"/>
    <x v="3"/>
  </r>
  <r>
    <s v="B-26332"/>
    <x v="85"/>
    <n v="7826"/>
    <n v="1221"/>
    <n v="0.15601840020444699"/>
    <n v="14"/>
    <x v="2"/>
    <x v="11"/>
    <x v="0"/>
    <d v="2021-11-16T00:00:00"/>
    <x v="0"/>
    <s v="Orlando"/>
    <x v="5"/>
    <x v="2"/>
  </r>
  <r>
    <s v="B-26332"/>
    <x v="86"/>
    <n v="7826"/>
    <n v="1221"/>
    <n v="0.15601840020444699"/>
    <n v="14"/>
    <x v="2"/>
    <x v="11"/>
    <x v="0"/>
    <d v="2022-08-17T00:00:00"/>
    <x v="3"/>
    <s v="Los Angeles"/>
    <x v="9"/>
    <x v="3"/>
  </r>
  <r>
    <s v="B-25303"/>
    <x v="87"/>
    <n v="770"/>
    <n v="241"/>
    <n v="0.31298701298701298"/>
    <n v="11"/>
    <x v="2"/>
    <x v="7"/>
    <x v="4"/>
    <d v="2021-11-23T00:00:00"/>
    <x v="4"/>
    <s v="Austin"/>
    <x v="5"/>
    <x v="2"/>
  </r>
  <r>
    <s v="B-25303"/>
    <x v="88"/>
    <n v="770"/>
    <n v="241"/>
    <n v="0.31298701298701298"/>
    <n v="11"/>
    <x v="2"/>
    <x v="7"/>
    <x v="4"/>
    <d v="2023-03-04T00:00:00"/>
    <x v="5"/>
    <s v="Cincinnati"/>
    <x v="6"/>
    <x v="0"/>
  </r>
  <r>
    <s v="B-26507"/>
    <x v="89"/>
    <n v="9895"/>
    <n v="1598"/>
    <n v="0.161495704901465"/>
    <n v="20"/>
    <x v="2"/>
    <x v="11"/>
    <x v="4"/>
    <d v="2023-12-16T00:00:00"/>
    <x v="2"/>
    <s v="Rochester"/>
    <x v="1"/>
    <x v="0"/>
  </r>
  <r>
    <s v="B-25983"/>
    <x v="90"/>
    <n v="6517"/>
    <n v="1581"/>
    <n v="0.242596286634955"/>
    <n v="10"/>
    <x v="1"/>
    <x v="8"/>
    <x v="1"/>
    <d v="2024-05-19T00:00:00"/>
    <x v="0"/>
    <s v="Miami"/>
    <x v="3"/>
    <x v="1"/>
  </r>
  <r>
    <s v="B-25983"/>
    <x v="91"/>
    <n v="6517"/>
    <n v="1581"/>
    <n v="0.242596286634955"/>
    <n v="10"/>
    <x v="1"/>
    <x v="8"/>
    <x v="1"/>
    <d v="2020-05-14T00:00:00"/>
    <x v="0"/>
    <s v="Tampa"/>
    <x v="3"/>
    <x v="4"/>
  </r>
  <r>
    <s v="B-25983"/>
    <x v="90"/>
    <n v="1166"/>
    <n v="349"/>
    <n v="0.29931389365351602"/>
    <n v="11"/>
    <x v="2"/>
    <x v="4"/>
    <x v="3"/>
    <d v="2024-05-19T00:00:00"/>
    <x v="0"/>
    <s v="Miami"/>
    <x v="3"/>
    <x v="1"/>
  </r>
  <r>
    <s v="B-25983"/>
    <x v="91"/>
    <n v="1166"/>
    <n v="349"/>
    <n v="0.29931389365351602"/>
    <n v="11"/>
    <x v="2"/>
    <x v="4"/>
    <x v="3"/>
    <d v="2020-05-14T00:00:00"/>
    <x v="0"/>
    <s v="Tampa"/>
    <x v="3"/>
    <x v="4"/>
  </r>
  <r>
    <s v="B-25156"/>
    <x v="92"/>
    <n v="9820"/>
    <n v="793"/>
    <n v="8.0753564154786198E-2"/>
    <n v="16"/>
    <x v="2"/>
    <x v="5"/>
    <x v="3"/>
    <d v="2021-08-29T00:00:00"/>
    <x v="2"/>
    <s v="Buffalo"/>
    <x v="9"/>
    <x v="2"/>
  </r>
  <r>
    <s v="B-26759"/>
    <x v="93"/>
    <n v="8563"/>
    <n v="2624"/>
    <n v="0.30643466074973702"/>
    <n v="8"/>
    <x v="1"/>
    <x v="9"/>
    <x v="4"/>
    <d v="2024-11-10T00:00:00"/>
    <x v="4"/>
    <s v="Dallas"/>
    <x v="5"/>
    <x v="1"/>
  </r>
  <r>
    <s v="B-26759"/>
    <x v="93"/>
    <n v="4441"/>
    <n v="281"/>
    <n v="6.3274037378968695E-2"/>
    <n v="20"/>
    <x v="0"/>
    <x v="1"/>
    <x v="4"/>
    <d v="2024-11-10T00:00:00"/>
    <x v="4"/>
    <s v="Dallas"/>
    <x v="5"/>
    <x v="1"/>
  </r>
  <r>
    <s v="B-26244"/>
    <x v="94"/>
    <n v="7340"/>
    <n v="2271"/>
    <n v="0.309400544959128"/>
    <n v="8"/>
    <x v="1"/>
    <x v="8"/>
    <x v="2"/>
    <d v="2021-12-05T00:00:00"/>
    <x v="0"/>
    <s v="Orlando"/>
    <x v="1"/>
    <x v="2"/>
  </r>
  <r>
    <s v="B-26244"/>
    <x v="94"/>
    <n v="5442"/>
    <n v="1610"/>
    <n v="0.29584711503123801"/>
    <n v="1"/>
    <x v="0"/>
    <x v="10"/>
    <x v="2"/>
    <d v="2021-12-05T00:00:00"/>
    <x v="0"/>
    <s v="Orlando"/>
    <x v="1"/>
    <x v="2"/>
  </r>
  <r>
    <s v="B-26365"/>
    <x v="95"/>
    <n v="1895"/>
    <n v="391"/>
    <n v="0.20633245382585799"/>
    <n v="14"/>
    <x v="2"/>
    <x v="4"/>
    <x v="0"/>
    <d v="2024-07-05T00:00:00"/>
    <x v="0"/>
    <s v="Tampa"/>
    <x v="2"/>
    <x v="1"/>
  </r>
  <r>
    <s v="B-26365"/>
    <x v="95"/>
    <n v="5323"/>
    <n v="322"/>
    <n v="6.0492203644561302E-2"/>
    <n v="13"/>
    <x v="1"/>
    <x v="9"/>
    <x v="4"/>
    <d v="2024-07-05T00:00:00"/>
    <x v="0"/>
    <s v="Tampa"/>
    <x v="2"/>
    <x v="1"/>
  </r>
  <r>
    <s v="B-26212"/>
    <x v="96"/>
    <n v="8850"/>
    <n v="279"/>
    <n v="3.1525423728813597E-2"/>
    <n v="13"/>
    <x v="1"/>
    <x v="6"/>
    <x v="1"/>
    <d v="2024-06-25T00:00:00"/>
    <x v="0"/>
    <s v="Miami"/>
    <x v="0"/>
    <x v="1"/>
  </r>
  <r>
    <s v="B-26212"/>
    <x v="96"/>
    <n v="8667"/>
    <n v="1266"/>
    <n v="0.14607130494980999"/>
    <n v="6"/>
    <x v="1"/>
    <x v="8"/>
    <x v="1"/>
    <d v="2024-06-25T00:00:00"/>
    <x v="0"/>
    <s v="Miami"/>
    <x v="0"/>
    <x v="1"/>
  </r>
  <r>
    <s v="B-25042"/>
    <x v="97"/>
    <n v="6903"/>
    <n v="105"/>
    <n v="1.5210777922642299E-2"/>
    <n v="1"/>
    <x v="2"/>
    <x v="4"/>
    <x v="4"/>
    <d v="2024-05-31T00:00:00"/>
    <x v="1"/>
    <s v="Chicago"/>
    <x v="3"/>
    <x v="1"/>
  </r>
  <r>
    <s v="B-25042"/>
    <x v="97"/>
    <n v="8793"/>
    <n v="3010"/>
    <n v="0.34231775275787601"/>
    <n v="7"/>
    <x v="1"/>
    <x v="2"/>
    <x v="4"/>
    <d v="2024-05-31T00:00:00"/>
    <x v="1"/>
    <s v="Chicago"/>
    <x v="3"/>
    <x v="1"/>
  </r>
  <r>
    <s v="B-25901"/>
    <x v="98"/>
    <n v="9883"/>
    <n v="4812"/>
    <n v="0.48689669128807"/>
    <n v="16"/>
    <x v="1"/>
    <x v="8"/>
    <x v="0"/>
    <d v="2020-10-20T00:00:00"/>
    <x v="2"/>
    <s v="Buffalo"/>
    <x v="4"/>
    <x v="4"/>
  </r>
  <r>
    <s v="B-25901"/>
    <x v="99"/>
    <n v="9883"/>
    <n v="4812"/>
    <n v="0.48689669128807"/>
    <n v="16"/>
    <x v="1"/>
    <x v="8"/>
    <x v="0"/>
    <d v="2022-08-11T00:00:00"/>
    <x v="0"/>
    <s v="Orlando"/>
    <x v="9"/>
    <x v="3"/>
  </r>
  <r>
    <s v="B-25901"/>
    <x v="100"/>
    <n v="9883"/>
    <n v="4812"/>
    <n v="0.48689669128807"/>
    <n v="16"/>
    <x v="1"/>
    <x v="8"/>
    <x v="0"/>
    <d v="2021-10-17T00:00:00"/>
    <x v="1"/>
    <s v="Springfield"/>
    <x v="4"/>
    <x v="2"/>
  </r>
  <r>
    <s v="B-25901"/>
    <x v="98"/>
    <n v="5210"/>
    <n v="1185"/>
    <n v="0.22744721689059499"/>
    <n v="7"/>
    <x v="1"/>
    <x v="8"/>
    <x v="0"/>
    <d v="2020-10-20T00:00:00"/>
    <x v="2"/>
    <s v="Buffalo"/>
    <x v="4"/>
    <x v="4"/>
  </r>
  <r>
    <s v="B-25901"/>
    <x v="99"/>
    <n v="5210"/>
    <n v="1185"/>
    <n v="0.22744721689059499"/>
    <n v="7"/>
    <x v="1"/>
    <x v="8"/>
    <x v="0"/>
    <d v="2022-08-11T00:00:00"/>
    <x v="0"/>
    <s v="Orlando"/>
    <x v="9"/>
    <x v="3"/>
  </r>
  <r>
    <s v="B-25901"/>
    <x v="100"/>
    <n v="5210"/>
    <n v="1185"/>
    <n v="0.22744721689059499"/>
    <n v="7"/>
    <x v="1"/>
    <x v="8"/>
    <x v="0"/>
    <d v="2021-10-17T00:00:00"/>
    <x v="1"/>
    <s v="Springfield"/>
    <x v="4"/>
    <x v="2"/>
  </r>
  <r>
    <s v="B-26747"/>
    <x v="101"/>
    <n v="3574"/>
    <n v="851"/>
    <n v="0.23810856183547799"/>
    <n v="4"/>
    <x v="0"/>
    <x v="1"/>
    <x v="3"/>
    <d v="2022-02-23T00:00:00"/>
    <x v="3"/>
    <s v="Los Angeles"/>
    <x v="7"/>
    <x v="3"/>
  </r>
  <r>
    <s v="B-26747"/>
    <x v="101"/>
    <n v="576"/>
    <n v="76"/>
    <n v="0.131944444444444"/>
    <n v="13"/>
    <x v="2"/>
    <x v="7"/>
    <x v="0"/>
    <d v="2022-02-23T00:00:00"/>
    <x v="3"/>
    <s v="Los Angeles"/>
    <x v="7"/>
    <x v="3"/>
  </r>
  <r>
    <s v="B-26698"/>
    <x v="102"/>
    <n v="1860"/>
    <n v="457"/>
    <n v="0.24569892473118299"/>
    <n v="13"/>
    <x v="0"/>
    <x v="1"/>
    <x v="2"/>
    <d v="2023-09-20T00:00:00"/>
    <x v="5"/>
    <s v="Cleveland"/>
    <x v="10"/>
    <x v="0"/>
  </r>
  <r>
    <s v="B-25841"/>
    <x v="103"/>
    <n v="782"/>
    <n v="374"/>
    <n v="0.47826086956521702"/>
    <n v="8"/>
    <x v="1"/>
    <x v="2"/>
    <x v="2"/>
    <d v="2021-01-19T00:00:00"/>
    <x v="1"/>
    <s v="Peoria"/>
    <x v="8"/>
    <x v="2"/>
  </r>
  <r>
    <s v="B-25841"/>
    <x v="103"/>
    <n v="4371"/>
    <n v="1852"/>
    <n v="0.423701670098376"/>
    <n v="1"/>
    <x v="0"/>
    <x v="3"/>
    <x v="0"/>
    <d v="2021-01-19T00:00:00"/>
    <x v="1"/>
    <s v="Peoria"/>
    <x v="8"/>
    <x v="2"/>
  </r>
  <r>
    <s v="B-26032"/>
    <x v="104"/>
    <n v="8346"/>
    <n v="1176"/>
    <n v="0.140905823148814"/>
    <n v="1"/>
    <x v="0"/>
    <x v="10"/>
    <x v="4"/>
    <d v="2020-08-21T00:00:00"/>
    <x v="4"/>
    <s v="Houston"/>
    <x v="9"/>
    <x v="4"/>
  </r>
  <r>
    <s v="B-26032"/>
    <x v="105"/>
    <n v="8346"/>
    <n v="1176"/>
    <n v="0.140905823148814"/>
    <n v="1"/>
    <x v="0"/>
    <x v="10"/>
    <x v="4"/>
    <d v="2023-04-17T00:00:00"/>
    <x v="1"/>
    <s v="Chicago"/>
    <x v="11"/>
    <x v="0"/>
  </r>
  <r>
    <s v="B-26032"/>
    <x v="106"/>
    <n v="8346"/>
    <n v="1176"/>
    <n v="0.140905823148814"/>
    <n v="1"/>
    <x v="0"/>
    <x v="10"/>
    <x v="4"/>
    <d v="2023-12-24T00:00:00"/>
    <x v="3"/>
    <s v="San Francisco"/>
    <x v="1"/>
    <x v="0"/>
  </r>
  <r>
    <s v="B-26032"/>
    <x v="104"/>
    <n v="6218"/>
    <n v="1125"/>
    <n v="0.18092634287552301"/>
    <n v="5"/>
    <x v="2"/>
    <x v="4"/>
    <x v="1"/>
    <d v="2020-08-21T00:00:00"/>
    <x v="4"/>
    <s v="Houston"/>
    <x v="9"/>
    <x v="4"/>
  </r>
  <r>
    <s v="B-26032"/>
    <x v="105"/>
    <n v="6218"/>
    <n v="1125"/>
    <n v="0.18092634287552301"/>
    <n v="5"/>
    <x v="2"/>
    <x v="4"/>
    <x v="1"/>
    <d v="2023-04-17T00:00:00"/>
    <x v="1"/>
    <s v="Chicago"/>
    <x v="11"/>
    <x v="0"/>
  </r>
  <r>
    <s v="B-26032"/>
    <x v="106"/>
    <n v="6218"/>
    <n v="1125"/>
    <n v="0.18092634287552301"/>
    <n v="5"/>
    <x v="2"/>
    <x v="4"/>
    <x v="1"/>
    <d v="2023-12-24T00:00:00"/>
    <x v="3"/>
    <s v="San Francisco"/>
    <x v="1"/>
    <x v="0"/>
  </r>
  <r>
    <s v="B-26032"/>
    <x v="104"/>
    <n v="5167"/>
    <n v="253"/>
    <n v="4.8964582930133498E-2"/>
    <n v="14"/>
    <x v="0"/>
    <x v="1"/>
    <x v="3"/>
    <d v="2020-08-21T00:00:00"/>
    <x v="4"/>
    <s v="Houston"/>
    <x v="9"/>
    <x v="4"/>
  </r>
  <r>
    <s v="B-26032"/>
    <x v="105"/>
    <n v="5167"/>
    <n v="253"/>
    <n v="4.8964582930133498E-2"/>
    <n v="14"/>
    <x v="0"/>
    <x v="1"/>
    <x v="3"/>
    <d v="2023-04-17T00:00:00"/>
    <x v="1"/>
    <s v="Chicago"/>
    <x v="11"/>
    <x v="0"/>
  </r>
  <r>
    <s v="B-26032"/>
    <x v="106"/>
    <n v="5167"/>
    <n v="253"/>
    <n v="4.8964582930133498E-2"/>
    <n v="14"/>
    <x v="0"/>
    <x v="1"/>
    <x v="3"/>
    <d v="2023-12-24T00:00:00"/>
    <x v="3"/>
    <s v="San Francisco"/>
    <x v="1"/>
    <x v="0"/>
  </r>
  <r>
    <s v="B-26032"/>
    <x v="104"/>
    <n v="2799"/>
    <n v="1239"/>
    <n v="0.44265809217577701"/>
    <n v="5"/>
    <x v="2"/>
    <x v="7"/>
    <x v="1"/>
    <d v="2020-08-21T00:00:00"/>
    <x v="4"/>
    <s v="Houston"/>
    <x v="9"/>
    <x v="4"/>
  </r>
  <r>
    <s v="B-26032"/>
    <x v="105"/>
    <n v="2799"/>
    <n v="1239"/>
    <n v="0.44265809217577701"/>
    <n v="5"/>
    <x v="2"/>
    <x v="7"/>
    <x v="1"/>
    <d v="2023-04-17T00:00:00"/>
    <x v="1"/>
    <s v="Chicago"/>
    <x v="11"/>
    <x v="0"/>
  </r>
  <r>
    <s v="B-26032"/>
    <x v="106"/>
    <n v="2799"/>
    <n v="1239"/>
    <n v="0.44265809217577701"/>
    <n v="5"/>
    <x v="2"/>
    <x v="7"/>
    <x v="1"/>
    <d v="2023-12-24T00:00:00"/>
    <x v="3"/>
    <s v="San Francisco"/>
    <x v="1"/>
    <x v="0"/>
  </r>
  <r>
    <s v="B-25171"/>
    <x v="107"/>
    <n v="3234"/>
    <n v="1029"/>
    <n v="0.31818181818181801"/>
    <n v="20"/>
    <x v="1"/>
    <x v="6"/>
    <x v="3"/>
    <d v="2022-03-20T00:00:00"/>
    <x v="0"/>
    <s v="Miami"/>
    <x v="6"/>
    <x v="3"/>
  </r>
  <r>
    <s v="B-26939"/>
    <x v="108"/>
    <n v="4920"/>
    <n v="775"/>
    <n v="0.15752032520325199"/>
    <n v="12"/>
    <x v="2"/>
    <x v="4"/>
    <x v="1"/>
    <d v="2021-08-12T00:00:00"/>
    <x v="1"/>
    <s v="Springfield"/>
    <x v="9"/>
    <x v="2"/>
  </r>
  <r>
    <s v="B-26939"/>
    <x v="108"/>
    <n v="9078"/>
    <n v="2213"/>
    <n v="0.243776162150253"/>
    <n v="15"/>
    <x v="2"/>
    <x v="11"/>
    <x v="2"/>
    <d v="2021-08-12T00:00:00"/>
    <x v="1"/>
    <s v="Springfield"/>
    <x v="9"/>
    <x v="2"/>
  </r>
  <r>
    <s v="B-26347"/>
    <x v="109"/>
    <n v="8586"/>
    <n v="3826"/>
    <n v="0.44560913114372203"/>
    <n v="7"/>
    <x v="2"/>
    <x v="11"/>
    <x v="0"/>
    <d v="2020-12-21T00:00:00"/>
    <x v="0"/>
    <s v="Miami"/>
    <x v="1"/>
    <x v="4"/>
  </r>
  <r>
    <s v="B-26347"/>
    <x v="110"/>
    <n v="8586"/>
    <n v="3826"/>
    <n v="0.44560913114372203"/>
    <n v="7"/>
    <x v="2"/>
    <x v="11"/>
    <x v="0"/>
    <d v="2023-07-07T00:00:00"/>
    <x v="0"/>
    <s v="Tampa"/>
    <x v="2"/>
    <x v="0"/>
  </r>
  <r>
    <s v="B-25388"/>
    <x v="111"/>
    <n v="5047"/>
    <n v="2211"/>
    <n v="0.43808202892807602"/>
    <n v="13"/>
    <x v="2"/>
    <x v="7"/>
    <x v="2"/>
    <d v="2023-08-13T00:00:00"/>
    <x v="3"/>
    <s v="San Francisco"/>
    <x v="9"/>
    <x v="0"/>
  </r>
  <r>
    <s v="B-25388"/>
    <x v="112"/>
    <n v="5047"/>
    <n v="2211"/>
    <n v="0.43808202892807602"/>
    <n v="13"/>
    <x v="2"/>
    <x v="7"/>
    <x v="2"/>
    <d v="2021-02-04T00:00:00"/>
    <x v="1"/>
    <s v="Chicago"/>
    <x v="7"/>
    <x v="2"/>
  </r>
  <r>
    <s v="B-25388"/>
    <x v="113"/>
    <n v="5047"/>
    <n v="2211"/>
    <n v="0.43808202892807602"/>
    <n v="13"/>
    <x v="2"/>
    <x v="7"/>
    <x v="2"/>
    <d v="2022-09-16T00:00:00"/>
    <x v="1"/>
    <s v="Peoria"/>
    <x v="10"/>
    <x v="3"/>
  </r>
  <r>
    <s v="B-25388"/>
    <x v="114"/>
    <n v="5047"/>
    <n v="2211"/>
    <n v="0.43808202892807602"/>
    <n v="13"/>
    <x v="2"/>
    <x v="7"/>
    <x v="2"/>
    <d v="2022-05-06T00:00:00"/>
    <x v="2"/>
    <s v="Buffalo"/>
    <x v="3"/>
    <x v="3"/>
  </r>
  <r>
    <s v="B-26419"/>
    <x v="115"/>
    <n v="3657"/>
    <n v="163"/>
    <n v="4.4572053595843597E-2"/>
    <n v="1"/>
    <x v="2"/>
    <x v="7"/>
    <x v="0"/>
    <d v="2021-05-28T00:00:00"/>
    <x v="3"/>
    <s v="San Francisco"/>
    <x v="3"/>
    <x v="2"/>
  </r>
  <r>
    <s v="B-25157"/>
    <x v="116"/>
    <n v="6471"/>
    <n v="2842"/>
    <n v="0.43919023334878698"/>
    <n v="18"/>
    <x v="0"/>
    <x v="0"/>
    <x v="0"/>
    <d v="2024-07-18T00:00:00"/>
    <x v="1"/>
    <s v="Peoria"/>
    <x v="2"/>
    <x v="1"/>
  </r>
  <r>
    <s v="B-25342"/>
    <x v="117"/>
    <n v="949"/>
    <n v="301"/>
    <n v="0.31717597471022102"/>
    <n v="9"/>
    <x v="1"/>
    <x v="9"/>
    <x v="0"/>
    <d v="2024-12-06T00:00:00"/>
    <x v="5"/>
    <s v="Cleveland"/>
    <x v="1"/>
    <x v="1"/>
  </r>
  <r>
    <s v="B-25342"/>
    <x v="117"/>
    <n v="6823"/>
    <n v="771"/>
    <n v="0.113000146563095"/>
    <n v="6"/>
    <x v="1"/>
    <x v="9"/>
    <x v="2"/>
    <d v="2024-12-06T00:00:00"/>
    <x v="5"/>
    <s v="Cleveland"/>
    <x v="1"/>
    <x v="1"/>
  </r>
  <r>
    <s v="B-25342"/>
    <x v="117"/>
    <n v="4364"/>
    <n v="831"/>
    <n v="0.19042163153070599"/>
    <n v="2"/>
    <x v="2"/>
    <x v="4"/>
    <x v="2"/>
    <d v="2024-12-06T00:00:00"/>
    <x v="5"/>
    <s v="Cleveland"/>
    <x v="1"/>
    <x v="1"/>
  </r>
  <r>
    <s v="B-26165"/>
    <x v="118"/>
    <n v="6671"/>
    <n v="2797"/>
    <n v="0.419277469644731"/>
    <n v="10"/>
    <x v="0"/>
    <x v="10"/>
    <x v="0"/>
    <d v="2022-12-12T00:00:00"/>
    <x v="1"/>
    <s v="Peoria"/>
    <x v="1"/>
    <x v="3"/>
  </r>
  <r>
    <s v="B-26571"/>
    <x v="119"/>
    <n v="7472"/>
    <n v="1037"/>
    <n v="0.13878479657387599"/>
    <n v="3"/>
    <x v="1"/>
    <x v="8"/>
    <x v="4"/>
    <d v="2022-10-20T00:00:00"/>
    <x v="1"/>
    <s v="Springfield"/>
    <x v="4"/>
    <x v="3"/>
  </r>
  <r>
    <s v="B-26571"/>
    <x v="119"/>
    <n v="9548"/>
    <n v="1806"/>
    <n v="0.189149560117302"/>
    <n v="9"/>
    <x v="0"/>
    <x v="1"/>
    <x v="4"/>
    <d v="2022-10-20T00:00:00"/>
    <x v="1"/>
    <s v="Springfield"/>
    <x v="4"/>
    <x v="3"/>
  </r>
  <r>
    <s v="B-25400"/>
    <x v="120"/>
    <n v="7759"/>
    <n v="3741"/>
    <n v="0.48214976156721201"/>
    <n v="17"/>
    <x v="0"/>
    <x v="1"/>
    <x v="0"/>
    <d v="2021-03-24T00:00:00"/>
    <x v="0"/>
    <s v="Miami"/>
    <x v="6"/>
    <x v="2"/>
  </r>
  <r>
    <s v="B-25400"/>
    <x v="121"/>
    <n v="7759"/>
    <n v="3741"/>
    <n v="0.48214976156721201"/>
    <n v="17"/>
    <x v="0"/>
    <x v="1"/>
    <x v="0"/>
    <d v="2025-01-06T00:00:00"/>
    <x v="4"/>
    <s v="Dallas"/>
    <x v="8"/>
    <x v="5"/>
  </r>
  <r>
    <s v="B-25400"/>
    <x v="120"/>
    <n v="7521"/>
    <n v="3457"/>
    <n v="0.459646323627177"/>
    <n v="16"/>
    <x v="1"/>
    <x v="6"/>
    <x v="1"/>
    <d v="2021-03-24T00:00:00"/>
    <x v="0"/>
    <s v="Miami"/>
    <x v="6"/>
    <x v="2"/>
  </r>
  <r>
    <s v="B-25400"/>
    <x v="121"/>
    <n v="7521"/>
    <n v="3457"/>
    <n v="0.459646323627177"/>
    <n v="16"/>
    <x v="1"/>
    <x v="6"/>
    <x v="1"/>
    <d v="2025-01-06T00:00:00"/>
    <x v="4"/>
    <s v="Dallas"/>
    <x v="8"/>
    <x v="5"/>
  </r>
  <r>
    <s v="B-25885"/>
    <x v="122"/>
    <n v="9704"/>
    <n v="4339"/>
    <n v="0.44713520197856599"/>
    <n v="12"/>
    <x v="1"/>
    <x v="2"/>
    <x v="4"/>
    <d v="2021-03-06T00:00:00"/>
    <x v="4"/>
    <s v="Houston"/>
    <x v="6"/>
    <x v="2"/>
  </r>
  <r>
    <s v="B-25885"/>
    <x v="122"/>
    <n v="4948"/>
    <n v="2356"/>
    <n v="0.476151980598222"/>
    <n v="18"/>
    <x v="0"/>
    <x v="1"/>
    <x v="1"/>
    <d v="2021-03-06T00:00:00"/>
    <x v="4"/>
    <s v="Houston"/>
    <x v="6"/>
    <x v="2"/>
  </r>
  <r>
    <s v="B-25885"/>
    <x v="122"/>
    <n v="6435"/>
    <n v="334"/>
    <n v="5.1903651903651898E-2"/>
    <n v="10"/>
    <x v="0"/>
    <x v="0"/>
    <x v="1"/>
    <d v="2021-03-06T00:00:00"/>
    <x v="4"/>
    <s v="Houston"/>
    <x v="6"/>
    <x v="2"/>
  </r>
  <r>
    <s v="B-25004"/>
    <x v="123"/>
    <n v="9965"/>
    <n v="3033"/>
    <n v="0.30436527847466099"/>
    <n v="16"/>
    <x v="1"/>
    <x v="6"/>
    <x v="4"/>
    <d v="2020-06-17T00:00:00"/>
    <x v="3"/>
    <s v="San Francisco"/>
    <x v="0"/>
    <x v="4"/>
  </r>
  <r>
    <s v="B-25004"/>
    <x v="124"/>
    <n v="9965"/>
    <n v="3033"/>
    <n v="0.30436527847466099"/>
    <n v="16"/>
    <x v="1"/>
    <x v="6"/>
    <x v="4"/>
    <d v="2023-09-01T00:00:00"/>
    <x v="2"/>
    <s v="Buffalo"/>
    <x v="10"/>
    <x v="0"/>
  </r>
  <r>
    <s v="B-26213"/>
    <x v="125"/>
    <n v="1523"/>
    <n v="234"/>
    <n v="0.15364412344057801"/>
    <n v="3"/>
    <x v="2"/>
    <x v="7"/>
    <x v="0"/>
    <d v="2023-06-08T00:00:00"/>
    <x v="2"/>
    <s v="Rochester"/>
    <x v="0"/>
    <x v="0"/>
  </r>
  <r>
    <s v="B-26213"/>
    <x v="125"/>
    <n v="9073"/>
    <n v="424"/>
    <n v="4.6732062162460002E-2"/>
    <n v="7"/>
    <x v="0"/>
    <x v="0"/>
    <x v="1"/>
    <d v="2023-06-08T00:00:00"/>
    <x v="2"/>
    <s v="Rochester"/>
    <x v="0"/>
    <x v="0"/>
  </r>
  <r>
    <s v="B-25025"/>
    <x v="126"/>
    <n v="6447"/>
    <n v="3079"/>
    <n v="0.47758647432914503"/>
    <n v="20"/>
    <x v="0"/>
    <x v="3"/>
    <x v="4"/>
    <d v="2021-03-25T00:00:00"/>
    <x v="2"/>
    <s v="Rochester"/>
    <x v="6"/>
    <x v="2"/>
  </r>
  <r>
    <s v="B-25025"/>
    <x v="126"/>
    <n v="8947"/>
    <n v="2807"/>
    <n v="0.313736447971387"/>
    <n v="6"/>
    <x v="0"/>
    <x v="0"/>
    <x v="3"/>
    <d v="2021-03-25T00:00:00"/>
    <x v="2"/>
    <s v="Rochester"/>
    <x v="6"/>
    <x v="2"/>
  </r>
  <r>
    <s v="B-26804"/>
    <x v="127"/>
    <n v="914"/>
    <n v="400"/>
    <n v="0.43763676148796499"/>
    <n v="8"/>
    <x v="1"/>
    <x v="2"/>
    <x v="1"/>
    <d v="2021-01-03T00:00:00"/>
    <x v="3"/>
    <s v="Los Angeles"/>
    <x v="8"/>
    <x v="2"/>
  </r>
  <r>
    <s v="B-26804"/>
    <x v="127"/>
    <n v="1548"/>
    <n v="666"/>
    <n v="0.43023255813953498"/>
    <n v="3"/>
    <x v="1"/>
    <x v="8"/>
    <x v="3"/>
    <d v="2021-01-03T00:00:00"/>
    <x v="3"/>
    <s v="Los Angeles"/>
    <x v="8"/>
    <x v="2"/>
  </r>
  <r>
    <s v="B-26797"/>
    <x v="128"/>
    <n v="2759"/>
    <n v="1149"/>
    <n v="0.41645523740485701"/>
    <n v="6"/>
    <x v="2"/>
    <x v="4"/>
    <x v="3"/>
    <d v="2024-12-27T00:00:00"/>
    <x v="2"/>
    <s v="New York City"/>
    <x v="1"/>
    <x v="1"/>
  </r>
  <r>
    <s v="B-26556"/>
    <x v="129"/>
    <n v="1341"/>
    <n v="615"/>
    <n v="0.45861297539149898"/>
    <n v="4"/>
    <x v="0"/>
    <x v="3"/>
    <x v="0"/>
    <d v="2022-08-12T00:00:00"/>
    <x v="0"/>
    <s v="Orlando"/>
    <x v="9"/>
    <x v="3"/>
  </r>
  <r>
    <s v="B-25861"/>
    <x v="130"/>
    <n v="9851"/>
    <n v="2669"/>
    <n v="0.27093696071464801"/>
    <n v="19"/>
    <x v="0"/>
    <x v="0"/>
    <x v="1"/>
    <d v="2022-03-28T00:00:00"/>
    <x v="5"/>
    <s v="Cleveland"/>
    <x v="6"/>
    <x v="3"/>
  </r>
  <r>
    <s v="B-25861"/>
    <x v="131"/>
    <n v="9851"/>
    <n v="2669"/>
    <n v="0.27093696071464801"/>
    <n v="19"/>
    <x v="0"/>
    <x v="0"/>
    <x v="1"/>
    <d v="2023-07-15T00:00:00"/>
    <x v="2"/>
    <s v="Buffalo"/>
    <x v="2"/>
    <x v="0"/>
  </r>
  <r>
    <s v="B-25861"/>
    <x v="132"/>
    <n v="9851"/>
    <n v="2669"/>
    <n v="0.27093696071464801"/>
    <n v="19"/>
    <x v="0"/>
    <x v="0"/>
    <x v="1"/>
    <d v="2022-09-22T00:00:00"/>
    <x v="0"/>
    <s v="Orlando"/>
    <x v="10"/>
    <x v="3"/>
  </r>
  <r>
    <s v="B-25861"/>
    <x v="130"/>
    <n v="9989"/>
    <n v="3930"/>
    <n v="0.39343277605365901"/>
    <n v="14"/>
    <x v="2"/>
    <x v="4"/>
    <x v="1"/>
    <d v="2022-03-28T00:00:00"/>
    <x v="5"/>
    <s v="Cleveland"/>
    <x v="6"/>
    <x v="3"/>
  </r>
  <r>
    <s v="B-25861"/>
    <x v="131"/>
    <n v="9989"/>
    <n v="3930"/>
    <n v="0.39343277605365901"/>
    <n v="14"/>
    <x v="2"/>
    <x v="4"/>
    <x v="1"/>
    <d v="2023-07-15T00:00:00"/>
    <x v="2"/>
    <s v="Buffalo"/>
    <x v="2"/>
    <x v="0"/>
  </r>
  <r>
    <s v="B-25861"/>
    <x v="132"/>
    <n v="9989"/>
    <n v="3930"/>
    <n v="0.39343277605365901"/>
    <n v="14"/>
    <x v="2"/>
    <x v="4"/>
    <x v="1"/>
    <d v="2022-09-22T00:00:00"/>
    <x v="0"/>
    <s v="Orlando"/>
    <x v="10"/>
    <x v="3"/>
  </r>
  <r>
    <s v="B-25112"/>
    <x v="133"/>
    <n v="7421"/>
    <n v="958"/>
    <n v="0.12909311413556099"/>
    <n v="10"/>
    <x v="2"/>
    <x v="4"/>
    <x v="4"/>
    <d v="2022-12-20T00:00:00"/>
    <x v="4"/>
    <s v="Houston"/>
    <x v="1"/>
    <x v="3"/>
  </r>
  <r>
    <s v="B-25112"/>
    <x v="134"/>
    <n v="7421"/>
    <n v="958"/>
    <n v="0.12909311413556099"/>
    <n v="10"/>
    <x v="2"/>
    <x v="4"/>
    <x v="4"/>
    <d v="2022-01-16T00:00:00"/>
    <x v="4"/>
    <s v="Houston"/>
    <x v="8"/>
    <x v="3"/>
  </r>
  <r>
    <s v="B-25112"/>
    <x v="135"/>
    <n v="7421"/>
    <n v="958"/>
    <n v="0.12909311413556099"/>
    <n v="10"/>
    <x v="2"/>
    <x v="4"/>
    <x v="4"/>
    <d v="2023-01-29T00:00:00"/>
    <x v="4"/>
    <s v="Dallas"/>
    <x v="8"/>
    <x v="0"/>
  </r>
  <r>
    <s v="B-25223"/>
    <x v="136"/>
    <n v="3099"/>
    <n v="479"/>
    <n v="0.15456598902871899"/>
    <n v="1"/>
    <x v="1"/>
    <x v="8"/>
    <x v="4"/>
    <d v="2022-01-15T00:00:00"/>
    <x v="2"/>
    <s v="Buffalo"/>
    <x v="8"/>
    <x v="3"/>
  </r>
  <r>
    <s v="B-25223"/>
    <x v="136"/>
    <n v="2521"/>
    <n v="906"/>
    <n v="0.35938119793732598"/>
    <n v="7"/>
    <x v="0"/>
    <x v="10"/>
    <x v="4"/>
    <d v="2022-01-15T00:00:00"/>
    <x v="2"/>
    <s v="Buffalo"/>
    <x v="8"/>
    <x v="3"/>
  </r>
  <r>
    <s v="B-25714"/>
    <x v="137"/>
    <n v="6962"/>
    <n v="3429"/>
    <n v="0.49253088193048"/>
    <n v="12"/>
    <x v="0"/>
    <x v="0"/>
    <x v="0"/>
    <d v="2024-03-24T00:00:00"/>
    <x v="4"/>
    <s v="Dallas"/>
    <x v="6"/>
    <x v="1"/>
  </r>
  <r>
    <s v="B-25714"/>
    <x v="138"/>
    <n v="6962"/>
    <n v="3429"/>
    <n v="0.49253088193048"/>
    <n v="12"/>
    <x v="0"/>
    <x v="0"/>
    <x v="0"/>
    <d v="2025-02-19T00:00:00"/>
    <x v="0"/>
    <s v="Miami"/>
    <x v="7"/>
    <x v="5"/>
  </r>
  <r>
    <s v="B-26607"/>
    <x v="139"/>
    <n v="1085"/>
    <n v="301"/>
    <n v="0.27741935483871"/>
    <n v="20"/>
    <x v="2"/>
    <x v="11"/>
    <x v="0"/>
    <d v="2024-07-13T00:00:00"/>
    <x v="2"/>
    <s v="Buffalo"/>
    <x v="2"/>
    <x v="1"/>
  </r>
  <r>
    <s v="B-25038"/>
    <x v="140"/>
    <n v="738"/>
    <n v="342"/>
    <n v="0.46341463414634199"/>
    <n v="2"/>
    <x v="2"/>
    <x v="5"/>
    <x v="1"/>
    <d v="2023-04-28T00:00:00"/>
    <x v="5"/>
    <s v="Cincinnati"/>
    <x v="11"/>
    <x v="0"/>
  </r>
  <r>
    <s v="B-25038"/>
    <x v="141"/>
    <n v="738"/>
    <n v="342"/>
    <n v="0.46341463414634199"/>
    <n v="2"/>
    <x v="2"/>
    <x v="5"/>
    <x v="1"/>
    <d v="2020-12-05T00:00:00"/>
    <x v="2"/>
    <s v="Buffalo"/>
    <x v="1"/>
    <x v="4"/>
  </r>
  <r>
    <s v="B-25038"/>
    <x v="142"/>
    <n v="738"/>
    <n v="342"/>
    <n v="0.46341463414634199"/>
    <n v="2"/>
    <x v="2"/>
    <x v="5"/>
    <x v="1"/>
    <d v="2024-05-14T00:00:00"/>
    <x v="5"/>
    <s v="Cincinnati"/>
    <x v="3"/>
    <x v="1"/>
  </r>
  <r>
    <s v="B-25038"/>
    <x v="143"/>
    <n v="738"/>
    <n v="342"/>
    <n v="0.46341463414634199"/>
    <n v="2"/>
    <x v="2"/>
    <x v="5"/>
    <x v="1"/>
    <d v="2022-01-18T00:00:00"/>
    <x v="2"/>
    <s v="New York City"/>
    <x v="8"/>
    <x v="3"/>
  </r>
  <r>
    <s v="B-26672"/>
    <x v="144"/>
    <n v="1366"/>
    <n v="242"/>
    <n v="0.17715959004392401"/>
    <n v="17"/>
    <x v="0"/>
    <x v="0"/>
    <x v="2"/>
    <d v="2023-09-18T00:00:00"/>
    <x v="5"/>
    <s v="Columbus"/>
    <x v="10"/>
    <x v="0"/>
  </r>
  <r>
    <s v="B-26672"/>
    <x v="144"/>
    <n v="1518"/>
    <n v="155"/>
    <n v="0.102108036890646"/>
    <n v="13"/>
    <x v="1"/>
    <x v="6"/>
    <x v="3"/>
    <d v="2023-09-18T00:00:00"/>
    <x v="5"/>
    <s v="Columbus"/>
    <x v="10"/>
    <x v="0"/>
  </r>
  <r>
    <s v="B-25747"/>
    <x v="145"/>
    <n v="2962"/>
    <n v="1470"/>
    <n v="0.49628629304524002"/>
    <n v="1"/>
    <x v="0"/>
    <x v="10"/>
    <x v="4"/>
    <d v="2021-05-12T00:00:00"/>
    <x v="2"/>
    <s v="Buffalo"/>
    <x v="3"/>
    <x v="2"/>
  </r>
  <r>
    <s v="B-25747"/>
    <x v="146"/>
    <n v="2962"/>
    <n v="1470"/>
    <n v="0.49628629304524002"/>
    <n v="1"/>
    <x v="0"/>
    <x v="10"/>
    <x v="4"/>
    <d v="2023-09-17T00:00:00"/>
    <x v="0"/>
    <s v="Tampa"/>
    <x v="10"/>
    <x v="0"/>
  </r>
  <r>
    <s v="B-25747"/>
    <x v="145"/>
    <n v="7131"/>
    <n v="718"/>
    <n v="0.100687140653485"/>
    <n v="12"/>
    <x v="0"/>
    <x v="1"/>
    <x v="0"/>
    <d v="2021-05-12T00:00:00"/>
    <x v="2"/>
    <s v="Buffalo"/>
    <x v="3"/>
    <x v="2"/>
  </r>
  <r>
    <s v="B-25747"/>
    <x v="146"/>
    <n v="7131"/>
    <n v="718"/>
    <n v="0.100687140653485"/>
    <n v="12"/>
    <x v="0"/>
    <x v="1"/>
    <x v="0"/>
    <d v="2023-09-17T00:00:00"/>
    <x v="0"/>
    <s v="Tampa"/>
    <x v="10"/>
    <x v="0"/>
  </r>
  <r>
    <s v="B-25747"/>
    <x v="145"/>
    <n v="4200"/>
    <n v="855"/>
    <n v="0.20357142857142899"/>
    <n v="10"/>
    <x v="1"/>
    <x v="6"/>
    <x v="2"/>
    <d v="2021-05-12T00:00:00"/>
    <x v="2"/>
    <s v="Buffalo"/>
    <x v="3"/>
    <x v="2"/>
  </r>
  <r>
    <s v="B-25747"/>
    <x v="146"/>
    <n v="4200"/>
    <n v="855"/>
    <n v="0.20357142857142899"/>
    <n v="10"/>
    <x v="1"/>
    <x v="6"/>
    <x v="2"/>
    <d v="2023-09-17T00:00:00"/>
    <x v="0"/>
    <s v="Tampa"/>
    <x v="10"/>
    <x v="0"/>
  </r>
  <r>
    <s v="B-26322"/>
    <x v="147"/>
    <n v="5934"/>
    <n v="1563"/>
    <n v="0.26339737108190098"/>
    <n v="2"/>
    <x v="1"/>
    <x v="6"/>
    <x v="2"/>
    <d v="2024-09-06T00:00:00"/>
    <x v="1"/>
    <s v="Peoria"/>
    <x v="10"/>
    <x v="1"/>
  </r>
  <r>
    <s v="B-26613"/>
    <x v="148"/>
    <n v="2701"/>
    <n v="322"/>
    <n v="0.119215105516475"/>
    <n v="11"/>
    <x v="0"/>
    <x v="1"/>
    <x v="0"/>
    <d v="2022-06-18T00:00:00"/>
    <x v="2"/>
    <s v="New York City"/>
    <x v="0"/>
    <x v="3"/>
  </r>
  <r>
    <s v="B-26613"/>
    <x v="148"/>
    <n v="7273"/>
    <n v="2702"/>
    <n v="0.37151106833493702"/>
    <n v="18"/>
    <x v="1"/>
    <x v="8"/>
    <x v="4"/>
    <d v="2022-06-18T00:00:00"/>
    <x v="2"/>
    <s v="New York City"/>
    <x v="0"/>
    <x v="3"/>
  </r>
  <r>
    <s v="B-25413"/>
    <x v="149"/>
    <n v="2465"/>
    <n v="699"/>
    <n v="0.28356997971602399"/>
    <n v="18"/>
    <x v="1"/>
    <x v="6"/>
    <x v="1"/>
    <d v="2020-05-22T00:00:00"/>
    <x v="3"/>
    <s v="San Francisco"/>
    <x v="3"/>
    <x v="4"/>
  </r>
  <r>
    <s v="B-26466"/>
    <x v="150"/>
    <n v="3479"/>
    <n v="1087"/>
    <n v="0.31244610520264399"/>
    <n v="2"/>
    <x v="1"/>
    <x v="6"/>
    <x v="2"/>
    <d v="2024-10-17T00:00:00"/>
    <x v="4"/>
    <s v="Dallas"/>
    <x v="4"/>
    <x v="1"/>
  </r>
  <r>
    <s v="B-26466"/>
    <x v="150"/>
    <n v="5457"/>
    <n v="1765"/>
    <n v="0.323437786329485"/>
    <n v="7"/>
    <x v="0"/>
    <x v="1"/>
    <x v="2"/>
    <d v="2024-10-17T00:00:00"/>
    <x v="4"/>
    <s v="Dallas"/>
    <x v="4"/>
    <x v="1"/>
  </r>
  <r>
    <s v="B-26610"/>
    <x v="151"/>
    <n v="4957"/>
    <n v="1152"/>
    <n v="0.23239862820254201"/>
    <n v="8"/>
    <x v="1"/>
    <x v="6"/>
    <x v="3"/>
    <d v="2022-03-22T00:00:00"/>
    <x v="5"/>
    <s v="Cleveland"/>
    <x v="6"/>
    <x v="3"/>
  </r>
  <r>
    <s v="B-26209"/>
    <x v="152"/>
    <n v="4404"/>
    <n v="858"/>
    <n v="0.19482288828337899"/>
    <n v="17"/>
    <x v="1"/>
    <x v="2"/>
    <x v="1"/>
    <d v="2024-03-17T00:00:00"/>
    <x v="5"/>
    <s v="Columbus"/>
    <x v="6"/>
    <x v="1"/>
  </r>
  <r>
    <s v="B-26209"/>
    <x v="152"/>
    <n v="8776"/>
    <n v="2529"/>
    <n v="0.288172288058341"/>
    <n v="15"/>
    <x v="2"/>
    <x v="7"/>
    <x v="3"/>
    <d v="2024-03-17T00:00:00"/>
    <x v="5"/>
    <s v="Columbus"/>
    <x v="6"/>
    <x v="1"/>
  </r>
  <r>
    <s v="B-26622"/>
    <x v="153"/>
    <n v="9536"/>
    <n v="1437"/>
    <n v="0.15069211409395999"/>
    <n v="9"/>
    <x v="0"/>
    <x v="10"/>
    <x v="0"/>
    <d v="2020-04-02T00:00:00"/>
    <x v="0"/>
    <s v="Orlando"/>
    <x v="11"/>
    <x v="4"/>
  </r>
  <r>
    <s v="B-26622"/>
    <x v="153"/>
    <n v="2225"/>
    <n v="589"/>
    <n v="0.26471910112359498"/>
    <n v="7"/>
    <x v="2"/>
    <x v="7"/>
    <x v="3"/>
    <d v="2020-04-02T00:00:00"/>
    <x v="0"/>
    <s v="Orlando"/>
    <x v="11"/>
    <x v="4"/>
  </r>
  <r>
    <s v="B-26601"/>
    <x v="154"/>
    <n v="9574"/>
    <n v="4045"/>
    <n v="0.42249843325673703"/>
    <n v="19"/>
    <x v="2"/>
    <x v="11"/>
    <x v="0"/>
    <d v="2024-03-13T00:00:00"/>
    <x v="3"/>
    <s v="San Francisco"/>
    <x v="6"/>
    <x v="1"/>
  </r>
  <r>
    <s v="B-26601"/>
    <x v="154"/>
    <n v="4382"/>
    <n v="482"/>
    <n v="0.10999543587403"/>
    <n v="17"/>
    <x v="0"/>
    <x v="0"/>
    <x v="4"/>
    <d v="2024-03-13T00:00:00"/>
    <x v="3"/>
    <s v="San Francisco"/>
    <x v="6"/>
    <x v="1"/>
  </r>
  <r>
    <s v="B-25894"/>
    <x v="155"/>
    <n v="8200"/>
    <n v="257"/>
    <n v="3.1341463414634098E-2"/>
    <n v="19"/>
    <x v="0"/>
    <x v="3"/>
    <x v="4"/>
    <d v="2023-03-21T00:00:00"/>
    <x v="5"/>
    <s v="Cincinnati"/>
    <x v="6"/>
    <x v="0"/>
  </r>
  <r>
    <s v="B-25894"/>
    <x v="155"/>
    <n v="9316"/>
    <n v="3003"/>
    <n v="0.32234864748819197"/>
    <n v="13"/>
    <x v="2"/>
    <x v="7"/>
    <x v="3"/>
    <d v="2023-03-21T00:00:00"/>
    <x v="5"/>
    <s v="Cincinnati"/>
    <x v="6"/>
    <x v="0"/>
  </r>
  <r>
    <s v="B-25894"/>
    <x v="155"/>
    <n v="6379"/>
    <n v="3128"/>
    <n v="0.49035899043737302"/>
    <n v="15"/>
    <x v="0"/>
    <x v="0"/>
    <x v="4"/>
    <d v="2023-03-21T00:00:00"/>
    <x v="5"/>
    <s v="Cincinnati"/>
    <x v="6"/>
    <x v="0"/>
  </r>
  <r>
    <s v="B-26969"/>
    <x v="156"/>
    <n v="3348"/>
    <n v="568"/>
    <n v="0.169653524492234"/>
    <n v="5"/>
    <x v="1"/>
    <x v="6"/>
    <x v="3"/>
    <d v="2024-03-02T00:00:00"/>
    <x v="5"/>
    <s v="Cleveland"/>
    <x v="6"/>
    <x v="1"/>
  </r>
  <r>
    <s v="B-26969"/>
    <x v="157"/>
    <n v="3348"/>
    <n v="568"/>
    <n v="0.169653524492234"/>
    <n v="5"/>
    <x v="1"/>
    <x v="6"/>
    <x v="3"/>
    <d v="2021-04-30T00:00:00"/>
    <x v="2"/>
    <s v="Rochester"/>
    <x v="11"/>
    <x v="2"/>
  </r>
  <r>
    <s v="B-26969"/>
    <x v="156"/>
    <n v="8856"/>
    <n v="2020"/>
    <n v="0.22809394760614299"/>
    <n v="9"/>
    <x v="1"/>
    <x v="2"/>
    <x v="1"/>
    <d v="2024-03-02T00:00:00"/>
    <x v="5"/>
    <s v="Cleveland"/>
    <x v="6"/>
    <x v="1"/>
  </r>
  <r>
    <s v="B-26969"/>
    <x v="157"/>
    <n v="8856"/>
    <n v="2020"/>
    <n v="0.22809394760614299"/>
    <n v="9"/>
    <x v="1"/>
    <x v="2"/>
    <x v="1"/>
    <d v="2021-04-30T00:00:00"/>
    <x v="2"/>
    <s v="Rochester"/>
    <x v="11"/>
    <x v="2"/>
  </r>
  <r>
    <s v="B-26312"/>
    <x v="158"/>
    <n v="1760"/>
    <n v="619"/>
    <n v="0.35170454545454499"/>
    <n v="16"/>
    <x v="2"/>
    <x v="7"/>
    <x v="1"/>
    <d v="2021-09-15T00:00:00"/>
    <x v="5"/>
    <s v="Columbus"/>
    <x v="10"/>
    <x v="2"/>
  </r>
  <r>
    <s v="B-26312"/>
    <x v="159"/>
    <n v="1760"/>
    <n v="619"/>
    <n v="0.35170454545454499"/>
    <n v="16"/>
    <x v="2"/>
    <x v="7"/>
    <x v="1"/>
    <d v="2023-01-28T00:00:00"/>
    <x v="4"/>
    <s v="Houston"/>
    <x v="8"/>
    <x v="0"/>
  </r>
  <r>
    <s v="B-26312"/>
    <x v="158"/>
    <n v="6351"/>
    <n v="986"/>
    <n v="0.15525114155251099"/>
    <n v="15"/>
    <x v="0"/>
    <x v="1"/>
    <x v="0"/>
    <d v="2021-09-15T00:00:00"/>
    <x v="5"/>
    <s v="Columbus"/>
    <x v="10"/>
    <x v="2"/>
  </r>
  <r>
    <s v="B-26312"/>
    <x v="159"/>
    <n v="6351"/>
    <n v="986"/>
    <n v="0.15525114155251099"/>
    <n v="15"/>
    <x v="0"/>
    <x v="1"/>
    <x v="0"/>
    <d v="2023-01-28T00:00:00"/>
    <x v="4"/>
    <s v="Houston"/>
    <x v="8"/>
    <x v="0"/>
  </r>
  <r>
    <s v="B-26837"/>
    <x v="160"/>
    <n v="869"/>
    <n v="373"/>
    <n v="0.42922899884925197"/>
    <n v="14"/>
    <x v="1"/>
    <x v="8"/>
    <x v="3"/>
    <d v="2021-07-08T00:00:00"/>
    <x v="2"/>
    <s v="New York City"/>
    <x v="2"/>
    <x v="2"/>
  </r>
  <r>
    <s v="B-26837"/>
    <x v="161"/>
    <n v="869"/>
    <n v="373"/>
    <n v="0.42922899884925197"/>
    <n v="14"/>
    <x v="1"/>
    <x v="8"/>
    <x v="3"/>
    <d v="2020-04-08T00:00:00"/>
    <x v="5"/>
    <s v="Cleveland"/>
    <x v="11"/>
    <x v="4"/>
  </r>
  <r>
    <s v="B-26837"/>
    <x v="160"/>
    <n v="1486"/>
    <n v="114"/>
    <n v="7.6716016150740196E-2"/>
    <n v="7"/>
    <x v="2"/>
    <x v="11"/>
    <x v="0"/>
    <d v="2021-07-08T00:00:00"/>
    <x v="2"/>
    <s v="New York City"/>
    <x v="2"/>
    <x v="2"/>
  </r>
  <r>
    <s v="B-26837"/>
    <x v="161"/>
    <n v="1486"/>
    <n v="114"/>
    <n v="7.6716016150740196E-2"/>
    <n v="7"/>
    <x v="2"/>
    <x v="11"/>
    <x v="0"/>
    <d v="2020-04-08T00:00:00"/>
    <x v="5"/>
    <s v="Cleveland"/>
    <x v="11"/>
    <x v="4"/>
  </r>
  <r>
    <s v="B-26166"/>
    <x v="162"/>
    <n v="2999"/>
    <n v="145"/>
    <n v="4.8349449816605501E-2"/>
    <n v="13"/>
    <x v="1"/>
    <x v="9"/>
    <x v="4"/>
    <d v="2022-08-23T00:00:00"/>
    <x v="1"/>
    <s v="Chicago"/>
    <x v="9"/>
    <x v="3"/>
  </r>
  <r>
    <s v="B-26166"/>
    <x v="162"/>
    <n v="5142"/>
    <n v="1916"/>
    <n v="0.37261765849863898"/>
    <n v="20"/>
    <x v="1"/>
    <x v="8"/>
    <x v="2"/>
    <d v="2022-08-23T00:00:00"/>
    <x v="1"/>
    <s v="Chicago"/>
    <x v="9"/>
    <x v="3"/>
  </r>
  <r>
    <s v="B-25695"/>
    <x v="163"/>
    <n v="1239"/>
    <n v="575"/>
    <n v="0.46408393866021003"/>
    <n v="17"/>
    <x v="0"/>
    <x v="3"/>
    <x v="0"/>
    <d v="2022-12-17T00:00:00"/>
    <x v="2"/>
    <s v="Rochester"/>
    <x v="1"/>
    <x v="3"/>
  </r>
  <r>
    <s v="B-25695"/>
    <x v="164"/>
    <n v="1239"/>
    <n v="575"/>
    <n v="0.46408393866021003"/>
    <n v="17"/>
    <x v="0"/>
    <x v="3"/>
    <x v="0"/>
    <d v="2022-06-08T00:00:00"/>
    <x v="1"/>
    <s v="Springfield"/>
    <x v="0"/>
    <x v="3"/>
  </r>
  <r>
    <s v="B-25695"/>
    <x v="163"/>
    <n v="1262"/>
    <n v="515"/>
    <n v="0.40808240887480202"/>
    <n v="16"/>
    <x v="0"/>
    <x v="0"/>
    <x v="2"/>
    <d v="2022-12-17T00:00:00"/>
    <x v="2"/>
    <s v="Rochester"/>
    <x v="1"/>
    <x v="3"/>
  </r>
  <r>
    <s v="B-25695"/>
    <x v="164"/>
    <n v="1262"/>
    <n v="515"/>
    <n v="0.40808240887480202"/>
    <n v="16"/>
    <x v="0"/>
    <x v="0"/>
    <x v="2"/>
    <d v="2022-06-08T00:00:00"/>
    <x v="1"/>
    <s v="Springfield"/>
    <x v="0"/>
    <x v="3"/>
  </r>
  <r>
    <s v="B-26068"/>
    <x v="165"/>
    <n v="1033"/>
    <n v="254"/>
    <n v="0.24588576960309799"/>
    <n v="5"/>
    <x v="2"/>
    <x v="11"/>
    <x v="4"/>
    <d v="2020-08-28T00:00:00"/>
    <x v="2"/>
    <s v="Rochester"/>
    <x v="9"/>
    <x v="4"/>
  </r>
  <r>
    <s v="B-26023"/>
    <x v="166"/>
    <n v="1518"/>
    <n v="159"/>
    <n v="0.10474308300395301"/>
    <n v="19"/>
    <x v="0"/>
    <x v="1"/>
    <x v="0"/>
    <d v="2020-09-26T00:00:00"/>
    <x v="3"/>
    <s v="San Diego"/>
    <x v="10"/>
    <x v="4"/>
  </r>
  <r>
    <s v="B-26677"/>
    <x v="167"/>
    <n v="8581"/>
    <n v="2444"/>
    <n v="0.284815289593288"/>
    <n v="2"/>
    <x v="1"/>
    <x v="8"/>
    <x v="1"/>
    <d v="2020-12-13T00:00:00"/>
    <x v="1"/>
    <s v="Peoria"/>
    <x v="1"/>
    <x v="4"/>
  </r>
  <r>
    <s v="B-26677"/>
    <x v="168"/>
    <n v="8581"/>
    <n v="2444"/>
    <n v="0.284815289593288"/>
    <n v="2"/>
    <x v="1"/>
    <x v="8"/>
    <x v="1"/>
    <d v="2020-11-19T00:00:00"/>
    <x v="0"/>
    <s v="Orlando"/>
    <x v="5"/>
    <x v="4"/>
  </r>
  <r>
    <s v="B-25701"/>
    <x v="169"/>
    <n v="1167"/>
    <n v="463"/>
    <n v="0.39674378748928901"/>
    <n v="5"/>
    <x v="1"/>
    <x v="2"/>
    <x v="0"/>
    <d v="2023-09-13T00:00:00"/>
    <x v="4"/>
    <s v="Austin"/>
    <x v="10"/>
    <x v="0"/>
  </r>
  <r>
    <s v="B-25701"/>
    <x v="169"/>
    <n v="2841"/>
    <n v="803"/>
    <n v="0.28264695529743"/>
    <n v="20"/>
    <x v="0"/>
    <x v="3"/>
    <x v="3"/>
    <d v="2023-09-13T00:00:00"/>
    <x v="4"/>
    <s v="Austin"/>
    <x v="10"/>
    <x v="0"/>
  </r>
  <r>
    <s v="B-25701"/>
    <x v="169"/>
    <n v="5680"/>
    <n v="2159"/>
    <n v="0.38010563380281698"/>
    <n v="19"/>
    <x v="2"/>
    <x v="4"/>
    <x v="0"/>
    <d v="2023-09-13T00:00:00"/>
    <x v="4"/>
    <s v="Austin"/>
    <x v="10"/>
    <x v="0"/>
  </r>
  <r>
    <s v="B-26523"/>
    <x v="170"/>
    <n v="8204"/>
    <n v="2382"/>
    <n v="0.29034617259873202"/>
    <n v="6"/>
    <x v="1"/>
    <x v="2"/>
    <x v="0"/>
    <d v="2020-03-31T00:00:00"/>
    <x v="1"/>
    <s v="Chicago"/>
    <x v="6"/>
    <x v="4"/>
  </r>
  <r>
    <s v="B-26523"/>
    <x v="171"/>
    <n v="8204"/>
    <n v="2382"/>
    <n v="0.29034617259873202"/>
    <n v="6"/>
    <x v="1"/>
    <x v="2"/>
    <x v="0"/>
    <d v="2020-10-20T00:00:00"/>
    <x v="2"/>
    <s v="Buffalo"/>
    <x v="4"/>
    <x v="4"/>
  </r>
  <r>
    <s v="B-26523"/>
    <x v="170"/>
    <n v="2850"/>
    <n v="904"/>
    <n v="0.31719298245614003"/>
    <n v="6"/>
    <x v="0"/>
    <x v="10"/>
    <x v="2"/>
    <d v="2020-03-31T00:00:00"/>
    <x v="1"/>
    <s v="Chicago"/>
    <x v="6"/>
    <x v="4"/>
  </r>
  <r>
    <s v="B-26523"/>
    <x v="171"/>
    <n v="2850"/>
    <n v="904"/>
    <n v="0.31719298245614003"/>
    <n v="6"/>
    <x v="0"/>
    <x v="10"/>
    <x v="2"/>
    <d v="2020-10-20T00:00:00"/>
    <x v="2"/>
    <s v="Buffalo"/>
    <x v="4"/>
    <x v="4"/>
  </r>
  <r>
    <s v="B-25880"/>
    <x v="172"/>
    <n v="907"/>
    <n v="391"/>
    <n v="0.43109151047409"/>
    <n v="9"/>
    <x v="1"/>
    <x v="2"/>
    <x v="3"/>
    <d v="2023-08-04T00:00:00"/>
    <x v="2"/>
    <s v="New York City"/>
    <x v="9"/>
    <x v="0"/>
  </r>
  <r>
    <s v="B-26898"/>
    <x v="173"/>
    <n v="2174"/>
    <n v="265"/>
    <n v="0.121895124195032"/>
    <n v="19"/>
    <x v="1"/>
    <x v="2"/>
    <x v="3"/>
    <d v="2022-04-11T00:00:00"/>
    <x v="5"/>
    <s v="Cincinnati"/>
    <x v="11"/>
    <x v="3"/>
  </r>
  <r>
    <s v="B-26898"/>
    <x v="173"/>
    <n v="8541"/>
    <n v="2029"/>
    <n v="0.237560004683292"/>
    <n v="12"/>
    <x v="0"/>
    <x v="0"/>
    <x v="3"/>
    <d v="2022-04-11T00:00:00"/>
    <x v="5"/>
    <s v="Cincinnati"/>
    <x v="11"/>
    <x v="3"/>
  </r>
  <r>
    <s v="B-26898"/>
    <x v="173"/>
    <n v="1931"/>
    <n v="551"/>
    <n v="0.28534438114966298"/>
    <n v="3"/>
    <x v="2"/>
    <x v="11"/>
    <x v="2"/>
    <d v="2022-04-11T00:00:00"/>
    <x v="5"/>
    <s v="Cincinnati"/>
    <x v="11"/>
    <x v="3"/>
  </r>
  <r>
    <s v="B-26035"/>
    <x v="174"/>
    <n v="1281"/>
    <n v="340"/>
    <n v="0.26541764246682298"/>
    <n v="3"/>
    <x v="0"/>
    <x v="0"/>
    <x v="1"/>
    <d v="2021-12-31T00:00:00"/>
    <x v="4"/>
    <s v="Austin"/>
    <x v="1"/>
    <x v="2"/>
  </r>
  <r>
    <s v="B-26035"/>
    <x v="174"/>
    <n v="2404"/>
    <n v="253"/>
    <n v="0.105241264559068"/>
    <n v="15"/>
    <x v="0"/>
    <x v="3"/>
    <x v="4"/>
    <d v="2021-12-31T00:00:00"/>
    <x v="4"/>
    <s v="Austin"/>
    <x v="1"/>
    <x v="2"/>
  </r>
  <r>
    <s v="B-25573"/>
    <x v="175"/>
    <n v="2119"/>
    <n v="196"/>
    <n v="9.2496460594620106E-2"/>
    <n v="1"/>
    <x v="2"/>
    <x v="7"/>
    <x v="4"/>
    <d v="2020-08-16T00:00:00"/>
    <x v="3"/>
    <s v="Los Angeles"/>
    <x v="9"/>
    <x v="4"/>
  </r>
  <r>
    <s v="B-25463"/>
    <x v="176"/>
    <n v="3137"/>
    <n v="571"/>
    <n v="0.18202103920943599"/>
    <n v="9"/>
    <x v="1"/>
    <x v="2"/>
    <x v="1"/>
    <d v="2025-02-02T00:00:00"/>
    <x v="1"/>
    <s v="Chicago"/>
    <x v="7"/>
    <x v="5"/>
  </r>
  <r>
    <s v="B-26277"/>
    <x v="177"/>
    <n v="2323"/>
    <n v="727"/>
    <n v="0.31295738269479101"/>
    <n v="7"/>
    <x v="2"/>
    <x v="4"/>
    <x v="4"/>
    <d v="2022-02-24T00:00:00"/>
    <x v="4"/>
    <s v="Dallas"/>
    <x v="7"/>
    <x v="3"/>
  </r>
  <r>
    <s v="B-26277"/>
    <x v="177"/>
    <n v="1368"/>
    <n v="406"/>
    <n v="0.29678362573099398"/>
    <n v="9"/>
    <x v="2"/>
    <x v="11"/>
    <x v="0"/>
    <d v="2022-02-24T00:00:00"/>
    <x v="4"/>
    <s v="Dallas"/>
    <x v="7"/>
    <x v="3"/>
  </r>
  <r>
    <s v="B-26508"/>
    <x v="178"/>
    <n v="9204"/>
    <n v="3289"/>
    <n v="0.35734463276836198"/>
    <n v="16"/>
    <x v="0"/>
    <x v="3"/>
    <x v="3"/>
    <d v="2024-02-25T00:00:00"/>
    <x v="0"/>
    <s v="Miami"/>
    <x v="7"/>
    <x v="1"/>
  </r>
  <r>
    <s v="B-26508"/>
    <x v="179"/>
    <n v="9204"/>
    <n v="3289"/>
    <n v="0.35734463276836198"/>
    <n v="16"/>
    <x v="0"/>
    <x v="3"/>
    <x v="3"/>
    <d v="2021-06-15T00:00:00"/>
    <x v="0"/>
    <s v="Miami"/>
    <x v="0"/>
    <x v="2"/>
  </r>
  <r>
    <s v="B-26508"/>
    <x v="178"/>
    <n v="9894"/>
    <n v="3698"/>
    <n v="0.37376187588437398"/>
    <n v="20"/>
    <x v="1"/>
    <x v="8"/>
    <x v="2"/>
    <d v="2024-02-25T00:00:00"/>
    <x v="0"/>
    <s v="Miami"/>
    <x v="7"/>
    <x v="1"/>
  </r>
  <r>
    <s v="B-26508"/>
    <x v="179"/>
    <n v="9894"/>
    <n v="3698"/>
    <n v="0.37376187588437398"/>
    <n v="20"/>
    <x v="1"/>
    <x v="8"/>
    <x v="2"/>
    <d v="2021-06-15T00:00:00"/>
    <x v="0"/>
    <s v="Miami"/>
    <x v="0"/>
    <x v="2"/>
  </r>
  <r>
    <s v="B-26723"/>
    <x v="180"/>
    <n v="5322"/>
    <n v="1423"/>
    <n v="0.26738068395340098"/>
    <n v="18"/>
    <x v="2"/>
    <x v="7"/>
    <x v="4"/>
    <d v="2022-12-08T00:00:00"/>
    <x v="4"/>
    <s v="Houston"/>
    <x v="1"/>
    <x v="3"/>
  </r>
  <r>
    <s v="B-26723"/>
    <x v="181"/>
    <n v="5322"/>
    <n v="1423"/>
    <n v="0.26738068395340098"/>
    <n v="18"/>
    <x v="2"/>
    <x v="7"/>
    <x v="4"/>
    <d v="2023-12-09T00:00:00"/>
    <x v="4"/>
    <s v="Dallas"/>
    <x v="1"/>
    <x v="0"/>
  </r>
  <r>
    <s v="B-25526"/>
    <x v="182"/>
    <n v="2666"/>
    <n v="559"/>
    <n v="0.209677419354839"/>
    <n v="14"/>
    <x v="2"/>
    <x v="5"/>
    <x v="4"/>
    <d v="2022-07-16T00:00:00"/>
    <x v="5"/>
    <s v="Cleveland"/>
    <x v="2"/>
    <x v="3"/>
  </r>
  <r>
    <s v="B-25645"/>
    <x v="183"/>
    <n v="8383"/>
    <n v="937"/>
    <n v="0.111773827985208"/>
    <n v="4"/>
    <x v="2"/>
    <x v="7"/>
    <x v="0"/>
    <d v="2024-05-05T00:00:00"/>
    <x v="0"/>
    <s v="Orlando"/>
    <x v="3"/>
    <x v="1"/>
  </r>
  <r>
    <s v="B-25757"/>
    <x v="184"/>
    <n v="7560"/>
    <n v="821"/>
    <n v="0.108597883597884"/>
    <n v="4"/>
    <x v="1"/>
    <x v="8"/>
    <x v="2"/>
    <d v="2021-10-04T00:00:00"/>
    <x v="1"/>
    <s v="Chicago"/>
    <x v="4"/>
    <x v="2"/>
  </r>
  <r>
    <s v="B-26716"/>
    <x v="185"/>
    <n v="1314"/>
    <n v="490"/>
    <n v="0.37290715372907202"/>
    <n v="16"/>
    <x v="2"/>
    <x v="7"/>
    <x v="0"/>
    <d v="2021-11-20T00:00:00"/>
    <x v="2"/>
    <s v="Buffalo"/>
    <x v="5"/>
    <x v="2"/>
  </r>
  <r>
    <s v="B-26716"/>
    <x v="185"/>
    <n v="4390"/>
    <n v="179"/>
    <n v="4.0774487471526198E-2"/>
    <n v="1"/>
    <x v="2"/>
    <x v="4"/>
    <x v="1"/>
    <d v="2021-11-20T00:00:00"/>
    <x v="2"/>
    <s v="Buffalo"/>
    <x v="5"/>
    <x v="2"/>
  </r>
  <r>
    <s v="B-26716"/>
    <x v="185"/>
    <n v="1150"/>
    <n v="58"/>
    <n v="5.0434782608695702E-2"/>
    <n v="7"/>
    <x v="1"/>
    <x v="9"/>
    <x v="1"/>
    <d v="2021-11-20T00:00:00"/>
    <x v="2"/>
    <s v="Buffalo"/>
    <x v="5"/>
    <x v="2"/>
  </r>
  <r>
    <s v="B-25424"/>
    <x v="186"/>
    <n v="1574"/>
    <n v="258"/>
    <n v="0.16391359593392599"/>
    <n v="17"/>
    <x v="1"/>
    <x v="2"/>
    <x v="2"/>
    <d v="2020-09-15T00:00:00"/>
    <x v="3"/>
    <s v="San Diego"/>
    <x v="10"/>
    <x v="4"/>
  </r>
  <r>
    <s v="B-25424"/>
    <x v="186"/>
    <n v="5635"/>
    <n v="318"/>
    <n v="5.6433007985803002E-2"/>
    <n v="17"/>
    <x v="1"/>
    <x v="9"/>
    <x v="0"/>
    <d v="2020-09-15T00:00:00"/>
    <x v="3"/>
    <s v="San Diego"/>
    <x v="10"/>
    <x v="4"/>
  </r>
  <r>
    <s v="B-25424"/>
    <x v="186"/>
    <n v="6515"/>
    <n v="961"/>
    <n v="0.14750575594781301"/>
    <n v="11"/>
    <x v="2"/>
    <x v="7"/>
    <x v="1"/>
    <d v="2020-09-15T00:00:00"/>
    <x v="3"/>
    <s v="San Diego"/>
    <x v="10"/>
    <x v="4"/>
  </r>
  <r>
    <s v="B-26453"/>
    <x v="187"/>
    <n v="1231"/>
    <n v="214"/>
    <n v="0.17384240454914701"/>
    <n v="20"/>
    <x v="0"/>
    <x v="3"/>
    <x v="1"/>
    <d v="2023-01-17T00:00:00"/>
    <x v="5"/>
    <s v="Columbus"/>
    <x v="8"/>
    <x v="0"/>
  </r>
  <r>
    <s v="B-26453"/>
    <x v="188"/>
    <n v="1231"/>
    <n v="214"/>
    <n v="0.17384240454914701"/>
    <n v="20"/>
    <x v="0"/>
    <x v="3"/>
    <x v="1"/>
    <d v="2020-06-16T00:00:00"/>
    <x v="2"/>
    <s v="Rochester"/>
    <x v="0"/>
    <x v="4"/>
  </r>
  <r>
    <s v="B-26425"/>
    <x v="189"/>
    <n v="6891"/>
    <n v="2529"/>
    <n v="0.36700043535045701"/>
    <n v="3"/>
    <x v="1"/>
    <x v="9"/>
    <x v="1"/>
    <d v="2024-05-01T00:00:00"/>
    <x v="5"/>
    <s v="Cleveland"/>
    <x v="3"/>
    <x v="1"/>
  </r>
  <r>
    <s v="B-25843"/>
    <x v="190"/>
    <n v="7524"/>
    <n v="2308"/>
    <n v="0.306751727804359"/>
    <n v="15"/>
    <x v="0"/>
    <x v="3"/>
    <x v="2"/>
    <d v="2023-12-07T00:00:00"/>
    <x v="4"/>
    <s v="Austin"/>
    <x v="1"/>
    <x v="0"/>
  </r>
  <r>
    <s v="B-25843"/>
    <x v="190"/>
    <n v="6864"/>
    <n v="1824"/>
    <n v="0.26573426573426601"/>
    <n v="14"/>
    <x v="0"/>
    <x v="1"/>
    <x v="3"/>
    <d v="2023-12-07T00:00:00"/>
    <x v="4"/>
    <s v="Austin"/>
    <x v="1"/>
    <x v="0"/>
  </r>
  <r>
    <s v="B-25486"/>
    <x v="191"/>
    <n v="4215"/>
    <n v="432"/>
    <n v="0.102491103202847"/>
    <n v="14"/>
    <x v="2"/>
    <x v="5"/>
    <x v="1"/>
    <d v="2024-02-02T00:00:00"/>
    <x v="5"/>
    <s v="Columbus"/>
    <x v="7"/>
    <x v="1"/>
  </r>
  <r>
    <s v="B-26975"/>
    <x v="192"/>
    <n v="622"/>
    <n v="218"/>
    <n v="0.35048231511254002"/>
    <n v="19"/>
    <x v="2"/>
    <x v="11"/>
    <x v="3"/>
    <d v="2024-06-23T00:00:00"/>
    <x v="3"/>
    <s v="San Diego"/>
    <x v="0"/>
    <x v="1"/>
  </r>
  <r>
    <s v="B-26975"/>
    <x v="192"/>
    <n v="1755"/>
    <n v="495"/>
    <n v="0.28205128205128199"/>
    <n v="18"/>
    <x v="1"/>
    <x v="2"/>
    <x v="0"/>
    <d v="2024-06-23T00:00:00"/>
    <x v="3"/>
    <s v="San Diego"/>
    <x v="0"/>
    <x v="1"/>
  </r>
  <r>
    <s v="B-26975"/>
    <x v="192"/>
    <n v="8020"/>
    <n v="3898"/>
    <n v="0.48603491271820398"/>
    <n v="20"/>
    <x v="0"/>
    <x v="0"/>
    <x v="2"/>
    <d v="2024-06-23T00:00:00"/>
    <x v="3"/>
    <s v="San Diego"/>
    <x v="0"/>
    <x v="1"/>
  </r>
  <r>
    <s v="B-26890"/>
    <x v="193"/>
    <n v="7333"/>
    <n v="1576"/>
    <n v="0.214918859948179"/>
    <n v="4"/>
    <x v="0"/>
    <x v="3"/>
    <x v="3"/>
    <d v="2024-06-07T00:00:00"/>
    <x v="2"/>
    <s v="Buffalo"/>
    <x v="0"/>
    <x v="1"/>
  </r>
  <r>
    <s v="B-26125"/>
    <x v="194"/>
    <n v="7690"/>
    <n v="1134"/>
    <n v="0.14746423927178201"/>
    <n v="4"/>
    <x v="0"/>
    <x v="0"/>
    <x v="4"/>
    <d v="2023-10-13T00:00:00"/>
    <x v="2"/>
    <s v="Rochester"/>
    <x v="4"/>
    <x v="0"/>
  </r>
  <r>
    <s v="B-26125"/>
    <x v="194"/>
    <n v="912"/>
    <n v="246"/>
    <n v="0.269736842105263"/>
    <n v="2"/>
    <x v="2"/>
    <x v="7"/>
    <x v="2"/>
    <d v="2023-10-13T00:00:00"/>
    <x v="2"/>
    <s v="Rochester"/>
    <x v="4"/>
    <x v="0"/>
  </r>
  <r>
    <s v="B-26489"/>
    <x v="195"/>
    <n v="2791"/>
    <n v="894"/>
    <n v="0.320315299175923"/>
    <n v="14"/>
    <x v="0"/>
    <x v="3"/>
    <x v="4"/>
    <d v="2022-10-08T00:00:00"/>
    <x v="4"/>
    <s v="Austin"/>
    <x v="4"/>
    <x v="3"/>
  </r>
  <r>
    <s v="B-26489"/>
    <x v="196"/>
    <n v="2791"/>
    <n v="894"/>
    <n v="0.320315299175923"/>
    <n v="14"/>
    <x v="0"/>
    <x v="3"/>
    <x v="4"/>
    <d v="2023-10-27T00:00:00"/>
    <x v="5"/>
    <s v="Cincinnati"/>
    <x v="4"/>
    <x v="0"/>
  </r>
  <r>
    <s v="B-26489"/>
    <x v="197"/>
    <n v="2791"/>
    <n v="894"/>
    <n v="0.320315299175923"/>
    <n v="14"/>
    <x v="0"/>
    <x v="3"/>
    <x v="4"/>
    <d v="2021-02-09T00:00:00"/>
    <x v="4"/>
    <s v="Dallas"/>
    <x v="7"/>
    <x v="2"/>
  </r>
  <r>
    <s v="B-26489"/>
    <x v="195"/>
    <n v="6223"/>
    <n v="1478"/>
    <n v="0.23750602603245999"/>
    <n v="3"/>
    <x v="2"/>
    <x v="7"/>
    <x v="1"/>
    <d v="2022-10-08T00:00:00"/>
    <x v="4"/>
    <s v="Austin"/>
    <x v="4"/>
    <x v="3"/>
  </r>
  <r>
    <s v="B-26489"/>
    <x v="196"/>
    <n v="6223"/>
    <n v="1478"/>
    <n v="0.23750602603245999"/>
    <n v="3"/>
    <x v="2"/>
    <x v="7"/>
    <x v="1"/>
    <d v="2023-10-27T00:00:00"/>
    <x v="5"/>
    <s v="Cincinnati"/>
    <x v="4"/>
    <x v="0"/>
  </r>
  <r>
    <s v="B-26489"/>
    <x v="197"/>
    <n v="6223"/>
    <n v="1478"/>
    <n v="0.23750602603245999"/>
    <n v="3"/>
    <x v="2"/>
    <x v="7"/>
    <x v="1"/>
    <d v="2021-02-09T00:00:00"/>
    <x v="4"/>
    <s v="Dallas"/>
    <x v="7"/>
    <x v="2"/>
  </r>
  <r>
    <s v="B-26489"/>
    <x v="195"/>
    <n v="8943"/>
    <n v="3121"/>
    <n v="0.34898803533489903"/>
    <n v="17"/>
    <x v="2"/>
    <x v="5"/>
    <x v="1"/>
    <d v="2022-10-08T00:00:00"/>
    <x v="4"/>
    <s v="Austin"/>
    <x v="4"/>
    <x v="3"/>
  </r>
  <r>
    <s v="B-26489"/>
    <x v="196"/>
    <n v="8943"/>
    <n v="3121"/>
    <n v="0.34898803533489903"/>
    <n v="17"/>
    <x v="2"/>
    <x v="5"/>
    <x v="1"/>
    <d v="2023-10-27T00:00:00"/>
    <x v="5"/>
    <s v="Cincinnati"/>
    <x v="4"/>
    <x v="0"/>
  </r>
  <r>
    <s v="B-26489"/>
    <x v="197"/>
    <n v="8943"/>
    <n v="3121"/>
    <n v="0.34898803533489903"/>
    <n v="17"/>
    <x v="2"/>
    <x v="5"/>
    <x v="1"/>
    <d v="2021-02-09T00:00:00"/>
    <x v="4"/>
    <s v="Dallas"/>
    <x v="7"/>
    <x v="2"/>
  </r>
  <r>
    <s v="B-26489"/>
    <x v="195"/>
    <n v="3297"/>
    <n v="102"/>
    <n v="3.0937215650591401E-2"/>
    <n v="12"/>
    <x v="0"/>
    <x v="10"/>
    <x v="3"/>
    <d v="2022-10-08T00:00:00"/>
    <x v="4"/>
    <s v="Austin"/>
    <x v="4"/>
    <x v="3"/>
  </r>
  <r>
    <s v="B-26489"/>
    <x v="196"/>
    <n v="3297"/>
    <n v="102"/>
    <n v="3.0937215650591401E-2"/>
    <n v="12"/>
    <x v="0"/>
    <x v="10"/>
    <x v="3"/>
    <d v="2023-10-27T00:00:00"/>
    <x v="5"/>
    <s v="Cincinnati"/>
    <x v="4"/>
    <x v="0"/>
  </r>
  <r>
    <s v="B-26489"/>
    <x v="197"/>
    <n v="3297"/>
    <n v="102"/>
    <n v="3.0937215650591401E-2"/>
    <n v="12"/>
    <x v="0"/>
    <x v="10"/>
    <x v="3"/>
    <d v="2021-02-09T00:00:00"/>
    <x v="4"/>
    <s v="Dallas"/>
    <x v="7"/>
    <x v="2"/>
  </r>
  <r>
    <s v="B-26043"/>
    <x v="198"/>
    <n v="8769"/>
    <n v="1989"/>
    <n v="0.22682175846732799"/>
    <n v="20"/>
    <x v="1"/>
    <x v="8"/>
    <x v="0"/>
    <d v="2020-11-03T00:00:00"/>
    <x v="1"/>
    <s v="Chicago"/>
    <x v="5"/>
    <x v="4"/>
  </r>
  <r>
    <s v="B-26557"/>
    <x v="199"/>
    <n v="9057"/>
    <n v="1888"/>
    <n v="0.20845754664900101"/>
    <n v="19"/>
    <x v="0"/>
    <x v="1"/>
    <x v="4"/>
    <d v="2022-05-30T00:00:00"/>
    <x v="0"/>
    <s v="Orlando"/>
    <x v="3"/>
    <x v="3"/>
  </r>
  <r>
    <s v="B-26557"/>
    <x v="199"/>
    <n v="6864"/>
    <n v="3275"/>
    <n v="0.47712703962704001"/>
    <n v="11"/>
    <x v="2"/>
    <x v="4"/>
    <x v="3"/>
    <d v="2022-05-30T00:00:00"/>
    <x v="0"/>
    <s v="Orlando"/>
    <x v="3"/>
    <x v="3"/>
  </r>
  <r>
    <s v="B-26557"/>
    <x v="199"/>
    <n v="9200"/>
    <n v="809"/>
    <n v="8.7934782608695597E-2"/>
    <n v="13"/>
    <x v="0"/>
    <x v="3"/>
    <x v="4"/>
    <d v="2022-05-30T00:00:00"/>
    <x v="0"/>
    <s v="Orlando"/>
    <x v="3"/>
    <x v="3"/>
  </r>
  <r>
    <s v="B-25243"/>
    <x v="200"/>
    <n v="6113"/>
    <n v="2508"/>
    <n v="0.41027318828725701"/>
    <n v="6"/>
    <x v="0"/>
    <x v="3"/>
    <x v="0"/>
    <d v="2024-06-16T00:00:00"/>
    <x v="0"/>
    <s v="Orlando"/>
    <x v="0"/>
    <x v="1"/>
  </r>
  <r>
    <s v="B-25243"/>
    <x v="200"/>
    <n v="7733"/>
    <n v="2784"/>
    <n v="0.36001551791025499"/>
    <n v="15"/>
    <x v="2"/>
    <x v="4"/>
    <x v="2"/>
    <d v="2024-06-16T00:00:00"/>
    <x v="0"/>
    <s v="Orlando"/>
    <x v="0"/>
    <x v="1"/>
  </r>
  <r>
    <s v="B-25243"/>
    <x v="200"/>
    <n v="8524"/>
    <n v="154"/>
    <n v="1.8066635382449601E-2"/>
    <n v="14"/>
    <x v="2"/>
    <x v="4"/>
    <x v="4"/>
    <d v="2024-06-16T00:00:00"/>
    <x v="0"/>
    <s v="Orlando"/>
    <x v="0"/>
    <x v="1"/>
  </r>
  <r>
    <s v="B-25243"/>
    <x v="200"/>
    <n v="6187"/>
    <n v="2344"/>
    <n v="0.37885889768870201"/>
    <n v="15"/>
    <x v="2"/>
    <x v="11"/>
    <x v="2"/>
    <d v="2024-06-16T00:00:00"/>
    <x v="0"/>
    <s v="Orlando"/>
    <x v="0"/>
    <x v="1"/>
  </r>
  <r>
    <s v="B-26932"/>
    <x v="201"/>
    <n v="4364"/>
    <n v="148"/>
    <n v="3.3913840513290598E-2"/>
    <n v="18"/>
    <x v="2"/>
    <x v="4"/>
    <x v="2"/>
    <d v="2022-07-15T00:00:00"/>
    <x v="5"/>
    <s v="Cincinnati"/>
    <x v="2"/>
    <x v="3"/>
  </r>
  <r>
    <s v="B-26932"/>
    <x v="201"/>
    <n v="736"/>
    <n v="286"/>
    <n v="0.38858695652173902"/>
    <n v="12"/>
    <x v="1"/>
    <x v="2"/>
    <x v="2"/>
    <d v="2022-07-15T00:00:00"/>
    <x v="5"/>
    <s v="Cincinnati"/>
    <x v="2"/>
    <x v="3"/>
  </r>
  <r>
    <s v="B-25241"/>
    <x v="202"/>
    <n v="9905"/>
    <n v="633"/>
    <n v="6.3907117617365006E-2"/>
    <n v="17"/>
    <x v="1"/>
    <x v="2"/>
    <x v="2"/>
    <d v="2021-07-18T00:00:00"/>
    <x v="4"/>
    <s v="Dallas"/>
    <x v="2"/>
    <x v="2"/>
  </r>
  <r>
    <s v="B-25241"/>
    <x v="203"/>
    <n v="9905"/>
    <n v="633"/>
    <n v="6.3907117617365006E-2"/>
    <n v="17"/>
    <x v="1"/>
    <x v="2"/>
    <x v="2"/>
    <d v="2021-10-02T00:00:00"/>
    <x v="0"/>
    <s v="Tampa"/>
    <x v="4"/>
    <x v="2"/>
  </r>
  <r>
    <s v="B-25044"/>
    <x v="204"/>
    <n v="2493"/>
    <n v="1221"/>
    <n v="0.489771359807461"/>
    <n v="9"/>
    <x v="1"/>
    <x v="8"/>
    <x v="3"/>
    <d v="2024-04-16T00:00:00"/>
    <x v="1"/>
    <s v="Springfield"/>
    <x v="11"/>
    <x v="1"/>
  </r>
  <r>
    <s v="B-25044"/>
    <x v="204"/>
    <n v="9849"/>
    <n v="963"/>
    <n v="9.7776424002436801E-2"/>
    <n v="1"/>
    <x v="1"/>
    <x v="2"/>
    <x v="3"/>
    <d v="2024-04-16T00:00:00"/>
    <x v="1"/>
    <s v="Springfield"/>
    <x v="11"/>
    <x v="1"/>
  </r>
  <r>
    <s v="B-26137"/>
    <x v="205"/>
    <n v="3423"/>
    <n v="804"/>
    <n v="0.23488168273444299"/>
    <n v="4"/>
    <x v="0"/>
    <x v="1"/>
    <x v="3"/>
    <d v="2020-07-09T00:00:00"/>
    <x v="1"/>
    <s v="Peoria"/>
    <x v="2"/>
    <x v="4"/>
  </r>
  <r>
    <s v="B-26137"/>
    <x v="206"/>
    <n v="3423"/>
    <n v="804"/>
    <n v="0.23488168273444299"/>
    <n v="4"/>
    <x v="0"/>
    <x v="1"/>
    <x v="3"/>
    <d v="2020-07-25T00:00:00"/>
    <x v="4"/>
    <s v="Dallas"/>
    <x v="2"/>
    <x v="4"/>
  </r>
  <r>
    <s v="B-26137"/>
    <x v="207"/>
    <n v="3423"/>
    <n v="804"/>
    <n v="0.23488168273444299"/>
    <n v="4"/>
    <x v="0"/>
    <x v="1"/>
    <x v="3"/>
    <d v="2024-01-24T00:00:00"/>
    <x v="4"/>
    <s v="Austin"/>
    <x v="8"/>
    <x v="1"/>
  </r>
  <r>
    <s v="B-26137"/>
    <x v="208"/>
    <n v="3423"/>
    <n v="804"/>
    <n v="0.23488168273444299"/>
    <n v="4"/>
    <x v="0"/>
    <x v="1"/>
    <x v="3"/>
    <d v="2020-05-04T00:00:00"/>
    <x v="4"/>
    <s v="Dallas"/>
    <x v="3"/>
    <x v="4"/>
  </r>
  <r>
    <s v="B-26137"/>
    <x v="209"/>
    <n v="3423"/>
    <n v="804"/>
    <n v="0.23488168273444299"/>
    <n v="4"/>
    <x v="0"/>
    <x v="1"/>
    <x v="3"/>
    <d v="2021-11-13T00:00:00"/>
    <x v="5"/>
    <s v="Cincinnati"/>
    <x v="5"/>
    <x v="2"/>
  </r>
  <r>
    <s v="B-25545"/>
    <x v="210"/>
    <n v="3900"/>
    <n v="115"/>
    <n v="2.94871794871795E-2"/>
    <n v="9"/>
    <x v="2"/>
    <x v="5"/>
    <x v="4"/>
    <d v="2023-10-07T00:00:00"/>
    <x v="1"/>
    <s v="Springfield"/>
    <x v="4"/>
    <x v="0"/>
  </r>
  <r>
    <s v="B-26800"/>
    <x v="211"/>
    <n v="8568"/>
    <n v="2419"/>
    <n v="0.28232959850606898"/>
    <n v="11"/>
    <x v="0"/>
    <x v="0"/>
    <x v="0"/>
    <d v="2021-10-23T00:00:00"/>
    <x v="2"/>
    <s v="Rochester"/>
    <x v="4"/>
    <x v="2"/>
  </r>
  <r>
    <s v="B-26800"/>
    <x v="211"/>
    <n v="3283"/>
    <n v="71"/>
    <n v="2.16265610721901E-2"/>
    <n v="6"/>
    <x v="1"/>
    <x v="2"/>
    <x v="2"/>
    <d v="2021-10-23T00:00:00"/>
    <x v="2"/>
    <s v="Rochester"/>
    <x v="4"/>
    <x v="2"/>
  </r>
  <r>
    <s v="B-26987"/>
    <x v="212"/>
    <n v="7643"/>
    <n v="3720"/>
    <n v="0.48671987439487102"/>
    <n v="19"/>
    <x v="0"/>
    <x v="0"/>
    <x v="2"/>
    <d v="2022-07-18T00:00:00"/>
    <x v="4"/>
    <s v="Dallas"/>
    <x v="2"/>
    <x v="3"/>
  </r>
  <r>
    <s v="B-26144"/>
    <x v="213"/>
    <n v="3461"/>
    <n v="1537"/>
    <n v="0.444091303091592"/>
    <n v="15"/>
    <x v="2"/>
    <x v="7"/>
    <x v="2"/>
    <d v="2024-08-23T00:00:00"/>
    <x v="1"/>
    <s v="Chicago"/>
    <x v="9"/>
    <x v="1"/>
  </r>
  <r>
    <s v="B-26144"/>
    <x v="213"/>
    <n v="5714"/>
    <n v="1438"/>
    <n v="0.25166258312915601"/>
    <n v="6"/>
    <x v="0"/>
    <x v="0"/>
    <x v="3"/>
    <d v="2024-08-23T00:00:00"/>
    <x v="1"/>
    <s v="Chicago"/>
    <x v="9"/>
    <x v="1"/>
  </r>
  <r>
    <s v="B-26144"/>
    <x v="213"/>
    <n v="3853"/>
    <n v="1457"/>
    <n v="0.37814689852063299"/>
    <n v="10"/>
    <x v="1"/>
    <x v="9"/>
    <x v="4"/>
    <d v="2024-08-23T00:00:00"/>
    <x v="1"/>
    <s v="Chicago"/>
    <x v="9"/>
    <x v="1"/>
  </r>
  <r>
    <s v="B-25406"/>
    <x v="214"/>
    <n v="6016"/>
    <n v="431"/>
    <n v="7.1642287234042604E-2"/>
    <n v="20"/>
    <x v="1"/>
    <x v="2"/>
    <x v="0"/>
    <d v="2020-10-28T00:00:00"/>
    <x v="1"/>
    <s v="Chicago"/>
    <x v="4"/>
    <x v="4"/>
  </r>
  <r>
    <s v="B-25658"/>
    <x v="215"/>
    <n v="1290"/>
    <n v="204"/>
    <n v="0.15813953488372101"/>
    <n v="12"/>
    <x v="1"/>
    <x v="6"/>
    <x v="0"/>
    <d v="2024-06-15T00:00:00"/>
    <x v="2"/>
    <s v="Buffalo"/>
    <x v="0"/>
    <x v="1"/>
  </r>
  <r>
    <s v="B-25658"/>
    <x v="216"/>
    <n v="1290"/>
    <n v="204"/>
    <n v="0.15813953488372101"/>
    <n v="12"/>
    <x v="1"/>
    <x v="6"/>
    <x v="0"/>
    <d v="2024-12-19T00:00:00"/>
    <x v="3"/>
    <s v="San Francisco"/>
    <x v="1"/>
    <x v="1"/>
  </r>
  <r>
    <s v="B-25733"/>
    <x v="217"/>
    <n v="4569"/>
    <n v="1693"/>
    <n v="0.37054059969358699"/>
    <n v="10"/>
    <x v="0"/>
    <x v="1"/>
    <x v="0"/>
    <d v="2020-09-04T00:00:00"/>
    <x v="1"/>
    <s v="Springfield"/>
    <x v="10"/>
    <x v="4"/>
  </r>
  <r>
    <s v="B-26993"/>
    <x v="218"/>
    <n v="3083"/>
    <n v="1151"/>
    <n v="0.37333765812520298"/>
    <n v="16"/>
    <x v="2"/>
    <x v="11"/>
    <x v="1"/>
    <d v="2022-04-16T00:00:00"/>
    <x v="0"/>
    <s v="Orlando"/>
    <x v="11"/>
    <x v="3"/>
  </r>
  <r>
    <s v="B-26964"/>
    <x v="219"/>
    <n v="3522"/>
    <n v="898"/>
    <n v="0.25496876774559901"/>
    <n v="15"/>
    <x v="1"/>
    <x v="2"/>
    <x v="3"/>
    <d v="2024-08-29T00:00:00"/>
    <x v="5"/>
    <s v="Cleveland"/>
    <x v="9"/>
    <x v="1"/>
  </r>
  <r>
    <s v="B-26964"/>
    <x v="220"/>
    <n v="3522"/>
    <n v="898"/>
    <n v="0.25496876774559901"/>
    <n v="15"/>
    <x v="1"/>
    <x v="2"/>
    <x v="3"/>
    <d v="2022-01-14T00:00:00"/>
    <x v="3"/>
    <s v="Los Angeles"/>
    <x v="8"/>
    <x v="3"/>
  </r>
  <r>
    <s v="B-26955"/>
    <x v="221"/>
    <n v="7301"/>
    <n v="3602"/>
    <n v="0.493357074373374"/>
    <n v="3"/>
    <x v="1"/>
    <x v="9"/>
    <x v="1"/>
    <d v="2024-04-07T00:00:00"/>
    <x v="4"/>
    <s v="Houston"/>
    <x v="11"/>
    <x v="1"/>
  </r>
  <r>
    <s v="B-26059"/>
    <x v="222"/>
    <n v="4462"/>
    <n v="121"/>
    <n v="2.71178843567907E-2"/>
    <n v="8"/>
    <x v="0"/>
    <x v="3"/>
    <x v="4"/>
    <d v="2022-04-24T00:00:00"/>
    <x v="1"/>
    <s v="Springfield"/>
    <x v="11"/>
    <x v="3"/>
  </r>
  <r>
    <s v="B-26059"/>
    <x v="222"/>
    <n v="6212"/>
    <n v="1881"/>
    <n v="0.30280103026400501"/>
    <n v="17"/>
    <x v="0"/>
    <x v="10"/>
    <x v="4"/>
    <d v="2022-04-24T00:00:00"/>
    <x v="1"/>
    <s v="Springfield"/>
    <x v="11"/>
    <x v="3"/>
  </r>
  <r>
    <s v="B-26806"/>
    <x v="223"/>
    <n v="4027"/>
    <n v="1386"/>
    <n v="0.344176806555749"/>
    <n v="3"/>
    <x v="2"/>
    <x v="11"/>
    <x v="2"/>
    <d v="2020-08-27T00:00:00"/>
    <x v="0"/>
    <s v="Tampa"/>
    <x v="9"/>
    <x v="4"/>
  </r>
  <r>
    <s v="B-26299"/>
    <x v="224"/>
    <n v="1676"/>
    <n v="330"/>
    <n v="0.19689737470167101"/>
    <n v="14"/>
    <x v="0"/>
    <x v="3"/>
    <x v="2"/>
    <d v="2023-03-01T00:00:00"/>
    <x v="5"/>
    <s v="Cleveland"/>
    <x v="6"/>
    <x v="0"/>
  </r>
  <r>
    <s v="B-26299"/>
    <x v="224"/>
    <n v="3927"/>
    <n v="1133"/>
    <n v="0.28851540616246502"/>
    <n v="12"/>
    <x v="2"/>
    <x v="11"/>
    <x v="4"/>
    <d v="2023-03-01T00:00:00"/>
    <x v="5"/>
    <s v="Cleveland"/>
    <x v="6"/>
    <x v="0"/>
  </r>
  <r>
    <s v="B-26299"/>
    <x v="224"/>
    <n v="2776"/>
    <n v="887"/>
    <n v="0.31952449567723301"/>
    <n v="9"/>
    <x v="0"/>
    <x v="10"/>
    <x v="1"/>
    <d v="2023-03-01T00:00:00"/>
    <x v="5"/>
    <s v="Cleveland"/>
    <x v="6"/>
    <x v="0"/>
  </r>
  <r>
    <s v="B-26743"/>
    <x v="225"/>
    <n v="7684"/>
    <n v="1157"/>
    <n v="0.15057261842790201"/>
    <n v="12"/>
    <x v="2"/>
    <x v="7"/>
    <x v="4"/>
    <d v="2020-10-02T00:00:00"/>
    <x v="1"/>
    <s v="Chicago"/>
    <x v="4"/>
    <x v="4"/>
  </r>
  <r>
    <s v="B-26743"/>
    <x v="226"/>
    <n v="7684"/>
    <n v="1157"/>
    <n v="0.15057261842790201"/>
    <n v="12"/>
    <x v="2"/>
    <x v="7"/>
    <x v="4"/>
    <d v="2020-06-23T00:00:00"/>
    <x v="2"/>
    <s v="Buffalo"/>
    <x v="0"/>
    <x v="4"/>
  </r>
  <r>
    <s v="B-26743"/>
    <x v="227"/>
    <n v="7684"/>
    <n v="1157"/>
    <n v="0.15057261842790201"/>
    <n v="12"/>
    <x v="2"/>
    <x v="7"/>
    <x v="4"/>
    <d v="2023-08-21T00:00:00"/>
    <x v="5"/>
    <s v="Columbus"/>
    <x v="9"/>
    <x v="0"/>
  </r>
  <r>
    <s v="B-26757"/>
    <x v="228"/>
    <n v="6008"/>
    <n v="2498"/>
    <n v="0.41577896138482001"/>
    <n v="17"/>
    <x v="0"/>
    <x v="10"/>
    <x v="3"/>
    <d v="2022-07-16T00:00:00"/>
    <x v="0"/>
    <s v="Miami"/>
    <x v="2"/>
    <x v="3"/>
  </r>
  <r>
    <s v="B-26772"/>
    <x v="229"/>
    <n v="7344"/>
    <n v="2598"/>
    <n v="0.35375816993464099"/>
    <n v="20"/>
    <x v="2"/>
    <x v="11"/>
    <x v="4"/>
    <d v="2022-08-01T00:00:00"/>
    <x v="4"/>
    <s v="Dallas"/>
    <x v="9"/>
    <x v="3"/>
  </r>
  <r>
    <s v="B-26088"/>
    <x v="230"/>
    <n v="6932"/>
    <n v="3218"/>
    <n v="0.464223889209463"/>
    <n v="20"/>
    <x v="1"/>
    <x v="2"/>
    <x v="4"/>
    <d v="2020-07-16T00:00:00"/>
    <x v="0"/>
    <s v="Orlando"/>
    <x v="2"/>
    <x v="4"/>
  </r>
  <r>
    <s v="B-26319"/>
    <x v="231"/>
    <n v="7748"/>
    <n v="1706"/>
    <n v="0.22018585441404201"/>
    <n v="16"/>
    <x v="0"/>
    <x v="0"/>
    <x v="2"/>
    <d v="2020-05-02T00:00:00"/>
    <x v="5"/>
    <s v="Cincinnati"/>
    <x v="3"/>
    <x v="4"/>
  </r>
  <r>
    <s v="B-26319"/>
    <x v="231"/>
    <n v="6381"/>
    <n v="2763"/>
    <n v="0.43300423131170701"/>
    <n v="20"/>
    <x v="1"/>
    <x v="6"/>
    <x v="0"/>
    <d v="2020-05-02T00:00:00"/>
    <x v="5"/>
    <s v="Cincinnati"/>
    <x v="3"/>
    <x v="4"/>
  </r>
  <r>
    <s v="B-26319"/>
    <x v="231"/>
    <n v="992"/>
    <n v="64"/>
    <n v="6.4516129032258104E-2"/>
    <n v="6"/>
    <x v="0"/>
    <x v="10"/>
    <x v="3"/>
    <d v="2020-05-02T00:00:00"/>
    <x v="5"/>
    <s v="Cincinnati"/>
    <x v="3"/>
    <x v="4"/>
  </r>
  <r>
    <s v="B-25364"/>
    <x v="232"/>
    <n v="8649"/>
    <n v="2631"/>
    <n v="0.30419701699618401"/>
    <n v="13"/>
    <x v="0"/>
    <x v="3"/>
    <x v="2"/>
    <d v="2024-01-10T00:00:00"/>
    <x v="3"/>
    <s v="San Francisco"/>
    <x v="8"/>
    <x v="1"/>
  </r>
  <r>
    <s v="B-25364"/>
    <x v="233"/>
    <n v="8649"/>
    <n v="2631"/>
    <n v="0.30419701699618401"/>
    <n v="13"/>
    <x v="0"/>
    <x v="3"/>
    <x v="2"/>
    <d v="2020-09-30T00:00:00"/>
    <x v="2"/>
    <s v="Rochester"/>
    <x v="10"/>
    <x v="4"/>
  </r>
  <r>
    <s v="B-25655"/>
    <x v="234"/>
    <n v="4099"/>
    <n v="52"/>
    <n v="1.2686020980727001E-2"/>
    <n v="18"/>
    <x v="0"/>
    <x v="3"/>
    <x v="0"/>
    <d v="2022-03-28T00:00:00"/>
    <x v="2"/>
    <s v="New York City"/>
    <x v="6"/>
    <x v="3"/>
  </r>
  <r>
    <s v="B-26864"/>
    <x v="235"/>
    <n v="2539"/>
    <n v="324"/>
    <n v="0.127609294998031"/>
    <n v="5"/>
    <x v="0"/>
    <x v="0"/>
    <x v="0"/>
    <d v="2021-01-30T00:00:00"/>
    <x v="3"/>
    <s v="San Francisco"/>
    <x v="8"/>
    <x v="2"/>
  </r>
  <r>
    <s v="B-26019"/>
    <x v="236"/>
    <n v="9845"/>
    <n v="3062"/>
    <n v="0.31102082275266602"/>
    <n v="9"/>
    <x v="1"/>
    <x v="8"/>
    <x v="4"/>
    <d v="2025-03-14T00:00:00"/>
    <x v="0"/>
    <s v="Orlando"/>
    <x v="6"/>
    <x v="5"/>
  </r>
  <r>
    <s v="B-25849"/>
    <x v="237"/>
    <n v="2901"/>
    <n v="1411"/>
    <n v="0.48638400551534"/>
    <n v="2"/>
    <x v="1"/>
    <x v="8"/>
    <x v="1"/>
    <d v="2021-10-26T00:00:00"/>
    <x v="4"/>
    <s v="Austin"/>
    <x v="4"/>
    <x v="2"/>
  </r>
  <r>
    <s v="B-25849"/>
    <x v="238"/>
    <n v="2901"/>
    <n v="1411"/>
    <n v="0.48638400551534"/>
    <n v="2"/>
    <x v="1"/>
    <x v="8"/>
    <x v="1"/>
    <d v="2023-01-11T00:00:00"/>
    <x v="3"/>
    <s v="Los Angeles"/>
    <x v="8"/>
    <x v="0"/>
  </r>
  <r>
    <s v="B-25849"/>
    <x v="237"/>
    <n v="6934"/>
    <n v="1152"/>
    <n v="0.16613787135852301"/>
    <n v="6"/>
    <x v="1"/>
    <x v="2"/>
    <x v="3"/>
    <d v="2021-10-26T00:00:00"/>
    <x v="4"/>
    <s v="Austin"/>
    <x v="4"/>
    <x v="2"/>
  </r>
  <r>
    <s v="B-25849"/>
    <x v="238"/>
    <n v="6934"/>
    <n v="1152"/>
    <n v="0.16613787135852301"/>
    <n v="6"/>
    <x v="1"/>
    <x v="2"/>
    <x v="3"/>
    <d v="2023-01-11T00:00:00"/>
    <x v="3"/>
    <s v="Los Angeles"/>
    <x v="8"/>
    <x v="0"/>
  </r>
  <r>
    <s v="B-25829"/>
    <x v="239"/>
    <n v="9640"/>
    <n v="2606"/>
    <n v="0.27033195020746897"/>
    <n v="2"/>
    <x v="2"/>
    <x v="11"/>
    <x v="3"/>
    <d v="2021-10-31T00:00:00"/>
    <x v="1"/>
    <s v="Peoria"/>
    <x v="4"/>
    <x v="2"/>
  </r>
  <r>
    <s v="B-26065"/>
    <x v="240"/>
    <n v="7930"/>
    <n v="1981"/>
    <n v="0.249810844892812"/>
    <n v="13"/>
    <x v="2"/>
    <x v="5"/>
    <x v="3"/>
    <d v="2023-05-04T00:00:00"/>
    <x v="5"/>
    <s v="Cleveland"/>
    <x v="3"/>
    <x v="0"/>
  </r>
  <r>
    <s v="B-26065"/>
    <x v="241"/>
    <n v="7930"/>
    <n v="1981"/>
    <n v="0.249810844892812"/>
    <n v="13"/>
    <x v="2"/>
    <x v="5"/>
    <x v="3"/>
    <d v="2024-08-09T00:00:00"/>
    <x v="1"/>
    <s v="Springfield"/>
    <x v="9"/>
    <x v="1"/>
  </r>
  <r>
    <s v="B-25267"/>
    <x v="242"/>
    <n v="9894"/>
    <n v="829"/>
    <n v="8.3788154437032497E-2"/>
    <n v="1"/>
    <x v="1"/>
    <x v="9"/>
    <x v="4"/>
    <d v="2022-08-21T00:00:00"/>
    <x v="3"/>
    <s v="San Diego"/>
    <x v="9"/>
    <x v="3"/>
  </r>
  <r>
    <s v="B-25267"/>
    <x v="242"/>
    <n v="4534"/>
    <n v="2235"/>
    <n v="0.492942214380238"/>
    <n v="4"/>
    <x v="2"/>
    <x v="4"/>
    <x v="4"/>
    <d v="2022-08-21T00:00:00"/>
    <x v="3"/>
    <s v="San Diego"/>
    <x v="9"/>
    <x v="3"/>
  </r>
  <r>
    <s v="B-25972"/>
    <x v="243"/>
    <n v="4911"/>
    <n v="186"/>
    <n v="3.7874160048869898E-2"/>
    <n v="20"/>
    <x v="0"/>
    <x v="10"/>
    <x v="1"/>
    <d v="2022-06-19T00:00:00"/>
    <x v="2"/>
    <s v="Buffalo"/>
    <x v="0"/>
    <x v="3"/>
  </r>
  <r>
    <s v="B-25972"/>
    <x v="243"/>
    <n v="531"/>
    <n v="189"/>
    <n v="0.35593220338983"/>
    <n v="20"/>
    <x v="2"/>
    <x v="11"/>
    <x v="1"/>
    <d v="2022-06-19T00:00:00"/>
    <x v="2"/>
    <s v="Buffalo"/>
    <x v="0"/>
    <x v="3"/>
  </r>
  <r>
    <s v="B-25511"/>
    <x v="244"/>
    <n v="9707"/>
    <n v="3483"/>
    <n v="0.35881322756773498"/>
    <n v="10"/>
    <x v="0"/>
    <x v="0"/>
    <x v="2"/>
    <d v="2025-01-29T00:00:00"/>
    <x v="1"/>
    <s v="Peoria"/>
    <x v="8"/>
    <x v="5"/>
  </r>
  <r>
    <s v="B-25511"/>
    <x v="244"/>
    <n v="8521"/>
    <n v="2584"/>
    <n v="0.30325079216054401"/>
    <n v="7"/>
    <x v="1"/>
    <x v="8"/>
    <x v="4"/>
    <d v="2025-01-29T00:00:00"/>
    <x v="1"/>
    <s v="Peoria"/>
    <x v="8"/>
    <x v="5"/>
  </r>
  <r>
    <s v="B-25744"/>
    <x v="245"/>
    <n v="8438"/>
    <n v="3427"/>
    <n v="0.40613889547286097"/>
    <n v="12"/>
    <x v="1"/>
    <x v="9"/>
    <x v="3"/>
    <d v="2022-01-14T00:00:00"/>
    <x v="2"/>
    <s v="Buffalo"/>
    <x v="8"/>
    <x v="3"/>
  </r>
  <r>
    <s v="B-25744"/>
    <x v="245"/>
    <n v="1689"/>
    <n v="109"/>
    <n v="6.4535227945529905E-2"/>
    <n v="9"/>
    <x v="0"/>
    <x v="0"/>
    <x v="0"/>
    <d v="2022-01-14T00:00:00"/>
    <x v="2"/>
    <s v="Buffalo"/>
    <x v="8"/>
    <x v="3"/>
  </r>
  <r>
    <s v="B-25744"/>
    <x v="245"/>
    <n v="3936"/>
    <n v="1626"/>
    <n v="0.41310975609756101"/>
    <n v="14"/>
    <x v="1"/>
    <x v="8"/>
    <x v="4"/>
    <d v="2022-01-14T00:00:00"/>
    <x v="2"/>
    <s v="Buffalo"/>
    <x v="8"/>
    <x v="3"/>
  </r>
  <r>
    <s v="B-26805"/>
    <x v="246"/>
    <n v="7664"/>
    <n v="1753"/>
    <n v="0.22873173277661801"/>
    <n v="19"/>
    <x v="0"/>
    <x v="10"/>
    <x v="1"/>
    <d v="2023-06-15T00:00:00"/>
    <x v="5"/>
    <s v="Cincinnati"/>
    <x v="0"/>
    <x v="0"/>
  </r>
  <r>
    <s v="B-25620"/>
    <x v="247"/>
    <n v="721"/>
    <n v="258"/>
    <n v="0.35783633841886298"/>
    <n v="13"/>
    <x v="0"/>
    <x v="3"/>
    <x v="1"/>
    <d v="2023-10-18T00:00:00"/>
    <x v="1"/>
    <s v="Peoria"/>
    <x v="4"/>
    <x v="0"/>
  </r>
  <r>
    <s v="B-25620"/>
    <x v="248"/>
    <n v="721"/>
    <n v="258"/>
    <n v="0.35783633841886298"/>
    <n v="13"/>
    <x v="0"/>
    <x v="3"/>
    <x v="1"/>
    <d v="2022-06-13T00:00:00"/>
    <x v="2"/>
    <s v="Buffalo"/>
    <x v="0"/>
    <x v="3"/>
  </r>
  <r>
    <s v="B-25620"/>
    <x v="247"/>
    <n v="8364"/>
    <n v="3055"/>
    <n v="0.365255858440937"/>
    <n v="17"/>
    <x v="0"/>
    <x v="3"/>
    <x v="3"/>
    <d v="2023-10-18T00:00:00"/>
    <x v="1"/>
    <s v="Peoria"/>
    <x v="4"/>
    <x v="0"/>
  </r>
  <r>
    <s v="B-25620"/>
    <x v="248"/>
    <n v="8364"/>
    <n v="3055"/>
    <n v="0.365255858440937"/>
    <n v="17"/>
    <x v="0"/>
    <x v="3"/>
    <x v="3"/>
    <d v="2022-06-13T00:00:00"/>
    <x v="2"/>
    <s v="Buffalo"/>
    <x v="0"/>
    <x v="3"/>
  </r>
  <r>
    <s v="B-25620"/>
    <x v="247"/>
    <n v="5234"/>
    <n v="2021"/>
    <n v="0.38612915552159"/>
    <n v="15"/>
    <x v="2"/>
    <x v="11"/>
    <x v="2"/>
    <d v="2023-10-18T00:00:00"/>
    <x v="1"/>
    <s v="Peoria"/>
    <x v="4"/>
    <x v="0"/>
  </r>
  <r>
    <s v="B-25620"/>
    <x v="248"/>
    <n v="5234"/>
    <n v="2021"/>
    <n v="0.38612915552159"/>
    <n v="15"/>
    <x v="2"/>
    <x v="11"/>
    <x v="2"/>
    <d v="2022-06-13T00:00:00"/>
    <x v="2"/>
    <s v="Buffalo"/>
    <x v="0"/>
    <x v="3"/>
  </r>
  <r>
    <s v="B-25325"/>
    <x v="249"/>
    <n v="3944"/>
    <n v="1559"/>
    <n v="0.39528397565922901"/>
    <n v="18"/>
    <x v="0"/>
    <x v="10"/>
    <x v="3"/>
    <d v="2024-06-12T00:00:00"/>
    <x v="3"/>
    <s v="San Francisco"/>
    <x v="0"/>
    <x v="1"/>
  </r>
  <r>
    <s v="B-25325"/>
    <x v="249"/>
    <n v="6711"/>
    <n v="1045"/>
    <n v="0.155714498584414"/>
    <n v="12"/>
    <x v="1"/>
    <x v="2"/>
    <x v="3"/>
    <d v="2024-06-12T00:00:00"/>
    <x v="3"/>
    <s v="San Francisco"/>
    <x v="0"/>
    <x v="1"/>
  </r>
  <r>
    <s v="B-25325"/>
    <x v="249"/>
    <n v="5031"/>
    <n v="714"/>
    <n v="0.14192009540846801"/>
    <n v="4"/>
    <x v="2"/>
    <x v="4"/>
    <x v="3"/>
    <d v="2024-06-12T00:00:00"/>
    <x v="3"/>
    <s v="San Francisco"/>
    <x v="0"/>
    <x v="1"/>
  </r>
  <r>
    <s v="B-25325"/>
    <x v="249"/>
    <n v="6295"/>
    <n v="2469"/>
    <n v="0.39221604447974601"/>
    <n v="14"/>
    <x v="1"/>
    <x v="9"/>
    <x v="2"/>
    <d v="2024-06-12T00:00:00"/>
    <x v="3"/>
    <s v="San Francisco"/>
    <x v="0"/>
    <x v="1"/>
  </r>
  <r>
    <s v="B-25131"/>
    <x v="250"/>
    <n v="9654"/>
    <n v="4111"/>
    <n v="0.42583385125336598"/>
    <n v="1"/>
    <x v="1"/>
    <x v="8"/>
    <x v="0"/>
    <d v="2022-06-27T00:00:00"/>
    <x v="3"/>
    <s v="San Francisco"/>
    <x v="0"/>
    <x v="3"/>
  </r>
  <r>
    <s v="B-25131"/>
    <x v="250"/>
    <n v="3112"/>
    <n v="1065"/>
    <n v="0.34222365038560398"/>
    <n v="20"/>
    <x v="1"/>
    <x v="9"/>
    <x v="4"/>
    <d v="2022-06-27T00:00:00"/>
    <x v="3"/>
    <s v="San Francisco"/>
    <x v="0"/>
    <x v="3"/>
  </r>
  <r>
    <s v="B-26654"/>
    <x v="251"/>
    <n v="7838"/>
    <n v="1142"/>
    <n v="0.145700433784129"/>
    <n v="13"/>
    <x v="0"/>
    <x v="10"/>
    <x v="0"/>
    <d v="2021-02-18T00:00:00"/>
    <x v="3"/>
    <s v="San Francisco"/>
    <x v="7"/>
    <x v="2"/>
  </r>
  <r>
    <s v="B-26654"/>
    <x v="251"/>
    <n v="9300"/>
    <n v="3146"/>
    <n v="0.33827956989247299"/>
    <n v="6"/>
    <x v="0"/>
    <x v="10"/>
    <x v="3"/>
    <d v="2021-02-18T00:00:00"/>
    <x v="3"/>
    <s v="San Francisco"/>
    <x v="7"/>
    <x v="2"/>
  </r>
  <r>
    <s v="B-26654"/>
    <x v="251"/>
    <n v="1733"/>
    <n v="133"/>
    <n v="7.6745527986151196E-2"/>
    <n v="17"/>
    <x v="1"/>
    <x v="8"/>
    <x v="1"/>
    <d v="2021-02-18T00:00:00"/>
    <x v="3"/>
    <s v="San Francisco"/>
    <x v="7"/>
    <x v="2"/>
  </r>
  <r>
    <s v="B-26195"/>
    <x v="252"/>
    <n v="874"/>
    <n v="235"/>
    <n v="0.26887871853546902"/>
    <n v="15"/>
    <x v="1"/>
    <x v="9"/>
    <x v="1"/>
    <d v="2023-05-29T00:00:00"/>
    <x v="2"/>
    <s v="Rochester"/>
    <x v="3"/>
    <x v="0"/>
  </r>
  <r>
    <s v="B-26195"/>
    <x v="253"/>
    <n v="874"/>
    <n v="235"/>
    <n v="0.26887871853546902"/>
    <n v="15"/>
    <x v="1"/>
    <x v="9"/>
    <x v="1"/>
    <d v="2021-06-04T00:00:00"/>
    <x v="0"/>
    <s v="Miami"/>
    <x v="0"/>
    <x v="2"/>
  </r>
  <r>
    <s v="B-25842"/>
    <x v="254"/>
    <n v="1248"/>
    <n v="584"/>
    <n v="0.46794871794871801"/>
    <n v="13"/>
    <x v="1"/>
    <x v="2"/>
    <x v="2"/>
    <d v="2024-01-22T00:00:00"/>
    <x v="5"/>
    <s v="Columbus"/>
    <x v="8"/>
    <x v="1"/>
  </r>
  <r>
    <s v="B-25842"/>
    <x v="255"/>
    <n v="1248"/>
    <n v="584"/>
    <n v="0.46794871794871801"/>
    <n v="13"/>
    <x v="1"/>
    <x v="2"/>
    <x v="2"/>
    <d v="2022-12-27T00:00:00"/>
    <x v="3"/>
    <s v="San Francisco"/>
    <x v="1"/>
    <x v="3"/>
  </r>
  <r>
    <s v="B-25842"/>
    <x v="254"/>
    <n v="3669"/>
    <n v="154"/>
    <n v="4.19732897247206E-2"/>
    <n v="14"/>
    <x v="1"/>
    <x v="6"/>
    <x v="2"/>
    <d v="2024-01-22T00:00:00"/>
    <x v="5"/>
    <s v="Columbus"/>
    <x v="8"/>
    <x v="1"/>
  </r>
  <r>
    <s v="B-25842"/>
    <x v="255"/>
    <n v="3669"/>
    <n v="154"/>
    <n v="4.19732897247206E-2"/>
    <n v="14"/>
    <x v="1"/>
    <x v="6"/>
    <x v="2"/>
    <d v="2022-12-27T00:00:00"/>
    <x v="3"/>
    <s v="San Francisco"/>
    <x v="1"/>
    <x v="3"/>
  </r>
  <r>
    <s v="B-25842"/>
    <x v="254"/>
    <n v="514"/>
    <n v="109"/>
    <n v="0.21206225680933899"/>
    <n v="15"/>
    <x v="1"/>
    <x v="8"/>
    <x v="1"/>
    <d v="2024-01-22T00:00:00"/>
    <x v="5"/>
    <s v="Columbus"/>
    <x v="8"/>
    <x v="1"/>
  </r>
  <r>
    <s v="B-25842"/>
    <x v="255"/>
    <n v="514"/>
    <n v="109"/>
    <n v="0.21206225680933899"/>
    <n v="15"/>
    <x v="1"/>
    <x v="8"/>
    <x v="1"/>
    <d v="2022-12-27T00:00:00"/>
    <x v="3"/>
    <s v="San Francisco"/>
    <x v="1"/>
    <x v="3"/>
  </r>
  <r>
    <s v="B-25851"/>
    <x v="256"/>
    <n v="3273"/>
    <n v="85"/>
    <n v="2.5970058050718E-2"/>
    <n v="16"/>
    <x v="0"/>
    <x v="10"/>
    <x v="0"/>
    <d v="2024-03-30T00:00:00"/>
    <x v="5"/>
    <s v="Cincinnati"/>
    <x v="6"/>
    <x v="1"/>
  </r>
  <r>
    <s v="B-25427"/>
    <x v="257"/>
    <n v="5035"/>
    <n v="2008"/>
    <n v="0.39880834160873901"/>
    <n v="2"/>
    <x v="2"/>
    <x v="5"/>
    <x v="4"/>
    <d v="2020-04-04T00:00:00"/>
    <x v="0"/>
    <s v="Miami"/>
    <x v="11"/>
    <x v="4"/>
  </r>
  <r>
    <s v="B-25427"/>
    <x v="257"/>
    <n v="7702"/>
    <n v="60"/>
    <n v="7.7901843676966998E-3"/>
    <n v="19"/>
    <x v="0"/>
    <x v="1"/>
    <x v="0"/>
    <d v="2020-04-04T00:00:00"/>
    <x v="0"/>
    <s v="Miami"/>
    <x v="11"/>
    <x v="4"/>
  </r>
  <r>
    <s v="B-25427"/>
    <x v="257"/>
    <n v="9884"/>
    <n v="4446"/>
    <n v="0.449817887494941"/>
    <n v="7"/>
    <x v="0"/>
    <x v="1"/>
    <x v="2"/>
    <d v="2020-04-04T00:00:00"/>
    <x v="0"/>
    <s v="Miami"/>
    <x v="11"/>
    <x v="4"/>
  </r>
  <r>
    <s v="B-26224"/>
    <x v="258"/>
    <n v="5564"/>
    <n v="175"/>
    <n v="3.1452192667145898E-2"/>
    <n v="11"/>
    <x v="0"/>
    <x v="3"/>
    <x v="4"/>
    <d v="2023-01-22T00:00:00"/>
    <x v="1"/>
    <s v="Chicago"/>
    <x v="8"/>
    <x v="0"/>
  </r>
  <r>
    <s v="B-26224"/>
    <x v="259"/>
    <n v="5564"/>
    <n v="175"/>
    <n v="3.1452192667145898E-2"/>
    <n v="11"/>
    <x v="0"/>
    <x v="3"/>
    <x v="4"/>
    <d v="2022-04-12T00:00:00"/>
    <x v="4"/>
    <s v="Houston"/>
    <x v="11"/>
    <x v="3"/>
  </r>
  <r>
    <s v="B-26224"/>
    <x v="260"/>
    <n v="5564"/>
    <n v="175"/>
    <n v="3.1452192667145898E-2"/>
    <n v="11"/>
    <x v="0"/>
    <x v="3"/>
    <x v="4"/>
    <d v="2023-12-13T00:00:00"/>
    <x v="0"/>
    <s v="Miami"/>
    <x v="1"/>
    <x v="0"/>
  </r>
  <r>
    <s v="B-26224"/>
    <x v="258"/>
    <n v="3953"/>
    <n v="1776"/>
    <n v="0.44927902858588398"/>
    <n v="15"/>
    <x v="0"/>
    <x v="0"/>
    <x v="0"/>
    <d v="2023-01-22T00:00:00"/>
    <x v="1"/>
    <s v="Chicago"/>
    <x v="8"/>
    <x v="0"/>
  </r>
  <r>
    <s v="B-26224"/>
    <x v="259"/>
    <n v="3953"/>
    <n v="1776"/>
    <n v="0.44927902858588398"/>
    <n v="15"/>
    <x v="0"/>
    <x v="0"/>
    <x v="0"/>
    <d v="2022-04-12T00:00:00"/>
    <x v="4"/>
    <s v="Houston"/>
    <x v="11"/>
    <x v="3"/>
  </r>
  <r>
    <s v="B-26224"/>
    <x v="260"/>
    <n v="3953"/>
    <n v="1776"/>
    <n v="0.44927902858588398"/>
    <n v="15"/>
    <x v="0"/>
    <x v="0"/>
    <x v="0"/>
    <d v="2023-12-13T00:00:00"/>
    <x v="0"/>
    <s v="Miami"/>
    <x v="1"/>
    <x v="0"/>
  </r>
  <r>
    <s v="B-26896"/>
    <x v="261"/>
    <n v="6488"/>
    <n v="1591"/>
    <n v="0.24522194821208401"/>
    <n v="18"/>
    <x v="0"/>
    <x v="1"/>
    <x v="2"/>
    <d v="2023-05-24T00:00:00"/>
    <x v="4"/>
    <s v="Dallas"/>
    <x v="3"/>
    <x v="0"/>
  </r>
  <r>
    <s v="B-26896"/>
    <x v="262"/>
    <n v="6488"/>
    <n v="1591"/>
    <n v="0.24522194821208401"/>
    <n v="18"/>
    <x v="0"/>
    <x v="1"/>
    <x v="2"/>
    <d v="2020-11-29T00:00:00"/>
    <x v="4"/>
    <s v="Houston"/>
    <x v="5"/>
    <x v="4"/>
  </r>
  <r>
    <s v="B-26469"/>
    <x v="263"/>
    <n v="7856"/>
    <n v="3699"/>
    <n v="0.47085030549898199"/>
    <n v="17"/>
    <x v="0"/>
    <x v="0"/>
    <x v="0"/>
    <d v="2021-03-24T00:00:00"/>
    <x v="0"/>
    <s v="Orlando"/>
    <x v="6"/>
    <x v="2"/>
  </r>
  <r>
    <s v="B-26469"/>
    <x v="263"/>
    <n v="1165"/>
    <n v="51"/>
    <n v="4.3776824034334798E-2"/>
    <n v="3"/>
    <x v="1"/>
    <x v="2"/>
    <x v="2"/>
    <d v="2021-03-24T00:00:00"/>
    <x v="0"/>
    <s v="Orlando"/>
    <x v="6"/>
    <x v="2"/>
  </r>
  <r>
    <s v="B-26219"/>
    <x v="264"/>
    <n v="9386"/>
    <n v="2555"/>
    <n v="0.272213935648839"/>
    <n v="20"/>
    <x v="1"/>
    <x v="6"/>
    <x v="3"/>
    <d v="2020-08-19T00:00:00"/>
    <x v="3"/>
    <s v="San Diego"/>
    <x v="9"/>
    <x v="4"/>
  </r>
  <r>
    <s v="B-26219"/>
    <x v="265"/>
    <n v="9386"/>
    <n v="2555"/>
    <n v="0.272213935648839"/>
    <n v="20"/>
    <x v="1"/>
    <x v="6"/>
    <x v="3"/>
    <d v="2022-10-20T00:00:00"/>
    <x v="5"/>
    <s v="Cleveland"/>
    <x v="4"/>
    <x v="3"/>
  </r>
  <r>
    <s v="B-26119"/>
    <x v="266"/>
    <n v="3956"/>
    <n v="142"/>
    <n v="3.5894843276036398E-2"/>
    <n v="12"/>
    <x v="1"/>
    <x v="2"/>
    <x v="1"/>
    <d v="2023-09-20T00:00:00"/>
    <x v="0"/>
    <s v="Tampa"/>
    <x v="10"/>
    <x v="0"/>
  </r>
  <r>
    <s v="B-26119"/>
    <x v="267"/>
    <n v="3956"/>
    <n v="142"/>
    <n v="3.5894843276036398E-2"/>
    <n v="12"/>
    <x v="1"/>
    <x v="2"/>
    <x v="1"/>
    <d v="2024-12-26T00:00:00"/>
    <x v="4"/>
    <s v="Dallas"/>
    <x v="1"/>
    <x v="1"/>
  </r>
  <r>
    <s v="B-26119"/>
    <x v="266"/>
    <n v="6449"/>
    <n v="2628"/>
    <n v="0.40750503954101402"/>
    <n v="11"/>
    <x v="2"/>
    <x v="11"/>
    <x v="2"/>
    <d v="2023-09-20T00:00:00"/>
    <x v="0"/>
    <s v="Tampa"/>
    <x v="10"/>
    <x v="0"/>
  </r>
  <r>
    <s v="B-26119"/>
    <x v="267"/>
    <n v="6449"/>
    <n v="2628"/>
    <n v="0.40750503954101402"/>
    <n v="11"/>
    <x v="2"/>
    <x v="11"/>
    <x v="2"/>
    <d v="2024-12-26T00:00:00"/>
    <x v="4"/>
    <s v="Dallas"/>
    <x v="1"/>
    <x v="1"/>
  </r>
  <r>
    <s v="B-26988"/>
    <x v="268"/>
    <n v="6255"/>
    <n v="437"/>
    <n v="6.9864108713029602E-2"/>
    <n v="18"/>
    <x v="1"/>
    <x v="6"/>
    <x v="4"/>
    <d v="2021-12-03T00:00:00"/>
    <x v="2"/>
    <s v="Rochester"/>
    <x v="1"/>
    <x v="2"/>
  </r>
  <r>
    <s v="B-26988"/>
    <x v="268"/>
    <n v="2109"/>
    <n v="681"/>
    <n v="0.32290184921763898"/>
    <n v="20"/>
    <x v="0"/>
    <x v="0"/>
    <x v="0"/>
    <d v="2021-12-03T00:00:00"/>
    <x v="2"/>
    <s v="Rochester"/>
    <x v="1"/>
    <x v="2"/>
  </r>
  <r>
    <s v="B-25596"/>
    <x v="269"/>
    <n v="6707"/>
    <n v="1041"/>
    <n v="0.15521097360966199"/>
    <n v="20"/>
    <x v="0"/>
    <x v="10"/>
    <x v="3"/>
    <d v="2021-09-14T00:00:00"/>
    <x v="4"/>
    <s v="Austin"/>
    <x v="10"/>
    <x v="2"/>
  </r>
  <r>
    <s v="B-26845"/>
    <x v="270"/>
    <n v="7633"/>
    <n v="184"/>
    <n v="2.4105856150923598E-2"/>
    <n v="13"/>
    <x v="1"/>
    <x v="2"/>
    <x v="4"/>
    <d v="2021-09-30T00:00:00"/>
    <x v="1"/>
    <s v="Springfield"/>
    <x v="10"/>
    <x v="2"/>
  </r>
  <r>
    <s v="B-25099"/>
    <x v="271"/>
    <n v="975"/>
    <n v="224"/>
    <n v="0.22974358974358999"/>
    <n v="18"/>
    <x v="1"/>
    <x v="2"/>
    <x v="4"/>
    <d v="2021-12-22T00:00:00"/>
    <x v="3"/>
    <s v="San Diego"/>
    <x v="1"/>
    <x v="2"/>
  </r>
  <r>
    <s v="B-25099"/>
    <x v="271"/>
    <n v="4492"/>
    <n v="1450"/>
    <n v="0.32279608192341902"/>
    <n v="7"/>
    <x v="2"/>
    <x v="4"/>
    <x v="2"/>
    <d v="2021-12-22T00:00:00"/>
    <x v="3"/>
    <s v="San Diego"/>
    <x v="1"/>
    <x v="2"/>
  </r>
  <r>
    <s v="B-25099"/>
    <x v="271"/>
    <n v="7957"/>
    <n v="2834"/>
    <n v="0.35616438356164398"/>
    <n v="12"/>
    <x v="2"/>
    <x v="5"/>
    <x v="0"/>
    <d v="2021-12-22T00:00:00"/>
    <x v="3"/>
    <s v="San Diego"/>
    <x v="1"/>
    <x v="2"/>
  </r>
  <r>
    <s v="B-26153"/>
    <x v="272"/>
    <n v="4906"/>
    <n v="975"/>
    <n v="0.19873624133713799"/>
    <n v="7"/>
    <x v="2"/>
    <x v="4"/>
    <x v="1"/>
    <d v="2022-05-18T00:00:00"/>
    <x v="4"/>
    <s v="Houston"/>
    <x v="3"/>
    <x v="3"/>
  </r>
  <r>
    <s v="B-25060"/>
    <x v="273"/>
    <n v="1379"/>
    <n v="250"/>
    <n v="0.18129079042784599"/>
    <n v="3"/>
    <x v="1"/>
    <x v="2"/>
    <x v="3"/>
    <d v="2020-10-08T00:00:00"/>
    <x v="2"/>
    <s v="Buffalo"/>
    <x v="4"/>
    <x v="4"/>
  </r>
  <r>
    <s v="B-25060"/>
    <x v="273"/>
    <n v="4244"/>
    <n v="340"/>
    <n v="8.0113100848256402E-2"/>
    <n v="10"/>
    <x v="0"/>
    <x v="3"/>
    <x v="1"/>
    <d v="2020-10-08T00:00:00"/>
    <x v="2"/>
    <s v="Buffalo"/>
    <x v="4"/>
    <x v="4"/>
  </r>
  <r>
    <s v="B-26572"/>
    <x v="274"/>
    <n v="5911"/>
    <n v="2333"/>
    <n v="0.39468787007274603"/>
    <n v="14"/>
    <x v="2"/>
    <x v="11"/>
    <x v="2"/>
    <d v="2022-08-20T00:00:00"/>
    <x v="3"/>
    <s v="San Diego"/>
    <x v="9"/>
    <x v="3"/>
  </r>
  <r>
    <s v="B-26572"/>
    <x v="275"/>
    <n v="5911"/>
    <n v="2333"/>
    <n v="0.39468787007274603"/>
    <n v="14"/>
    <x v="2"/>
    <x v="11"/>
    <x v="2"/>
    <d v="2024-11-25T00:00:00"/>
    <x v="3"/>
    <s v="San Francisco"/>
    <x v="5"/>
    <x v="1"/>
  </r>
  <r>
    <s v="B-26572"/>
    <x v="274"/>
    <n v="1818"/>
    <n v="738"/>
    <n v="0.40594059405940602"/>
    <n v="11"/>
    <x v="1"/>
    <x v="6"/>
    <x v="2"/>
    <d v="2022-08-20T00:00:00"/>
    <x v="3"/>
    <s v="San Diego"/>
    <x v="9"/>
    <x v="3"/>
  </r>
  <r>
    <s v="B-26572"/>
    <x v="275"/>
    <n v="1818"/>
    <n v="738"/>
    <n v="0.40594059405940602"/>
    <n v="11"/>
    <x v="1"/>
    <x v="6"/>
    <x v="2"/>
    <d v="2024-11-25T00:00:00"/>
    <x v="3"/>
    <s v="San Francisco"/>
    <x v="5"/>
    <x v="1"/>
  </r>
  <r>
    <s v="B-25919"/>
    <x v="276"/>
    <n v="2140"/>
    <n v="970"/>
    <n v="0.45327102803738301"/>
    <n v="4"/>
    <x v="1"/>
    <x v="8"/>
    <x v="3"/>
    <d v="2020-09-30T00:00:00"/>
    <x v="3"/>
    <s v="San Diego"/>
    <x v="10"/>
    <x v="4"/>
  </r>
  <r>
    <s v="B-25919"/>
    <x v="277"/>
    <n v="2140"/>
    <n v="970"/>
    <n v="0.45327102803738301"/>
    <n v="4"/>
    <x v="1"/>
    <x v="8"/>
    <x v="3"/>
    <d v="2025-02-20T00:00:00"/>
    <x v="0"/>
    <s v="Orlando"/>
    <x v="7"/>
    <x v="5"/>
  </r>
  <r>
    <s v="B-25919"/>
    <x v="278"/>
    <n v="2140"/>
    <n v="970"/>
    <n v="0.45327102803738301"/>
    <n v="4"/>
    <x v="1"/>
    <x v="8"/>
    <x v="3"/>
    <d v="2022-03-20T00:00:00"/>
    <x v="3"/>
    <s v="San Francisco"/>
    <x v="6"/>
    <x v="3"/>
  </r>
  <r>
    <s v="B-25919"/>
    <x v="276"/>
    <n v="2670"/>
    <n v="1026"/>
    <n v="0.38426966292134801"/>
    <n v="1"/>
    <x v="0"/>
    <x v="3"/>
    <x v="1"/>
    <d v="2020-09-30T00:00:00"/>
    <x v="3"/>
    <s v="San Diego"/>
    <x v="10"/>
    <x v="4"/>
  </r>
  <r>
    <s v="B-25919"/>
    <x v="277"/>
    <n v="2670"/>
    <n v="1026"/>
    <n v="0.38426966292134801"/>
    <n v="1"/>
    <x v="0"/>
    <x v="3"/>
    <x v="1"/>
    <d v="2025-02-20T00:00:00"/>
    <x v="0"/>
    <s v="Orlando"/>
    <x v="7"/>
    <x v="5"/>
  </r>
  <r>
    <s v="B-25919"/>
    <x v="278"/>
    <n v="2670"/>
    <n v="1026"/>
    <n v="0.38426966292134801"/>
    <n v="1"/>
    <x v="0"/>
    <x v="3"/>
    <x v="1"/>
    <d v="2022-03-20T00:00:00"/>
    <x v="3"/>
    <s v="San Francisco"/>
    <x v="6"/>
    <x v="3"/>
  </r>
  <r>
    <s v="B-26978"/>
    <x v="279"/>
    <n v="1108"/>
    <n v="167"/>
    <n v="0.15072202166064999"/>
    <n v="18"/>
    <x v="0"/>
    <x v="3"/>
    <x v="1"/>
    <d v="2025-03-07T00:00:00"/>
    <x v="1"/>
    <s v="Springfield"/>
    <x v="6"/>
    <x v="5"/>
  </r>
  <r>
    <s v="B-26978"/>
    <x v="279"/>
    <n v="9776"/>
    <n v="3750"/>
    <n v="0.383592471358429"/>
    <n v="9"/>
    <x v="1"/>
    <x v="9"/>
    <x v="0"/>
    <d v="2025-03-07T00:00:00"/>
    <x v="1"/>
    <s v="Springfield"/>
    <x v="6"/>
    <x v="5"/>
  </r>
  <r>
    <s v="B-26978"/>
    <x v="279"/>
    <n v="535"/>
    <n v="72"/>
    <n v="0.13457943925233601"/>
    <n v="6"/>
    <x v="2"/>
    <x v="11"/>
    <x v="4"/>
    <d v="2025-03-07T00:00:00"/>
    <x v="1"/>
    <s v="Springfield"/>
    <x v="6"/>
    <x v="5"/>
  </r>
  <r>
    <s v="B-26554"/>
    <x v="280"/>
    <n v="7564"/>
    <n v="3463"/>
    <n v="0.457826546800635"/>
    <n v="5"/>
    <x v="1"/>
    <x v="8"/>
    <x v="3"/>
    <d v="2024-06-16T00:00:00"/>
    <x v="0"/>
    <s v="Tampa"/>
    <x v="0"/>
    <x v="1"/>
  </r>
  <r>
    <s v="B-26554"/>
    <x v="281"/>
    <n v="7564"/>
    <n v="3463"/>
    <n v="0.457826546800635"/>
    <n v="5"/>
    <x v="1"/>
    <x v="8"/>
    <x v="3"/>
    <d v="2020-11-21T00:00:00"/>
    <x v="1"/>
    <s v="Peoria"/>
    <x v="5"/>
    <x v="4"/>
  </r>
  <r>
    <s v="B-26554"/>
    <x v="282"/>
    <n v="7564"/>
    <n v="3463"/>
    <n v="0.457826546800635"/>
    <n v="5"/>
    <x v="1"/>
    <x v="8"/>
    <x v="3"/>
    <d v="2024-10-01T00:00:00"/>
    <x v="0"/>
    <s v="Miami"/>
    <x v="4"/>
    <x v="1"/>
  </r>
  <r>
    <s v="B-26554"/>
    <x v="283"/>
    <n v="7564"/>
    <n v="3463"/>
    <n v="0.457826546800635"/>
    <n v="5"/>
    <x v="1"/>
    <x v="8"/>
    <x v="3"/>
    <d v="2024-07-01T00:00:00"/>
    <x v="4"/>
    <s v="Houston"/>
    <x v="2"/>
    <x v="1"/>
  </r>
  <r>
    <s v="B-26554"/>
    <x v="280"/>
    <n v="3409"/>
    <n v="1605"/>
    <n v="0.47081255500146701"/>
    <n v="20"/>
    <x v="0"/>
    <x v="0"/>
    <x v="0"/>
    <d v="2024-06-16T00:00:00"/>
    <x v="0"/>
    <s v="Tampa"/>
    <x v="0"/>
    <x v="1"/>
  </r>
  <r>
    <s v="B-26554"/>
    <x v="281"/>
    <n v="3409"/>
    <n v="1605"/>
    <n v="0.47081255500146701"/>
    <n v="20"/>
    <x v="0"/>
    <x v="0"/>
    <x v="0"/>
    <d v="2020-11-21T00:00:00"/>
    <x v="1"/>
    <s v="Peoria"/>
    <x v="5"/>
    <x v="4"/>
  </r>
  <r>
    <s v="B-26554"/>
    <x v="282"/>
    <n v="3409"/>
    <n v="1605"/>
    <n v="0.47081255500146701"/>
    <n v="20"/>
    <x v="0"/>
    <x v="0"/>
    <x v="0"/>
    <d v="2024-10-01T00:00:00"/>
    <x v="0"/>
    <s v="Miami"/>
    <x v="4"/>
    <x v="1"/>
  </r>
  <r>
    <s v="B-26554"/>
    <x v="283"/>
    <n v="3409"/>
    <n v="1605"/>
    <n v="0.47081255500146701"/>
    <n v="20"/>
    <x v="0"/>
    <x v="0"/>
    <x v="0"/>
    <d v="2024-07-01T00:00:00"/>
    <x v="4"/>
    <s v="Houston"/>
    <x v="2"/>
    <x v="1"/>
  </r>
  <r>
    <s v="B-26883"/>
    <x v="284"/>
    <n v="9751"/>
    <n v="2459"/>
    <n v="0.252179263665265"/>
    <n v="13"/>
    <x v="1"/>
    <x v="2"/>
    <x v="4"/>
    <d v="2020-11-23T00:00:00"/>
    <x v="2"/>
    <s v="Buffalo"/>
    <x v="5"/>
    <x v="4"/>
  </r>
  <r>
    <s v="B-25423"/>
    <x v="285"/>
    <n v="6385"/>
    <n v="2656"/>
    <n v="0.41597494126859802"/>
    <n v="11"/>
    <x v="0"/>
    <x v="1"/>
    <x v="3"/>
    <d v="2023-03-18T00:00:00"/>
    <x v="0"/>
    <s v="Orlando"/>
    <x v="6"/>
    <x v="0"/>
  </r>
  <r>
    <s v="B-25423"/>
    <x v="286"/>
    <n v="6385"/>
    <n v="2656"/>
    <n v="0.41597494126859802"/>
    <n v="11"/>
    <x v="0"/>
    <x v="1"/>
    <x v="3"/>
    <d v="2022-10-19T00:00:00"/>
    <x v="0"/>
    <s v="Tampa"/>
    <x v="4"/>
    <x v="3"/>
  </r>
  <r>
    <s v="B-26324"/>
    <x v="287"/>
    <n v="6355"/>
    <n v="1335"/>
    <n v="0.210070810385523"/>
    <n v="15"/>
    <x v="0"/>
    <x v="0"/>
    <x v="1"/>
    <d v="2023-08-31T00:00:00"/>
    <x v="4"/>
    <s v="Austin"/>
    <x v="9"/>
    <x v="0"/>
  </r>
  <r>
    <s v="B-26324"/>
    <x v="288"/>
    <n v="6355"/>
    <n v="1335"/>
    <n v="0.210070810385523"/>
    <n v="15"/>
    <x v="0"/>
    <x v="0"/>
    <x v="1"/>
    <d v="2021-06-06T00:00:00"/>
    <x v="4"/>
    <s v="Austin"/>
    <x v="0"/>
    <x v="2"/>
  </r>
  <r>
    <s v="B-26945"/>
    <x v="289"/>
    <n v="7377"/>
    <n v="320"/>
    <n v="4.3378066964890903E-2"/>
    <n v="15"/>
    <x v="0"/>
    <x v="1"/>
    <x v="1"/>
    <d v="2022-12-21T00:00:00"/>
    <x v="4"/>
    <s v="Austin"/>
    <x v="1"/>
    <x v="3"/>
  </r>
  <r>
    <s v="B-26945"/>
    <x v="289"/>
    <n v="2054"/>
    <n v="371"/>
    <n v="0.18062317429406"/>
    <n v="12"/>
    <x v="1"/>
    <x v="6"/>
    <x v="2"/>
    <d v="2022-12-21T00:00:00"/>
    <x v="4"/>
    <s v="Austin"/>
    <x v="1"/>
    <x v="3"/>
  </r>
  <r>
    <s v="B-26405"/>
    <x v="290"/>
    <n v="7497"/>
    <n v="319"/>
    <n v="4.2550353474723197E-2"/>
    <n v="18"/>
    <x v="2"/>
    <x v="5"/>
    <x v="4"/>
    <d v="2024-02-12T00:00:00"/>
    <x v="1"/>
    <s v="Peoria"/>
    <x v="7"/>
    <x v="1"/>
  </r>
  <r>
    <s v="B-26046"/>
    <x v="291"/>
    <n v="2565"/>
    <n v="983"/>
    <n v="0.38323586744639399"/>
    <n v="20"/>
    <x v="0"/>
    <x v="0"/>
    <x v="1"/>
    <d v="2022-12-05T00:00:00"/>
    <x v="0"/>
    <s v="Miami"/>
    <x v="1"/>
    <x v="3"/>
  </r>
  <r>
    <s v="B-26046"/>
    <x v="291"/>
    <n v="5024"/>
    <n v="1544"/>
    <n v="0.30732484076433098"/>
    <n v="19"/>
    <x v="1"/>
    <x v="2"/>
    <x v="4"/>
    <d v="2022-12-05T00:00:00"/>
    <x v="0"/>
    <s v="Miami"/>
    <x v="1"/>
    <x v="3"/>
  </r>
  <r>
    <s v="B-25746"/>
    <x v="292"/>
    <n v="8243"/>
    <n v="1346"/>
    <n v="0.16329006429697901"/>
    <n v="15"/>
    <x v="1"/>
    <x v="9"/>
    <x v="1"/>
    <d v="2021-04-04T00:00:00"/>
    <x v="4"/>
    <s v="Houston"/>
    <x v="11"/>
    <x v="2"/>
  </r>
  <r>
    <s v="B-25232"/>
    <x v="293"/>
    <n v="7792"/>
    <n v="1403"/>
    <n v="0.180056468172485"/>
    <n v="13"/>
    <x v="1"/>
    <x v="8"/>
    <x v="0"/>
    <d v="2021-02-12T00:00:00"/>
    <x v="1"/>
    <s v="Peoria"/>
    <x v="7"/>
    <x v="2"/>
  </r>
  <r>
    <s v="B-25232"/>
    <x v="294"/>
    <n v="7792"/>
    <n v="1403"/>
    <n v="0.180056468172485"/>
    <n v="13"/>
    <x v="1"/>
    <x v="8"/>
    <x v="0"/>
    <d v="2022-12-27T00:00:00"/>
    <x v="2"/>
    <s v="Rochester"/>
    <x v="1"/>
    <x v="3"/>
  </r>
  <r>
    <s v="B-25232"/>
    <x v="295"/>
    <n v="7792"/>
    <n v="1403"/>
    <n v="0.180056468172485"/>
    <n v="13"/>
    <x v="1"/>
    <x v="8"/>
    <x v="0"/>
    <d v="2024-01-19T00:00:00"/>
    <x v="3"/>
    <s v="San Diego"/>
    <x v="8"/>
    <x v="1"/>
  </r>
  <r>
    <s v="B-25232"/>
    <x v="293"/>
    <n v="2346"/>
    <n v="388"/>
    <n v="0.16538789428815001"/>
    <n v="14"/>
    <x v="2"/>
    <x v="5"/>
    <x v="1"/>
    <d v="2021-02-12T00:00:00"/>
    <x v="1"/>
    <s v="Peoria"/>
    <x v="7"/>
    <x v="2"/>
  </r>
  <r>
    <s v="B-25232"/>
    <x v="294"/>
    <n v="2346"/>
    <n v="388"/>
    <n v="0.16538789428815001"/>
    <n v="14"/>
    <x v="2"/>
    <x v="5"/>
    <x v="1"/>
    <d v="2022-12-27T00:00:00"/>
    <x v="2"/>
    <s v="Rochester"/>
    <x v="1"/>
    <x v="3"/>
  </r>
  <r>
    <s v="B-25232"/>
    <x v="295"/>
    <n v="2346"/>
    <n v="388"/>
    <n v="0.16538789428815001"/>
    <n v="14"/>
    <x v="2"/>
    <x v="5"/>
    <x v="1"/>
    <d v="2024-01-19T00:00:00"/>
    <x v="3"/>
    <s v="San Diego"/>
    <x v="8"/>
    <x v="1"/>
  </r>
  <r>
    <s v="B-25591"/>
    <x v="296"/>
    <n v="7346"/>
    <n v="1043"/>
    <n v="0.14198203103729901"/>
    <n v="10"/>
    <x v="2"/>
    <x v="7"/>
    <x v="3"/>
    <d v="2022-12-25T00:00:00"/>
    <x v="5"/>
    <s v="Columbus"/>
    <x v="1"/>
    <x v="3"/>
  </r>
  <r>
    <s v="B-25591"/>
    <x v="296"/>
    <n v="9770"/>
    <n v="4132"/>
    <n v="0.42292732855680698"/>
    <n v="7"/>
    <x v="0"/>
    <x v="0"/>
    <x v="0"/>
    <d v="2022-12-25T00:00:00"/>
    <x v="5"/>
    <s v="Columbus"/>
    <x v="1"/>
    <x v="3"/>
  </r>
  <r>
    <s v="B-25591"/>
    <x v="296"/>
    <n v="7179"/>
    <n v="683"/>
    <n v="9.5138598690625395E-2"/>
    <n v="13"/>
    <x v="0"/>
    <x v="3"/>
    <x v="3"/>
    <d v="2022-12-25T00:00:00"/>
    <x v="5"/>
    <s v="Columbus"/>
    <x v="1"/>
    <x v="3"/>
  </r>
  <r>
    <s v="B-26325"/>
    <x v="297"/>
    <n v="5449"/>
    <n v="2389"/>
    <n v="0.43842906955404698"/>
    <n v="2"/>
    <x v="0"/>
    <x v="10"/>
    <x v="0"/>
    <d v="2022-10-06T00:00:00"/>
    <x v="0"/>
    <s v="Miami"/>
    <x v="4"/>
    <x v="3"/>
  </r>
  <r>
    <s v="B-25251"/>
    <x v="298"/>
    <n v="2895"/>
    <n v="104"/>
    <n v="3.5924006908462897E-2"/>
    <n v="6"/>
    <x v="2"/>
    <x v="5"/>
    <x v="4"/>
    <d v="2020-04-27T00:00:00"/>
    <x v="2"/>
    <s v="Buffalo"/>
    <x v="11"/>
    <x v="4"/>
  </r>
  <r>
    <s v="B-25251"/>
    <x v="299"/>
    <n v="2895"/>
    <n v="104"/>
    <n v="3.5924006908462897E-2"/>
    <n v="6"/>
    <x v="2"/>
    <x v="5"/>
    <x v="4"/>
    <d v="2024-05-13T00:00:00"/>
    <x v="4"/>
    <s v="Houston"/>
    <x v="3"/>
    <x v="1"/>
  </r>
  <r>
    <s v="B-25251"/>
    <x v="298"/>
    <n v="697"/>
    <n v="116"/>
    <n v="0.166427546628407"/>
    <n v="1"/>
    <x v="2"/>
    <x v="5"/>
    <x v="0"/>
    <d v="2020-04-27T00:00:00"/>
    <x v="2"/>
    <s v="Buffalo"/>
    <x v="11"/>
    <x v="4"/>
  </r>
  <r>
    <s v="B-25251"/>
    <x v="299"/>
    <n v="697"/>
    <n v="116"/>
    <n v="0.166427546628407"/>
    <n v="1"/>
    <x v="2"/>
    <x v="5"/>
    <x v="0"/>
    <d v="2024-05-13T00:00:00"/>
    <x v="4"/>
    <s v="Houston"/>
    <x v="3"/>
    <x v="1"/>
  </r>
  <r>
    <s v="B-25464"/>
    <x v="300"/>
    <n v="6145"/>
    <n v="1414"/>
    <n v="0.23010577705451599"/>
    <n v="4"/>
    <x v="2"/>
    <x v="5"/>
    <x v="4"/>
    <d v="2020-10-23T00:00:00"/>
    <x v="3"/>
    <s v="Los Angeles"/>
    <x v="4"/>
    <x v="4"/>
  </r>
  <r>
    <s v="B-25464"/>
    <x v="300"/>
    <n v="2504"/>
    <n v="440"/>
    <n v="0.17571884984025599"/>
    <n v="18"/>
    <x v="0"/>
    <x v="1"/>
    <x v="0"/>
    <d v="2020-10-23T00:00:00"/>
    <x v="3"/>
    <s v="Los Angeles"/>
    <x v="4"/>
    <x v="4"/>
  </r>
  <r>
    <s v="B-25464"/>
    <x v="300"/>
    <n v="3124"/>
    <n v="138"/>
    <n v="4.4174135723431499E-2"/>
    <n v="16"/>
    <x v="0"/>
    <x v="10"/>
    <x v="1"/>
    <d v="2020-10-23T00:00:00"/>
    <x v="3"/>
    <s v="Los Angeles"/>
    <x v="4"/>
    <x v="4"/>
  </r>
  <r>
    <s v="B-26678"/>
    <x v="301"/>
    <n v="6934"/>
    <n v="1226"/>
    <n v="0.176809922122873"/>
    <n v="1"/>
    <x v="0"/>
    <x v="0"/>
    <x v="1"/>
    <d v="2021-06-11T00:00:00"/>
    <x v="5"/>
    <s v="Cincinnati"/>
    <x v="0"/>
    <x v="2"/>
  </r>
  <r>
    <s v="B-26678"/>
    <x v="284"/>
    <n v="6934"/>
    <n v="1226"/>
    <n v="0.176809922122873"/>
    <n v="1"/>
    <x v="0"/>
    <x v="0"/>
    <x v="1"/>
    <d v="2021-09-08T00:00:00"/>
    <x v="2"/>
    <s v="Rochester"/>
    <x v="10"/>
    <x v="2"/>
  </r>
  <r>
    <s v="B-25962"/>
    <x v="302"/>
    <n v="4202"/>
    <n v="1171"/>
    <n v="0.27867682056163701"/>
    <n v="3"/>
    <x v="1"/>
    <x v="6"/>
    <x v="4"/>
    <d v="2022-11-23T00:00:00"/>
    <x v="1"/>
    <s v="Peoria"/>
    <x v="5"/>
    <x v="3"/>
  </r>
  <r>
    <s v="B-25962"/>
    <x v="303"/>
    <n v="4202"/>
    <n v="1171"/>
    <n v="0.27867682056163701"/>
    <n v="3"/>
    <x v="1"/>
    <x v="6"/>
    <x v="4"/>
    <d v="2022-10-31T00:00:00"/>
    <x v="2"/>
    <s v="Rochester"/>
    <x v="4"/>
    <x v="3"/>
  </r>
  <r>
    <s v="B-25962"/>
    <x v="304"/>
    <n v="4202"/>
    <n v="1171"/>
    <n v="0.27867682056163701"/>
    <n v="3"/>
    <x v="1"/>
    <x v="6"/>
    <x v="4"/>
    <d v="2023-11-06T00:00:00"/>
    <x v="0"/>
    <s v="Tampa"/>
    <x v="5"/>
    <x v="0"/>
  </r>
  <r>
    <s v="B-25962"/>
    <x v="305"/>
    <n v="4202"/>
    <n v="1171"/>
    <n v="0.27867682056163701"/>
    <n v="3"/>
    <x v="1"/>
    <x v="6"/>
    <x v="4"/>
    <d v="2023-11-12T00:00:00"/>
    <x v="4"/>
    <s v="Houston"/>
    <x v="5"/>
    <x v="0"/>
  </r>
  <r>
    <s v="B-26586"/>
    <x v="306"/>
    <n v="2239"/>
    <n v="828"/>
    <n v="0.36980794997766903"/>
    <n v="1"/>
    <x v="0"/>
    <x v="1"/>
    <x v="0"/>
    <d v="2023-06-26T00:00:00"/>
    <x v="3"/>
    <s v="Los Angeles"/>
    <x v="0"/>
    <x v="0"/>
  </r>
  <r>
    <s v="B-26586"/>
    <x v="307"/>
    <n v="2239"/>
    <n v="828"/>
    <n v="0.36980794997766903"/>
    <n v="1"/>
    <x v="0"/>
    <x v="1"/>
    <x v="0"/>
    <d v="2023-09-30T00:00:00"/>
    <x v="1"/>
    <s v="Chicago"/>
    <x v="10"/>
    <x v="0"/>
  </r>
  <r>
    <s v="B-26586"/>
    <x v="306"/>
    <n v="2450"/>
    <n v="1002"/>
    <n v="0.40897959183673499"/>
    <n v="4"/>
    <x v="0"/>
    <x v="10"/>
    <x v="1"/>
    <d v="2023-06-26T00:00:00"/>
    <x v="3"/>
    <s v="Los Angeles"/>
    <x v="0"/>
    <x v="0"/>
  </r>
  <r>
    <s v="B-26586"/>
    <x v="307"/>
    <n v="2450"/>
    <n v="1002"/>
    <n v="0.40897959183673499"/>
    <n v="4"/>
    <x v="0"/>
    <x v="10"/>
    <x v="1"/>
    <d v="2023-09-30T00:00:00"/>
    <x v="1"/>
    <s v="Chicago"/>
    <x v="10"/>
    <x v="0"/>
  </r>
  <r>
    <s v="B-26841"/>
    <x v="308"/>
    <n v="9827"/>
    <n v="4208"/>
    <n v="0.42820799837183299"/>
    <n v="13"/>
    <x v="2"/>
    <x v="5"/>
    <x v="1"/>
    <d v="2020-09-12T00:00:00"/>
    <x v="2"/>
    <s v="New York City"/>
    <x v="10"/>
    <x v="4"/>
  </r>
  <r>
    <s v="B-26841"/>
    <x v="308"/>
    <n v="8077"/>
    <n v="240"/>
    <n v="2.9714002723783599E-2"/>
    <n v="15"/>
    <x v="2"/>
    <x v="7"/>
    <x v="3"/>
    <d v="2020-09-12T00:00:00"/>
    <x v="2"/>
    <s v="New York City"/>
    <x v="10"/>
    <x v="4"/>
  </r>
  <r>
    <s v="B-26284"/>
    <x v="309"/>
    <n v="5152"/>
    <n v="2045"/>
    <n v="0.39693322981366502"/>
    <n v="14"/>
    <x v="0"/>
    <x v="10"/>
    <x v="0"/>
    <d v="2020-11-27T00:00:00"/>
    <x v="1"/>
    <s v="Springfield"/>
    <x v="5"/>
    <x v="4"/>
  </r>
  <r>
    <s v="B-26284"/>
    <x v="310"/>
    <n v="5152"/>
    <n v="2045"/>
    <n v="0.39693322981366502"/>
    <n v="14"/>
    <x v="0"/>
    <x v="10"/>
    <x v="0"/>
    <d v="2022-08-25T00:00:00"/>
    <x v="3"/>
    <s v="Los Angeles"/>
    <x v="9"/>
    <x v="3"/>
  </r>
  <r>
    <s v="B-26284"/>
    <x v="311"/>
    <n v="5152"/>
    <n v="2045"/>
    <n v="0.39693322981366502"/>
    <n v="14"/>
    <x v="0"/>
    <x v="10"/>
    <x v="0"/>
    <d v="2023-08-23T00:00:00"/>
    <x v="1"/>
    <s v="Chicago"/>
    <x v="9"/>
    <x v="0"/>
  </r>
  <r>
    <s v="B-26284"/>
    <x v="312"/>
    <n v="5152"/>
    <n v="2045"/>
    <n v="0.39693322981366502"/>
    <n v="14"/>
    <x v="0"/>
    <x v="10"/>
    <x v="0"/>
    <d v="2023-10-11T00:00:00"/>
    <x v="2"/>
    <s v="Rochester"/>
    <x v="4"/>
    <x v="0"/>
  </r>
  <r>
    <s v="B-26478"/>
    <x v="313"/>
    <n v="2542"/>
    <n v="190"/>
    <n v="7.4744295830055096E-2"/>
    <n v="1"/>
    <x v="1"/>
    <x v="6"/>
    <x v="3"/>
    <d v="2022-04-21T00:00:00"/>
    <x v="4"/>
    <s v="Houston"/>
    <x v="11"/>
    <x v="3"/>
  </r>
  <r>
    <s v="B-26679"/>
    <x v="314"/>
    <n v="8102"/>
    <n v="1800"/>
    <n v="0.222167366082449"/>
    <n v="5"/>
    <x v="1"/>
    <x v="6"/>
    <x v="0"/>
    <d v="2023-09-14T00:00:00"/>
    <x v="3"/>
    <s v="San Francisco"/>
    <x v="10"/>
    <x v="0"/>
  </r>
  <r>
    <s v="B-26679"/>
    <x v="315"/>
    <n v="8102"/>
    <n v="1800"/>
    <n v="0.222167366082449"/>
    <n v="5"/>
    <x v="1"/>
    <x v="6"/>
    <x v="0"/>
    <d v="2020-04-29T00:00:00"/>
    <x v="2"/>
    <s v="Buffalo"/>
    <x v="11"/>
    <x v="4"/>
  </r>
  <r>
    <s v="B-26679"/>
    <x v="316"/>
    <n v="8102"/>
    <n v="1800"/>
    <n v="0.222167366082449"/>
    <n v="5"/>
    <x v="1"/>
    <x v="6"/>
    <x v="0"/>
    <d v="2020-12-15T00:00:00"/>
    <x v="5"/>
    <s v="Cleveland"/>
    <x v="1"/>
    <x v="4"/>
  </r>
  <r>
    <s v="B-26679"/>
    <x v="314"/>
    <n v="3234"/>
    <n v="1274"/>
    <n v="0.39393939393939398"/>
    <n v="10"/>
    <x v="2"/>
    <x v="4"/>
    <x v="2"/>
    <d v="2023-09-14T00:00:00"/>
    <x v="3"/>
    <s v="San Francisco"/>
    <x v="10"/>
    <x v="0"/>
  </r>
  <r>
    <s v="B-26679"/>
    <x v="315"/>
    <n v="3234"/>
    <n v="1274"/>
    <n v="0.39393939393939398"/>
    <n v="10"/>
    <x v="2"/>
    <x v="4"/>
    <x v="2"/>
    <d v="2020-04-29T00:00:00"/>
    <x v="2"/>
    <s v="Buffalo"/>
    <x v="11"/>
    <x v="4"/>
  </r>
  <r>
    <s v="B-26679"/>
    <x v="316"/>
    <n v="3234"/>
    <n v="1274"/>
    <n v="0.39393939393939398"/>
    <n v="10"/>
    <x v="2"/>
    <x v="4"/>
    <x v="2"/>
    <d v="2020-12-15T00:00:00"/>
    <x v="5"/>
    <s v="Cleveland"/>
    <x v="1"/>
    <x v="4"/>
  </r>
  <r>
    <s v="B-26397"/>
    <x v="317"/>
    <n v="6200"/>
    <n v="2321"/>
    <n v="0.37435483870967701"/>
    <n v="18"/>
    <x v="2"/>
    <x v="4"/>
    <x v="3"/>
    <d v="2024-07-11T00:00:00"/>
    <x v="3"/>
    <s v="Los Angeles"/>
    <x v="2"/>
    <x v="1"/>
  </r>
  <r>
    <s v="B-26397"/>
    <x v="318"/>
    <n v="6200"/>
    <n v="2321"/>
    <n v="0.37435483870967701"/>
    <n v="18"/>
    <x v="2"/>
    <x v="4"/>
    <x v="3"/>
    <d v="2024-09-21T00:00:00"/>
    <x v="0"/>
    <s v="Miami"/>
    <x v="10"/>
    <x v="1"/>
  </r>
  <r>
    <s v="B-25957"/>
    <x v="319"/>
    <n v="4470"/>
    <n v="413"/>
    <n v="9.2393736017897105E-2"/>
    <n v="13"/>
    <x v="0"/>
    <x v="3"/>
    <x v="0"/>
    <d v="2025-02-02T00:00:00"/>
    <x v="3"/>
    <s v="Los Angeles"/>
    <x v="7"/>
    <x v="5"/>
  </r>
  <r>
    <s v="B-26916"/>
    <x v="320"/>
    <n v="916"/>
    <n v="362"/>
    <n v="0.39519650655021799"/>
    <n v="7"/>
    <x v="1"/>
    <x v="2"/>
    <x v="0"/>
    <d v="2022-10-21T00:00:00"/>
    <x v="1"/>
    <s v="Springfield"/>
    <x v="4"/>
    <x v="3"/>
  </r>
  <r>
    <s v="B-26916"/>
    <x v="321"/>
    <n v="916"/>
    <n v="362"/>
    <n v="0.39519650655021799"/>
    <n v="7"/>
    <x v="1"/>
    <x v="2"/>
    <x v="0"/>
    <d v="2020-10-21T00:00:00"/>
    <x v="3"/>
    <s v="San Francisco"/>
    <x v="4"/>
    <x v="4"/>
  </r>
  <r>
    <s v="B-26916"/>
    <x v="320"/>
    <n v="1165"/>
    <n v="302"/>
    <n v="0.25922746781115902"/>
    <n v="20"/>
    <x v="2"/>
    <x v="7"/>
    <x v="0"/>
    <d v="2022-10-21T00:00:00"/>
    <x v="1"/>
    <s v="Springfield"/>
    <x v="4"/>
    <x v="3"/>
  </r>
  <r>
    <s v="B-26916"/>
    <x v="321"/>
    <n v="1165"/>
    <n v="302"/>
    <n v="0.25922746781115902"/>
    <n v="20"/>
    <x v="2"/>
    <x v="7"/>
    <x v="0"/>
    <d v="2020-10-21T00:00:00"/>
    <x v="3"/>
    <s v="San Francisco"/>
    <x v="4"/>
    <x v="4"/>
  </r>
  <r>
    <s v="B-26916"/>
    <x v="320"/>
    <n v="7846"/>
    <n v="677"/>
    <n v="8.6286005607953103E-2"/>
    <n v="12"/>
    <x v="2"/>
    <x v="5"/>
    <x v="0"/>
    <d v="2022-10-21T00:00:00"/>
    <x v="1"/>
    <s v="Springfield"/>
    <x v="4"/>
    <x v="3"/>
  </r>
  <r>
    <s v="B-26916"/>
    <x v="321"/>
    <n v="7846"/>
    <n v="677"/>
    <n v="8.6286005607953103E-2"/>
    <n v="12"/>
    <x v="2"/>
    <x v="5"/>
    <x v="0"/>
    <d v="2020-10-21T00:00:00"/>
    <x v="3"/>
    <s v="San Francisco"/>
    <x v="4"/>
    <x v="4"/>
  </r>
  <r>
    <s v="B-25925"/>
    <x v="322"/>
    <n v="3022"/>
    <n v="384"/>
    <n v="0.127068166776969"/>
    <n v="1"/>
    <x v="1"/>
    <x v="2"/>
    <x v="3"/>
    <d v="2022-01-11T00:00:00"/>
    <x v="4"/>
    <s v="Austin"/>
    <x v="8"/>
    <x v="3"/>
  </r>
  <r>
    <s v="B-25925"/>
    <x v="323"/>
    <n v="3022"/>
    <n v="384"/>
    <n v="0.127068166776969"/>
    <n v="1"/>
    <x v="1"/>
    <x v="2"/>
    <x v="3"/>
    <d v="2021-02-17T00:00:00"/>
    <x v="1"/>
    <s v="Chicago"/>
    <x v="7"/>
    <x v="2"/>
  </r>
  <r>
    <s v="B-25925"/>
    <x v="322"/>
    <n v="5266"/>
    <n v="1111"/>
    <n v="0.21097607292062301"/>
    <n v="13"/>
    <x v="0"/>
    <x v="0"/>
    <x v="1"/>
    <d v="2022-01-11T00:00:00"/>
    <x v="4"/>
    <s v="Austin"/>
    <x v="8"/>
    <x v="3"/>
  </r>
  <r>
    <s v="B-25925"/>
    <x v="323"/>
    <n v="5266"/>
    <n v="1111"/>
    <n v="0.21097607292062301"/>
    <n v="13"/>
    <x v="0"/>
    <x v="0"/>
    <x v="1"/>
    <d v="2021-02-17T00:00:00"/>
    <x v="1"/>
    <s v="Chicago"/>
    <x v="7"/>
    <x v="2"/>
  </r>
  <r>
    <s v="B-25602"/>
    <x v="324"/>
    <n v="4853"/>
    <n v="1764"/>
    <n v="0.36348650319390102"/>
    <n v="9"/>
    <x v="1"/>
    <x v="2"/>
    <x v="1"/>
    <d v="2021-11-06T00:00:00"/>
    <x v="0"/>
    <s v="Orlando"/>
    <x v="5"/>
    <x v="2"/>
  </r>
  <r>
    <s v="B-25602"/>
    <x v="325"/>
    <n v="4853"/>
    <n v="1764"/>
    <n v="0.36348650319390102"/>
    <n v="9"/>
    <x v="1"/>
    <x v="2"/>
    <x v="1"/>
    <d v="2022-08-30T00:00:00"/>
    <x v="4"/>
    <s v="Houston"/>
    <x v="9"/>
    <x v="3"/>
  </r>
  <r>
    <s v="B-26592"/>
    <x v="326"/>
    <n v="9832"/>
    <n v="1270"/>
    <n v="0.129170056956876"/>
    <n v="1"/>
    <x v="1"/>
    <x v="2"/>
    <x v="4"/>
    <d v="2022-10-07T00:00:00"/>
    <x v="3"/>
    <s v="San Francisco"/>
    <x v="4"/>
    <x v="3"/>
  </r>
  <r>
    <s v="B-26592"/>
    <x v="326"/>
    <n v="796"/>
    <n v="153"/>
    <n v="0.19221105527638199"/>
    <n v="15"/>
    <x v="1"/>
    <x v="2"/>
    <x v="3"/>
    <d v="2022-10-07T00:00:00"/>
    <x v="3"/>
    <s v="San Francisco"/>
    <x v="4"/>
    <x v="3"/>
  </r>
  <r>
    <s v="B-26251"/>
    <x v="327"/>
    <n v="883"/>
    <n v="127"/>
    <n v="0.143827859569649"/>
    <n v="7"/>
    <x v="2"/>
    <x v="5"/>
    <x v="4"/>
    <d v="2023-06-04T00:00:00"/>
    <x v="3"/>
    <s v="San Francisco"/>
    <x v="0"/>
    <x v="0"/>
  </r>
  <r>
    <s v="B-26251"/>
    <x v="327"/>
    <n v="4539"/>
    <n v="1155"/>
    <n v="0.25446133509583602"/>
    <n v="8"/>
    <x v="2"/>
    <x v="11"/>
    <x v="1"/>
    <d v="2023-06-04T00:00:00"/>
    <x v="3"/>
    <s v="San Francisco"/>
    <x v="0"/>
    <x v="0"/>
  </r>
  <r>
    <s v="B-26251"/>
    <x v="327"/>
    <n v="9659"/>
    <n v="2226"/>
    <n v="0.23045863961072599"/>
    <n v="16"/>
    <x v="1"/>
    <x v="9"/>
    <x v="1"/>
    <d v="2023-06-04T00:00:00"/>
    <x v="3"/>
    <s v="San Francisco"/>
    <x v="0"/>
    <x v="0"/>
  </r>
  <r>
    <s v="B-25979"/>
    <x v="328"/>
    <n v="9562"/>
    <n v="325"/>
    <n v="3.3988705291779997E-2"/>
    <n v="2"/>
    <x v="0"/>
    <x v="1"/>
    <x v="1"/>
    <d v="2022-05-13T00:00:00"/>
    <x v="3"/>
    <s v="San Diego"/>
    <x v="3"/>
    <x v="3"/>
  </r>
  <r>
    <s v="B-25437"/>
    <x v="329"/>
    <n v="4688"/>
    <n v="1841"/>
    <n v="0.392704778156997"/>
    <n v="3"/>
    <x v="0"/>
    <x v="3"/>
    <x v="3"/>
    <d v="2023-01-23T00:00:00"/>
    <x v="3"/>
    <s v="San Francisco"/>
    <x v="8"/>
    <x v="0"/>
  </r>
  <r>
    <s v="B-25437"/>
    <x v="330"/>
    <n v="4688"/>
    <n v="1841"/>
    <n v="0.392704778156997"/>
    <n v="3"/>
    <x v="0"/>
    <x v="3"/>
    <x v="3"/>
    <d v="2021-07-25T00:00:00"/>
    <x v="3"/>
    <s v="San Diego"/>
    <x v="2"/>
    <x v="2"/>
  </r>
  <r>
    <s v="B-26986"/>
    <x v="331"/>
    <n v="7900"/>
    <n v="482"/>
    <n v="6.1012658227848099E-2"/>
    <n v="4"/>
    <x v="0"/>
    <x v="10"/>
    <x v="4"/>
    <d v="2025-03-08T00:00:00"/>
    <x v="5"/>
    <s v="Columbus"/>
    <x v="6"/>
    <x v="5"/>
  </r>
  <r>
    <s v="B-25990"/>
    <x v="332"/>
    <n v="6967"/>
    <n v="3257"/>
    <n v="0.46748959379934002"/>
    <n v="17"/>
    <x v="2"/>
    <x v="11"/>
    <x v="4"/>
    <d v="2022-12-25T00:00:00"/>
    <x v="5"/>
    <s v="Cincinnati"/>
    <x v="1"/>
    <x v="3"/>
  </r>
  <r>
    <s v="B-25990"/>
    <x v="332"/>
    <n v="1091"/>
    <n v="277"/>
    <n v="0.25389550870760802"/>
    <n v="6"/>
    <x v="1"/>
    <x v="8"/>
    <x v="4"/>
    <d v="2022-12-25T00:00:00"/>
    <x v="5"/>
    <s v="Cincinnati"/>
    <x v="1"/>
    <x v="3"/>
  </r>
  <r>
    <s v="B-25990"/>
    <x v="332"/>
    <n v="6027"/>
    <n v="1530"/>
    <n v="0.25385764061722199"/>
    <n v="2"/>
    <x v="1"/>
    <x v="9"/>
    <x v="3"/>
    <d v="2022-12-25T00:00:00"/>
    <x v="5"/>
    <s v="Cincinnati"/>
    <x v="1"/>
    <x v="3"/>
  </r>
  <r>
    <s v="B-25222"/>
    <x v="333"/>
    <n v="4852"/>
    <n v="218"/>
    <n v="4.4929925803792202E-2"/>
    <n v="2"/>
    <x v="2"/>
    <x v="4"/>
    <x v="2"/>
    <d v="2024-04-24T00:00:00"/>
    <x v="4"/>
    <s v="Dallas"/>
    <x v="11"/>
    <x v="1"/>
  </r>
  <r>
    <s v="B-25222"/>
    <x v="334"/>
    <n v="4852"/>
    <n v="218"/>
    <n v="4.4929925803792202E-2"/>
    <n v="2"/>
    <x v="2"/>
    <x v="4"/>
    <x v="2"/>
    <d v="2021-12-24T00:00:00"/>
    <x v="0"/>
    <s v="Tampa"/>
    <x v="1"/>
    <x v="2"/>
  </r>
  <r>
    <s v="B-25222"/>
    <x v="335"/>
    <n v="4852"/>
    <n v="218"/>
    <n v="4.4929925803792202E-2"/>
    <n v="2"/>
    <x v="2"/>
    <x v="4"/>
    <x v="2"/>
    <d v="2023-09-07T00:00:00"/>
    <x v="1"/>
    <s v="Springfield"/>
    <x v="10"/>
    <x v="0"/>
  </r>
  <r>
    <s v="B-26402"/>
    <x v="336"/>
    <n v="4314"/>
    <n v="1453"/>
    <n v="0.33681038479369502"/>
    <n v="6"/>
    <x v="2"/>
    <x v="7"/>
    <x v="4"/>
    <d v="2021-08-10T00:00:00"/>
    <x v="0"/>
    <s v="Tampa"/>
    <x v="9"/>
    <x v="2"/>
  </r>
  <r>
    <s v="B-26792"/>
    <x v="337"/>
    <n v="3288"/>
    <n v="1477"/>
    <n v="0.44920924574209198"/>
    <n v="3"/>
    <x v="1"/>
    <x v="2"/>
    <x v="2"/>
    <d v="2024-05-26T00:00:00"/>
    <x v="4"/>
    <s v="Austin"/>
    <x v="3"/>
    <x v="1"/>
  </r>
  <r>
    <s v="B-26792"/>
    <x v="338"/>
    <n v="3288"/>
    <n v="1477"/>
    <n v="0.44920924574209198"/>
    <n v="3"/>
    <x v="1"/>
    <x v="2"/>
    <x v="2"/>
    <d v="2022-02-19T00:00:00"/>
    <x v="1"/>
    <s v="Springfield"/>
    <x v="7"/>
    <x v="3"/>
  </r>
  <r>
    <s v="B-25154"/>
    <x v="339"/>
    <n v="3977"/>
    <n v="813"/>
    <n v="0.20442544631631901"/>
    <n v="5"/>
    <x v="1"/>
    <x v="9"/>
    <x v="3"/>
    <d v="2024-12-09T00:00:00"/>
    <x v="2"/>
    <s v="New York City"/>
    <x v="1"/>
    <x v="1"/>
  </r>
  <r>
    <s v="B-26114"/>
    <x v="340"/>
    <n v="6252"/>
    <n v="1377"/>
    <n v="0.22024952015355101"/>
    <n v="2"/>
    <x v="0"/>
    <x v="1"/>
    <x v="2"/>
    <d v="2023-06-01T00:00:00"/>
    <x v="1"/>
    <s v="Chicago"/>
    <x v="0"/>
    <x v="0"/>
  </r>
  <r>
    <s v="B-26485"/>
    <x v="341"/>
    <n v="9084"/>
    <n v="3253"/>
    <n v="0.35810215763980602"/>
    <n v="12"/>
    <x v="1"/>
    <x v="2"/>
    <x v="1"/>
    <d v="2023-11-05T00:00:00"/>
    <x v="2"/>
    <s v="Buffalo"/>
    <x v="5"/>
    <x v="0"/>
  </r>
  <r>
    <s v="B-26191"/>
    <x v="342"/>
    <n v="8994"/>
    <n v="1481"/>
    <n v="0.16466533244385101"/>
    <n v="15"/>
    <x v="0"/>
    <x v="10"/>
    <x v="3"/>
    <d v="2020-06-21T00:00:00"/>
    <x v="3"/>
    <s v="San Diego"/>
    <x v="0"/>
    <x v="4"/>
  </r>
  <r>
    <s v="B-26754"/>
    <x v="343"/>
    <n v="1089"/>
    <n v="176"/>
    <n v="0.16161616161616199"/>
    <n v="16"/>
    <x v="1"/>
    <x v="6"/>
    <x v="2"/>
    <d v="2020-10-26T00:00:00"/>
    <x v="4"/>
    <s v="Dallas"/>
    <x v="4"/>
    <x v="4"/>
  </r>
  <r>
    <s v="B-25953"/>
    <x v="344"/>
    <n v="6690"/>
    <n v="1001"/>
    <n v="0.14962630792227199"/>
    <n v="19"/>
    <x v="1"/>
    <x v="9"/>
    <x v="0"/>
    <d v="2022-06-06T00:00:00"/>
    <x v="1"/>
    <s v="Springfield"/>
    <x v="0"/>
    <x v="3"/>
  </r>
  <r>
    <s v="B-25953"/>
    <x v="345"/>
    <n v="6690"/>
    <n v="1001"/>
    <n v="0.14962630792227199"/>
    <n v="19"/>
    <x v="1"/>
    <x v="9"/>
    <x v="0"/>
    <d v="2021-11-13T00:00:00"/>
    <x v="1"/>
    <s v="Chicago"/>
    <x v="5"/>
    <x v="2"/>
  </r>
  <r>
    <s v="B-25953"/>
    <x v="344"/>
    <n v="4985"/>
    <n v="1920"/>
    <n v="0.38515546639919801"/>
    <n v="10"/>
    <x v="2"/>
    <x v="11"/>
    <x v="3"/>
    <d v="2022-06-06T00:00:00"/>
    <x v="1"/>
    <s v="Springfield"/>
    <x v="0"/>
    <x v="3"/>
  </r>
  <r>
    <s v="B-25953"/>
    <x v="345"/>
    <n v="4985"/>
    <n v="1920"/>
    <n v="0.38515546639919801"/>
    <n v="10"/>
    <x v="2"/>
    <x v="11"/>
    <x v="3"/>
    <d v="2021-11-13T00:00:00"/>
    <x v="1"/>
    <s v="Chicago"/>
    <x v="5"/>
    <x v="2"/>
  </r>
  <r>
    <s v="B-26516"/>
    <x v="346"/>
    <n v="8590"/>
    <n v="3565"/>
    <n v="0.41501746216530799"/>
    <n v="15"/>
    <x v="0"/>
    <x v="0"/>
    <x v="2"/>
    <d v="2021-11-11T00:00:00"/>
    <x v="0"/>
    <s v="Miami"/>
    <x v="5"/>
    <x v="2"/>
  </r>
  <r>
    <s v="B-26516"/>
    <x v="346"/>
    <n v="6973"/>
    <n v="3038"/>
    <n v="0.43568048185859698"/>
    <n v="10"/>
    <x v="2"/>
    <x v="4"/>
    <x v="4"/>
    <d v="2021-11-11T00:00:00"/>
    <x v="0"/>
    <s v="Miami"/>
    <x v="5"/>
    <x v="2"/>
  </r>
  <r>
    <s v="B-26843"/>
    <x v="214"/>
    <n v="4591"/>
    <n v="1941"/>
    <n v="0.42278370725332198"/>
    <n v="19"/>
    <x v="0"/>
    <x v="1"/>
    <x v="2"/>
    <d v="2021-07-31T00:00:00"/>
    <x v="4"/>
    <s v="Dallas"/>
    <x v="2"/>
    <x v="2"/>
  </r>
  <r>
    <s v="B-26843"/>
    <x v="214"/>
    <n v="9612"/>
    <n v="2572"/>
    <n v="0.26758218893050401"/>
    <n v="17"/>
    <x v="1"/>
    <x v="2"/>
    <x v="3"/>
    <d v="2021-07-31T00:00:00"/>
    <x v="4"/>
    <s v="Dallas"/>
    <x v="2"/>
    <x v="2"/>
  </r>
  <r>
    <s v="B-26167"/>
    <x v="347"/>
    <n v="5343"/>
    <n v="655"/>
    <n v="0.122590305072057"/>
    <n v="1"/>
    <x v="2"/>
    <x v="5"/>
    <x v="2"/>
    <d v="2024-04-13T00:00:00"/>
    <x v="3"/>
    <s v="San Diego"/>
    <x v="11"/>
    <x v="1"/>
  </r>
  <r>
    <s v="B-26972"/>
    <x v="348"/>
    <n v="6956"/>
    <n v="318"/>
    <n v="4.5715928694652103E-2"/>
    <n v="20"/>
    <x v="1"/>
    <x v="6"/>
    <x v="1"/>
    <d v="2022-04-19T00:00:00"/>
    <x v="1"/>
    <s v="Springfield"/>
    <x v="11"/>
    <x v="3"/>
  </r>
  <r>
    <s v="B-25673"/>
    <x v="349"/>
    <n v="5306"/>
    <n v="2405"/>
    <n v="0.453260459856766"/>
    <n v="17"/>
    <x v="2"/>
    <x v="4"/>
    <x v="2"/>
    <d v="2024-03-23T00:00:00"/>
    <x v="2"/>
    <s v="Buffalo"/>
    <x v="6"/>
    <x v="1"/>
  </r>
  <r>
    <s v="B-26587"/>
    <x v="350"/>
    <n v="8982"/>
    <n v="448"/>
    <n v="4.9877532843464703E-2"/>
    <n v="17"/>
    <x v="2"/>
    <x v="7"/>
    <x v="0"/>
    <d v="2021-05-07T00:00:00"/>
    <x v="2"/>
    <s v="New York City"/>
    <x v="3"/>
    <x v="2"/>
  </r>
  <r>
    <s v="B-26587"/>
    <x v="350"/>
    <n v="4826"/>
    <n v="562"/>
    <n v="0.116452548694571"/>
    <n v="5"/>
    <x v="1"/>
    <x v="8"/>
    <x v="1"/>
    <d v="2021-05-07T00:00:00"/>
    <x v="2"/>
    <s v="New York City"/>
    <x v="3"/>
    <x v="2"/>
  </r>
  <r>
    <s v="B-26668"/>
    <x v="351"/>
    <n v="972"/>
    <n v="106"/>
    <n v="0.109053497942387"/>
    <n v="15"/>
    <x v="1"/>
    <x v="2"/>
    <x v="2"/>
    <d v="2022-05-06T00:00:00"/>
    <x v="5"/>
    <s v="Cincinnati"/>
    <x v="3"/>
    <x v="3"/>
  </r>
  <r>
    <s v="B-26906"/>
    <x v="352"/>
    <n v="3665"/>
    <n v="802"/>
    <n v="0.218826739427012"/>
    <n v="4"/>
    <x v="1"/>
    <x v="6"/>
    <x v="3"/>
    <d v="2021-08-09T00:00:00"/>
    <x v="0"/>
    <s v="Miami"/>
    <x v="9"/>
    <x v="2"/>
  </r>
  <r>
    <s v="B-26906"/>
    <x v="353"/>
    <n v="3665"/>
    <n v="802"/>
    <n v="0.218826739427012"/>
    <n v="4"/>
    <x v="1"/>
    <x v="6"/>
    <x v="3"/>
    <d v="2025-02-09T00:00:00"/>
    <x v="0"/>
    <s v="Tampa"/>
    <x v="7"/>
    <x v="5"/>
  </r>
  <r>
    <s v="B-25226"/>
    <x v="354"/>
    <n v="9808"/>
    <n v="2117"/>
    <n v="0.21584420880913499"/>
    <n v="2"/>
    <x v="1"/>
    <x v="2"/>
    <x v="0"/>
    <d v="2024-04-23T00:00:00"/>
    <x v="3"/>
    <s v="Los Angeles"/>
    <x v="11"/>
    <x v="1"/>
  </r>
  <r>
    <s v="B-25166"/>
    <x v="355"/>
    <n v="1133"/>
    <n v="73"/>
    <n v="6.4430714916151793E-2"/>
    <n v="17"/>
    <x v="2"/>
    <x v="5"/>
    <x v="0"/>
    <d v="2023-02-23T00:00:00"/>
    <x v="5"/>
    <s v="Cleveland"/>
    <x v="7"/>
    <x v="0"/>
  </r>
  <r>
    <s v="B-25166"/>
    <x v="356"/>
    <n v="1133"/>
    <n v="73"/>
    <n v="6.4430714916151793E-2"/>
    <n v="17"/>
    <x v="2"/>
    <x v="5"/>
    <x v="0"/>
    <d v="2024-06-06T00:00:00"/>
    <x v="3"/>
    <s v="San Diego"/>
    <x v="0"/>
    <x v="1"/>
  </r>
  <r>
    <s v="B-25166"/>
    <x v="355"/>
    <n v="6248"/>
    <n v="1168"/>
    <n v="0.18693982074263801"/>
    <n v="19"/>
    <x v="2"/>
    <x v="11"/>
    <x v="4"/>
    <d v="2023-02-23T00:00:00"/>
    <x v="5"/>
    <s v="Cleveland"/>
    <x v="7"/>
    <x v="0"/>
  </r>
  <r>
    <s v="B-25166"/>
    <x v="356"/>
    <n v="6248"/>
    <n v="1168"/>
    <n v="0.18693982074263801"/>
    <n v="19"/>
    <x v="2"/>
    <x v="11"/>
    <x v="4"/>
    <d v="2024-06-06T00:00:00"/>
    <x v="3"/>
    <s v="San Diego"/>
    <x v="0"/>
    <x v="1"/>
  </r>
  <r>
    <s v="B-25454"/>
    <x v="357"/>
    <n v="5666"/>
    <n v="2733"/>
    <n v="0.48235086480762401"/>
    <n v="17"/>
    <x v="0"/>
    <x v="0"/>
    <x v="3"/>
    <d v="2025-01-27T00:00:00"/>
    <x v="0"/>
    <s v="Tampa"/>
    <x v="8"/>
    <x v="5"/>
  </r>
  <r>
    <s v="B-26215"/>
    <x v="358"/>
    <n v="4171"/>
    <n v="1450"/>
    <n v="0.34763845600575399"/>
    <n v="18"/>
    <x v="1"/>
    <x v="6"/>
    <x v="4"/>
    <d v="2023-04-07T00:00:00"/>
    <x v="4"/>
    <s v="Dallas"/>
    <x v="11"/>
    <x v="0"/>
  </r>
  <r>
    <s v="B-25777"/>
    <x v="359"/>
    <n v="6236"/>
    <n v="2839"/>
    <n v="0.45525978191148198"/>
    <n v="7"/>
    <x v="0"/>
    <x v="1"/>
    <x v="3"/>
    <d v="2022-01-20T00:00:00"/>
    <x v="1"/>
    <s v="Springfield"/>
    <x v="8"/>
    <x v="3"/>
  </r>
  <r>
    <s v="B-25777"/>
    <x v="360"/>
    <n v="6236"/>
    <n v="2839"/>
    <n v="0.45525978191148198"/>
    <n v="7"/>
    <x v="0"/>
    <x v="1"/>
    <x v="3"/>
    <d v="2022-05-10T00:00:00"/>
    <x v="0"/>
    <s v="Orlando"/>
    <x v="3"/>
    <x v="3"/>
  </r>
  <r>
    <s v="B-25383"/>
    <x v="361"/>
    <n v="5410"/>
    <n v="2456"/>
    <n v="0.45397412199630299"/>
    <n v="8"/>
    <x v="2"/>
    <x v="5"/>
    <x v="3"/>
    <d v="2024-05-29T00:00:00"/>
    <x v="3"/>
    <s v="Los Angeles"/>
    <x v="3"/>
    <x v="1"/>
  </r>
  <r>
    <s v="B-25383"/>
    <x v="362"/>
    <n v="5410"/>
    <n v="2456"/>
    <n v="0.45397412199630299"/>
    <n v="8"/>
    <x v="2"/>
    <x v="5"/>
    <x v="3"/>
    <d v="2022-01-04T00:00:00"/>
    <x v="0"/>
    <s v="Tampa"/>
    <x v="8"/>
    <x v="3"/>
  </r>
  <r>
    <s v="B-26409"/>
    <x v="363"/>
    <n v="3024"/>
    <n v="1353"/>
    <n v="0.447420634920635"/>
    <n v="1"/>
    <x v="2"/>
    <x v="7"/>
    <x v="3"/>
    <d v="2024-05-02T00:00:00"/>
    <x v="3"/>
    <s v="Los Angeles"/>
    <x v="3"/>
    <x v="1"/>
  </r>
  <r>
    <s v="B-26409"/>
    <x v="364"/>
    <n v="3024"/>
    <n v="1353"/>
    <n v="0.447420634920635"/>
    <n v="1"/>
    <x v="2"/>
    <x v="7"/>
    <x v="3"/>
    <d v="2021-12-28T00:00:00"/>
    <x v="5"/>
    <s v="Columbus"/>
    <x v="1"/>
    <x v="2"/>
  </r>
  <r>
    <s v="B-26684"/>
    <x v="365"/>
    <n v="7434"/>
    <n v="2851"/>
    <n v="0.38350820554210402"/>
    <n v="5"/>
    <x v="1"/>
    <x v="6"/>
    <x v="0"/>
    <d v="2022-12-12T00:00:00"/>
    <x v="1"/>
    <s v="Springfield"/>
    <x v="1"/>
    <x v="3"/>
  </r>
  <r>
    <s v="B-26726"/>
    <x v="366"/>
    <n v="7213"/>
    <n v="508"/>
    <n v="7.0428393178982404E-2"/>
    <n v="19"/>
    <x v="0"/>
    <x v="0"/>
    <x v="1"/>
    <d v="2023-08-17T00:00:00"/>
    <x v="4"/>
    <s v="Dallas"/>
    <x v="9"/>
    <x v="0"/>
  </r>
  <r>
    <s v="B-26726"/>
    <x v="367"/>
    <n v="7213"/>
    <n v="508"/>
    <n v="7.0428393178982404E-2"/>
    <n v="19"/>
    <x v="0"/>
    <x v="0"/>
    <x v="1"/>
    <d v="2021-11-29T00:00:00"/>
    <x v="5"/>
    <s v="Cincinnati"/>
    <x v="5"/>
    <x v="2"/>
  </r>
  <r>
    <s v="B-26726"/>
    <x v="366"/>
    <n v="3176"/>
    <n v="586"/>
    <n v="0.184508816120907"/>
    <n v="9"/>
    <x v="2"/>
    <x v="4"/>
    <x v="2"/>
    <d v="2023-08-17T00:00:00"/>
    <x v="4"/>
    <s v="Dallas"/>
    <x v="9"/>
    <x v="0"/>
  </r>
  <r>
    <s v="B-26726"/>
    <x v="367"/>
    <n v="3176"/>
    <n v="586"/>
    <n v="0.184508816120907"/>
    <n v="9"/>
    <x v="2"/>
    <x v="4"/>
    <x v="2"/>
    <d v="2021-11-29T00:00:00"/>
    <x v="5"/>
    <s v="Cincinnati"/>
    <x v="5"/>
    <x v="2"/>
  </r>
  <r>
    <s v="B-26136"/>
    <x v="368"/>
    <n v="9144"/>
    <n v="2220"/>
    <n v="0.24278215223097099"/>
    <n v="18"/>
    <x v="1"/>
    <x v="9"/>
    <x v="3"/>
    <d v="2021-06-13T00:00:00"/>
    <x v="0"/>
    <s v="Miami"/>
    <x v="0"/>
    <x v="2"/>
  </r>
  <r>
    <s v="B-26098"/>
    <x v="369"/>
    <n v="4146"/>
    <n v="865"/>
    <n v="0.20863482875060299"/>
    <n v="19"/>
    <x v="2"/>
    <x v="4"/>
    <x v="2"/>
    <d v="2022-07-04T00:00:00"/>
    <x v="4"/>
    <s v="Houston"/>
    <x v="2"/>
    <x v="3"/>
  </r>
  <r>
    <s v="B-26098"/>
    <x v="369"/>
    <n v="3793"/>
    <n v="875"/>
    <n v="0.23068810967571801"/>
    <n v="7"/>
    <x v="2"/>
    <x v="4"/>
    <x v="2"/>
    <d v="2022-07-04T00:00:00"/>
    <x v="4"/>
    <s v="Houston"/>
    <x v="2"/>
    <x v="3"/>
  </r>
  <r>
    <s v="B-25430"/>
    <x v="370"/>
    <n v="7169"/>
    <n v="2385"/>
    <n v="0.332682382480123"/>
    <n v="11"/>
    <x v="2"/>
    <x v="7"/>
    <x v="4"/>
    <d v="2021-06-27T00:00:00"/>
    <x v="3"/>
    <s v="Los Angeles"/>
    <x v="0"/>
    <x v="2"/>
  </r>
  <r>
    <s v="B-25430"/>
    <x v="370"/>
    <n v="4046"/>
    <n v="417"/>
    <n v="0.10306475531389001"/>
    <n v="18"/>
    <x v="2"/>
    <x v="5"/>
    <x v="3"/>
    <d v="2021-06-27T00:00:00"/>
    <x v="3"/>
    <s v="Los Angeles"/>
    <x v="0"/>
    <x v="2"/>
  </r>
  <r>
    <s v="B-25266"/>
    <x v="371"/>
    <n v="4164"/>
    <n v="905"/>
    <n v="0.217339097022094"/>
    <n v="11"/>
    <x v="0"/>
    <x v="10"/>
    <x v="4"/>
    <d v="2023-12-04T00:00:00"/>
    <x v="3"/>
    <s v="San Diego"/>
    <x v="1"/>
    <x v="0"/>
  </r>
  <r>
    <s v="B-25266"/>
    <x v="371"/>
    <n v="5389"/>
    <n v="2196"/>
    <n v="0.40749675264427498"/>
    <n v="5"/>
    <x v="2"/>
    <x v="4"/>
    <x v="0"/>
    <d v="2023-12-04T00:00:00"/>
    <x v="3"/>
    <s v="San Diego"/>
    <x v="1"/>
    <x v="0"/>
  </r>
  <r>
    <s v="B-25283"/>
    <x v="372"/>
    <n v="5448"/>
    <n v="2204"/>
    <n v="0.404552129221733"/>
    <n v="5"/>
    <x v="2"/>
    <x v="7"/>
    <x v="4"/>
    <d v="2022-08-09T00:00:00"/>
    <x v="2"/>
    <s v="New York City"/>
    <x v="9"/>
    <x v="3"/>
  </r>
  <r>
    <s v="B-25227"/>
    <x v="373"/>
    <n v="4115"/>
    <n v="1285"/>
    <n v="0.31227217496962301"/>
    <n v="1"/>
    <x v="2"/>
    <x v="7"/>
    <x v="0"/>
    <d v="2020-04-08T00:00:00"/>
    <x v="0"/>
    <s v="Orlando"/>
    <x v="11"/>
    <x v="4"/>
  </r>
  <r>
    <s v="B-25227"/>
    <x v="373"/>
    <n v="4761"/>
    <n v="2231"/>
    <n v="0.46859903381642498"/>
    <n v="12"/>
    <x v="2"/>
    <x v="4"/>
    <x v="0"/>
    <d v="2020-04-08T00:00:00"/>
    <x v="0"/>
    <s v="Orlando"/>
    <x v="11"/>
    <x v="4"/>
  </r>
  <r>
    <s v="B-25669"/>
    <x v="374"/>
    <n v="5899"/>
    <n v="2264"/>
    <n v="0.38379386336667198"/>
    <n v="6"/>
    <x v="1"/>
    <x v="9"/>
    <x v="2"/>
    <d v="2023-10-20T00:00:00"/>
    <x v="2"/>
    <s v="Buffalo"/>
    <x v="4"/>
    <x v="0"/>
  </r>
  <r>
    <s v="B-25064"/>
    <x v="375"/>
    <n v="6109"/>
    <n v="3040"/>
    <n v="0.497626452774595"/>
    <n v="9"/>
    <x v="2"/>
    <x v="5"/>
    <x v="2"/>
    <d v="2022-02-10T00:00:00"/>
    <x v="2"/>
    <s v="Buffalo"/>
    <x v="7"/>
    <x v="3"/>
  </r>
  <r>
    <s v="B-25064"/>
    <x v="376"/>
    <n v="6109"/>
    <n v="3040"/>
    <n v="0.497626452774595"/>
    <n v="9"/>
    <x v="2"/>
    <x v="5"/>
    <x v="2"/>
    <d v="2023-10-05T00:00:00"/>
    <x v="2"/>
    <s v="Rochester"/>
    <x v="4"/>
    <x v="0"/>
  </r>
  <r>
    <s v="B-25064"/>
    <x v="375"/>
    <n v="4628"/>
    <n v="1491"/>
    <n v="0.32216940363007801"/>
    <n v="17"/>
    <x v="0"/>
    <x v="0"/>
    <x v="0"/>
    <d v="2022-02-10T00:00:00"/>
    <x v="2"/>
    <s v="Buffalo"/>
    <x v="7"/>
    <x v="3"/>
  </r>
  <r>
    <s v="B-25064"/>
    <x v="376"/>
    <n v="4628"/>
    <n v="1491"/>
    <n v="0.32216940363007801"/>
    <n v="17"/>
    <x v="0"/>
    <x v="0"/>
    <x v="0"/>
    <d v="2023-10-05T00:00:00"/>
    <x v="2"/>
    <s v="Rochester"/>
    <x v="4"/>
    <x v="0"/>
  </r>
  <r>
    <s v="B-26268"/>
    <x v="377"/>
    <n v="4369"/>
    <n v="584"/>
    <n v="0.13366903181506101"/>
    <n v="13"/>
    <x v="1"/>
    <x v="2"/>
    <x v="3"/>
    <d v="2022-09-22T00:00:00"/>
    <x v="1"/>
    <s v="Peoria"/>
    <x v="10"/>
    <x v="3"/>
  </r>
  <r>
    <s v="B-26268"/>
    <x v="378"/>
    <n v="4369"/>
    <n v="584"/>
    <n v="0.13366903181506101"/>
    <n v="13"/>
    <x v="1"/>
    <x v="2"/>
    <x v="3"/>
    <d v="2021-04-03T00:00:00"/>
    <x v="4"/>
    <s v="Austin"/>
    <x v="11"/>
    <x v="2"/>
  </r>
  <r>
    <s v="B-25456"/>
    <x v="379"/>
    <n v="5632"/>
    <n v="2358"/>
    <n v="0.41867897727272702"/>
    <n v="20"/>
    <x v="2"/>
    <x v="7"/>
    <x v="3"/>
    <d v="2021-05-03T00:00:00"/>
    <x v="3"/>
    <s v="Los Angeles"/>
    <x v="3"/>
    <x v="2"/>
  </r>
  <r>
    <s v="B-25456"/>
    <x v="380"/>
    <n v="5632"/>
    <n v="2358"/>
    <n v="0.41867897727272702"/>
    <n v="20"/>
    <x v="2"/>
    <x v="7"/>
    <x v="3"/>
    <d v="2024-02-11T00:00:00"/>
    <x v="0"/>
    <s v="Miami"/>
    <x v="7"/>
    <x v="1"/>
  </r>
  <r>
    <s v="B-25456"/>
    <x v="381"/>
    <n v="5632"/>
    <n v="2358"/>
    <n v="0.41867897727272702"/>
    <n v="20"/>
    <x v="2"/>
    <x v="7"/>
    <x v="3"/>
    <d v="2025-02-04T00:00:00"/>
    <x v="5"/>
    <s v="Cleveland"/>
    <x v="7"/>
    <x v="5"/>
  </r>
  <r>
    <s v="B-25495"/>
    <x v="382"/>
    <n v="7519"/>
    <n v="402"/>
    <n v="5.3464556456975697E-2"/>
    <n v="14"/>
    <x v="1"/>
    <x v="8"/>
    <x v="0"/>
    <d v="2022-10-12T00:00:00"/>
    <x v="3"/>
    <s v="San Diego"/>
    <x v="4"/>
    <x v="3"/>
  </r>
  <r>
    <s v="B-25495"/>
    <x v="382"/>
    <n v="1564"/>
    <n v="674"/>
    <n v="0.430946291560102"/>
    <n v="13"/>
    <x v="0"/>
    <x v="0"/>
    <x v="1"/>
    <d v="2022-10-12T00:00:00"/>
    <x v="3"/>
    <s v="San Diego"/>
    <x v="4"/>
    <x v="3"/>
  </r>
  <r>
    <s v="B-26552"/>
    <x v="383"/>
    <n v="2804"/>
    <n v="936"/>
    <n v="0.33380884450784598"/>
    <n v="10"/>
    <x v="0"/>
    <x v="0"/>
    <x v="3"/>
    <d v="2022-02-06T00:00:00"/>
    <x v="4"/>
    <s v="Austin"/>
    <x v="7"/>
    <x v="3"/>
  </r>
  <r>
    <s v="B-26552"/>
    <x v="384"/>
    <n v="2804"/>
    <n v="936"/>
    <n v="0.33380884450784598"/>
    <n v="10"/>
    <x v="0"/>
    <x v="0"/>
    <x v="3"/>
    <d v="2020-11-09T00:00:00"/>
    <x v="0"/>
    <s v="Tampa"/>
    <x v="5"/>
    <x v="4"/>
  </r>
  <r>
    <s v="B-26552"/>
    <x v="385"/>
    <n v="2804"/>
    <n v="936"/>
    <n v="0.33380884450784598"/>
    <n v="10"/>
    <x v="0"/>
    <x v="0"/>
    <x v="3"/>
    <d v="2023-05-03T00:00:00"/>
    <x v="0"/>
    <s v="Tampa"/>
    <x v="3"/>
    <x v="0"/>
  </r>
  <r>
    <s v="B-25203"/>
    <x v="386"/>
    <n v="2321"/>
    <n v="505"/>
    <n v="0.21757862990090501"/>
    <n v="6"/>
    <x v="2"/>
    <x v="5"/>
    <x v="2"/>
    <d v="2022-10-04T00:00:00"/>
    <x v="1"/>
    <s v="Springfield"/>
    <x v="4"/>
    <x v="3"/>
  </r>
  <r>
    <s v="B-25462"/>
    <x v="387"/>
    <n v="5730"/>
    <n v="482"/>
    <n v="8.4118673647469402E-2"/>
    <n v="6"/>
    <x v="0"/>
    <x v="3"/>
    <x v="4"/>
    <d v="2024-08-21T00:00:00"/>
    <x v="0"/>
    <s v="Tampa"/>
    <x v="9"/>
    <x v="1"/>
  </r>
  <r>
    <s v="B-26145"/>
    <x v="388"/>
    <n v="7441"/>
    <n v="867"/>
    <n v="0.116516597231555"/>
    <n v="12"/>
    <x v="2"/>
    <x v="7"/>
    <x v="4"/>
    <d v="2021-11-20T00:00:00"/>
    <x v="1"/>
    <s v="Chicago"/>
    <x v="5"/>
    <x v="2"/>
  </r>
  <r>
    <s v="B-26145"/>
    <x v="389"/>
    <n v="7441"/>
    <n v="867"/>
    <n v="0.116516597231555"/>
    <n v="12"/>
    <x v="2"/>
    <x v="7"/>
    <x v="4"/>
    <d v="2020-05-13T00:00:00"/>
    <x v="4"/>
    <s v="Austin"/>
    <x v="3"/>
    <x v="4"/>
  </r>
  <r>
    <s v="B-25552"/>
    <x v="390"/>
    <n v="1732"/>
    <n v="766"/>
    <n v="0.44226327944572702"/>
    <n v="7"/>
    <x v="1"/>
    <x v="9"/>
    <x v="0"/>
    <d v="2023-02-28T00:00:00"/>
    <x v="2"/>
    <s v="New York City"/>
    <x v="7"/>
    <x v="0"/>
  </r>
  <r>
    <s v="B-25552"/>
    <x v="390"/>
    <n v="8788"/>
    <n v="3944"/>
    <n v="0.44879380974055499"/>
    <n v="19"/>
    <x v="1"/>
    <x v="8"/>
    <x v="2"/>
    <d v="2023-02-28T00:00:00"/>
    <x v="2"/>
    <s v="New York City"/>
    <x v="7"/>
    <x v="0"/>
  </r>
  <r>
    <s v="B-26069"/>
    <x v="391"/>
    <n v="838"/>
    <n v="271"/>
    <n v="0.32338902147971399"/>
    <n v="11"/>
    <x v="1"/>
    <x v="6"/>
    <x v="2"/>
    <d v="2021-01-21T00:00:00"/>
    <x v="5"/>
    <s v="Columbus"/>
    <x v="8"/>
    <x v="2"/>
  </r>
  <r>
    <s v="B-26069"/>
    <x v="392"/>
    <n v="838"/>
    <n v="271"/>
    <n v="0.32338902147971399"/>
    <n v="11"/>
    <x v="1"/>
    <x v="6"/>
    <x v="2"/>
    <d v="2022-02-28T00:00:00"/>
    <x v="1"/>
    <s v="Peoria"/>
    <x v="7"/>
    <x v="3"/>
  </r>
  <r>
    <s v="B-26069"/>
    <x v="391"/>
    <n v="3577"/>
    <n v="699"/>
    <n v="0.19541515236231499"/>
    <n v="2"/>
    <x v="2"/>
    <x v="4"/>
    <x v="0"/>
    <d v="2021-01-21T00:00:00"/>
    <x v="5"/>
    <s v="Columbus"/>
    <x v="8"/>
    <x v="2"/>
  </r>
  <r>
    <s v="B-26069"/>
    <x v="392"/>
    <n v="3577"/>
    <n v="699"/>
    <n v="0.19541515236231499"/>
    <n v="2"/>
    <x v="2"/>
    <x v="4"/>
    <x v="0"/>
    <d v="2022-02-28T00:00:00"/>
    <x v="1"/>
    <s v="Peoria"/>
    <x v="7"/>
    <x v="3"/>
  </r>
  <r>
    <s v="B-25120"/>
    <x v="393"/>
    <n v="7122"/>
    <n v="1836"/>
    <n v="0.25779275484414499"/>
    <n v="6"/>
    <x v="0"/>
    <x v="10"/>
    <x v="1"/>
    <d v="2024-04-25T00:00:00"/>
    <x v="4"/>
    <s v="Dallas"/>
    <x v="11"/>
    <x v="1"/>
  </r>
  <r>
    <s v="B-25120"/>
    <x v="394"/>
    <n v="7122"/>
    <n v="1836"/>
    <n v="0.25779275484414499"/>
    <n v="6"/>
    <x v="0"/>
    <x v="10"/>
    <x v="1"/>
    <d v="2023-03-10T00:00:00"/>
    <x v="4"/>
    <s v="Houston"/>
    <x v="6"/>
    <x v="0"/>
  </r>
  <r>
    <s v="B-25120"/>
    <x v="395"/>
    <n v="7122"/>
    <n v="1836"/>
    <n v="0.25779275484414499"/>
    <n v="6"/>
    <x v="0"/>
    <x v="10"/>
    <x v="1"/>
    <d v="2023-07-10T00:00:00"/>
    <x v="2"/>
    <s v="New York City"/>
    <x v="2"/>
    <x v="0"/>
  </r>
  <r>
    <s v="B-25120"/>
    <x v="393"/>
    <n v="7327"/>
    <n v="2596"/>
    <n v="0.35430599153814701"/>
    <n v="15"/>
    <x v="1"/>
    <x v="6"/>
    <x v="3"/>
    <d v="2024-04-25T00:00:00"/>
    <x v="4"/>
    <s v="Dallas"/>
    <x v="11"/>
    <x v="1"/>
  </r>
  <r>
    <s v="B-25120"/>
    <x v="394"/>
    <n v="7327"/>
    <n v="2596"/>
    <n v="0.35430599153814701"/>
    <n v="15"/>
    <x v="1"/>
    <x v="6"/>
    <x v="3"/>
    <d v="2023-03-10T00:00:00"/>
    <x v="4"/>
    <s v="Houston"/>
    <x v="6"/>
    <x v="0"/>
  </r>
  <r>
    <s v="B-25120"/>
    <x v="395"/>
    <n v="7327"/>
    <n v="2596"/>
    <n v="0.35430599153814701"/>
    <n v="15"/>
    <x v="1"/>
    <x v="6"/>
    <x v="3"/>
    <d v="2023-07-10T00:00:00"/>
    <x v="2"/>
    <s v="New York City"/>
    <x v="2"/>
    <x v="0"/>
  </r>
  <r>
    <s v="B-26146"/>
    <x v="396"/>
    <n v="2239"/>
    <n v="1094"/>
    <n v="0.48861098704778899"/>
    <n v="18"/>
    <x v="0"/>
    <x v="1"/>
    <x v="4"/>
    <d v="2024-07-28T00:00:00"/>
    <x v="0"/>
    <s v="Tampa"/>
    <x v="2"/>
    <x v="1"/>
  </r>
  <r>
    <s v="B-26146"/>
    <x v="396"/>
    <n v="4932"/>
    <n v="1153"/>
    <n v="0.233779399837794"/>
    <n v="1"/>
    <x v="1"/>
    <x v="6"/>
    <x v="4"/>
    <d v="2024-07-28T00:00:00"/>
    <x v="0"/>
    <s v="Tampa"/>
    <x v="2"/>
    <x v="1"/>
  </r>
  <r>
    <s v="B-25549"/>
    <x v="397"/>
    <n v="4609"/>
    <n v="1084"/>
    <n v="0.23519201562160999"/>
    <n v="8"/>
    <x v="0"/>
    <x v="1"/>
    <x v="0"/>
    <d v="2023-07-30T00:00:00"/>
    <x v="0"/>
    <s v="Orlando"/>
    <x v="2"/>
    <x v="0"/>
  </r>
  <r>
    <s v="B-25549"/>
    <x v="397"/>
    <n v="2328"/>
    <n v="788"/>
    <n v="0.33848797250859097"/>
    <n v="4"/>
    <x v="1"/>
    <x v="8"/>
    <x v="0"/>
    <d v="2023-07-30T00:00:00"/>
    <x v="0"/>
    <s v="Orlando"/>
    <x v="2"/>
    <x v="0"/>
  </r>
  <r>
    <s v="B-25549"/>
    <x v="397"/>
    <n v="4734"/>
    <n v="958"/>
    <n v="0.202365863962822"/>
    <n v="7"/>
    <x v="0"/>
    <x v="1"/>
    <x v="1"/>
    <d v="2023-07-30T00:00:00"/>
    <x v="0"/>
    <s v="Orlando"/>
    <x v="2"/>
    <x v="0"/>
  </r>
  <r>
    <s v="B-25488"/>
    <x v="398"/>
    <n v="1388"/>
    <n v="345"/>
    <n v="0.248559077809798"/>
    <n v="5"/>
    <x v="2"/>
    <x v="7"/>
    <x v="0"/>
    <d v="2024-10-05T00:00:00"/>
    <x v="2"/>
    <s v="New York City"/>
    <x v="4"/>
    <x v="1"/>
  </r>
  <r>
    <s v="B-25488"/>
    <x v="398"/>
    <n v="8555"/>
    <n v="1638"/>
    <n v="0.191466978375219"/>
    <n v="8"/>
    <x v="0"/>
    <x v="3"/>
    <x v="3"/>
    <d v="2024-10-05T00:00:00"/>
    <x v="2"/>
    <s v="New York City"/>
    <x v="4"/>
    <x v="1"/>
  </r>
  <r>
    <s v="B-26885"/>
    <x v="399"/>
    <n v="9024"/>
    <n v="730"/>
    <n v="8.0895390070922002E-2"/>
    <n v="4"/>
    <x v="2"/>
    <x v="4"/>
    <x v="3"/>
    <d v="2024-02-20T00:00:00"/>
    <x v="4"/>
    <s v="Dallas"/>
    <x v="7"/>
    <x v="1"/>
  </r>
  <r>
    <s v="B-26885"/>
    <x v="399"/>
    <n v="2468"/>
    <n v="418"/>
    <n v="0.16936790923824999"/>
    <n v="4"/>
    <x v="0"/>
    <x v="3"/>
    <x v="3"/>
    <d v="2024-02-20T00:00:00"/>
    <x v="4"/>
    <s v="Dallas"/>
    <x v="7"/>
    <x v="1"/>
  </r>
  <r>
    <s v="B-25703"/>
    <x v="400"/>
    <n v="9438"/>
    <n v="1801"/>
    <n v="0.19082432718796399"/>
    <n v="4"/>
    <x v="0"/>
    <x v="0"/>
    <x v="4"/>
    <d v="2023-04-19T00:00:00"/>
    <x v="0"/>
    <s v="Orlando"/>
    <x v="11"/>
    <x v="0"/>
  </r>
  <r>
    <s v="B-25703"/>
    <x v="401"/>
    <n v="9438"/>
    <n v="1801"/>
    <n v="0.19082432718796399"/>
    <n v="4"/>
    <x v="0"/>
    <x v="0"/>
    <x v="4"/>
    <d v="2023-10-29T00:00:00"/>
    <x v="4"/>
    <s v="Austin"/>
    <x v="4"/>
    <x v="0"/>
  </r>
  <r>
    <s v="B-25809"/>
    <x v="402"/>
    <n v="2685"/>
    <n v="379"/>
    <n v="0.14115456238361301"/>
    <n v="18"/>
    <x v="0"/>
    <x v="10"/>
    <x v="0"/>
    <d v="2022-03-08T00:00:00"/>
    <x v="5"/>
    <s v="Cleveland"/>
    <x v="6"/>
    <x v="3"/>
  </r>
  <r>
    <s v="B-25809"/>
    <x v="403"/>
    <n v="2685"/>
    <n v="379"/>
    <n v="0.14115456238361301"/>
    <n v="18"/>
    <x v="0"/>
    <x v="10"/>
    <x v="0"/>
    <d v="2022-12-08T00:00:00"/>
    <x v="0"/>
    <s v="Tampa"/>
    <x v="1"/>
    <x v="3"/>
  </r>
  <r>
    <s v="B-25809"/>
    <x v="402"/>
    <n v="9916"/>
    <n v="4602"/>
    <n v="0.46409842678499402"/>
    <n v="14"/>
    <x v="2"/>
    <x v="5"/>
    <x v="0"/>
    <d v="2022-03-08T00:00:00"/>
    <x v="5"/>
    <s v="Cleveland"/>
    <x v="6"/>
    <x v="3"/>
  </r>
  <r>
    <s v="B-25809"/>
    <x v="403"/>
    <n v="9916"/>
    <n v="4602"/>
    <n v="0.46409842678499402"/>
    <n v="14"/>
    <x v="2"/>
    <x v="5"/>
    <x v="0"/>
    <d v="2022-12-08T00:00:00"/>
    <x v="0"/>
    <s v="Tampa"/>
    <x v="1"/>
    <x v="3"/>
  </r>
  <r>
    <s v="B-25809"/>
    <x v="402"/>
    <n v="6184"/>
    <n v="50"/>
    <n v="8.0853816300129402E-3"/>
    <n v="14"/>
    <x v="0"/>
    <x v="0"/>
    <x v="3"/>
    <d v="2022-03-08T00:00:00"/>
    <x v="5"/>
    <s v="Cleveland"/>
    <x v="6"/>
    <x v="3"/>
  </r>
  <r>
    <s v="B-25809"/>
    <x v="403"/>
    <n v="6184"/>
    <n v="50"/>
    <n v="8.0853816300129402E-3"/>
    <n v="14"/>
    <x v="0"/>
    <x v="0"/>
    <x v="3"/>
    <d v="2022-12-08T00:00:00"/>
    <x v="0"/>
    <s v="Tampa"/>
    <x v="1"/>
    <x v="3"/>
  </r>
  <r>
    <s v="B-25809"/>
    <x v="402"/>
    <n v="4548"/>
    <n v="2135"/>
    <n v="0.46943711521547898"/>
    <n v="8"/>
    <x v="1"/>
    <x v="6"/>
    <x v="1"/>
    <d v="2022-03-08T00:00:00"/>
    <x v="5"/>
    <s v="Cleveland"/>
    <x v="6"/>
    <x v="3"/>
  </r>
  <r>
    <s v="B-25809"/>
    <x v="403"/>
    <n v="4548"/>
    <n v="2135"/>
    <n v="0.46943711521547898"/>
    <n v="8"/>
    <x v="1"/>
    <x v="6"/>
    <x v="1"/>
    <d v="2022-12-08T00:00:00"/>
    <x v="0"/>
    <s v="Tampa"/>
    <x v="1"/>
    <x v="3"/>
  </r>
  <r>
    <s v="B-25477"/>
    <x v="404"/>
    <n v="7195"/>
    <n v="1665"/>
    <n v="0.231410701876303"/>
    <n v="7"/>
    <x v="1"/>
    <x v="6"/>
    <x v="4"/>
    <d v="2024-07-27T00:00:00"/>
    <x v="2"/>
    <s v="Rochester"/>
    <x v="2"/>
    <x v="1"/>
  </r>
  <r>
    <s v="B-25477"/>
    <x v="405"/>
    <n v="7195"/>
    <n v="1665"/>
    <n v="0.231410701876303"/>
    <n v="7"/>
    <x v="1"/>
    <x v="6"/>
    <x v="4"/>
    <d v="2022-07-05T00:00:00"/>
    <x v="2"/>
    <s v="Buffalo"/>
    <x v="2"/>
    <x v="3"/>
  </r>
  <r>
    <s v="B-26018"/>
    <x v="406"/>
    <n v="3098"/>
    <n v="957"/>
    <n v="0.30890897353131003"/>
    <n v="18"/>
    <x v="2"/>
    <x v="11"/>
    <x v="4"/>
    <d v="2024-07-04T00:00:00"/>
    <x v="4"/>
    <s v="Austin"/>
    <x v="2"/>
    <x v="1"/>
  </r>
  <r>
    <s v="B-25329"/>
    <x v="407"/>
    <n v="5412"/>
    <n v="1192"/>
    <n v="0.22025129342202501"/>
    <n v="18"/>
    <x v="2"/>
    <x v="4"/>
    <x v="3"/>
    <d v="2024-02-28T00:00:00"/>
    <x v="3"/>
    <s v="San Diego"/>
    <x v="7"/>
    <x v="1"/>
  </r>
  <r>
    <s v="B-25329"/>
    <x v="408"/>
    <n v="5412"/>
    <n v="1192"/>
    <n v="0.22025129342202501"/>
    <n v="18"/>
    <x v="2"/>
    <x v="4"/>
    <x v="3"/>
    <d v="2025-01-03T00:00:00"/>
    <x v="3"/>
    <s v="Los Angeles"/>
    <x v="8"/>
    <x v="5"/>
  </r>
  <r>
    <s v="B-25182"/>
    <x v="409"/>
    <n v="1397"/>
    <n v="686"/>
    <n v="0.491052254831782"/>
    <n v="11"/>
    <x v="2"/>
    <x v="5"/>
    <x v="3"/>
    <d v="2021-12-07T00:00:00"/>
    <x v="2"/>
    <s v="New York City"/>
    <x v="1"/>
    <x v="2"/>
  </r>
  <r>
    <s v="B-25492"/>
    <x v="410"/>
    <n v="9279"/>
    <n v="552"/>
    <n v="5.9489169091496902E-2"/>
    <n v="14"/>
    <x v="2"/>
    <x v="5"/>
    <x v="2"/>
    <d v="2021-12-14T00:00:00"/>
    <x v="2"/>
    <s v="Buffalo"/>
    <x v="1"/>
    <x v="2"/>
  </r>
  <r>
    <s v="B-25492"/>
    <x v="411"/>
    <n v="9279"/>
    <n v="552"/>
    <n v="5.9489169091496902E-2"/>
    <n v="14"/>
    <x v="2"/>
    <x v="5"/>
    <x v="2"/>
    <d v="2020-11-30T00:00:00"/>
    <x v="3"/>
    <s v="San Francisco"/>
    <x v="5"/>
    <x v="4"/>
  </r>
  <r>
    <s v="B-25492"/>
    <x v="410"/>
    <n v="2596"/>
    <n v="1003"/>
    <n v="0.38636363636363602"/>
    <n v="19"/>
    <x v="1"/>
    <x v="8"/>
    <x v="3"/>
    <d v="2021-12-14T00:00:00"/>
    <x v="2"/>
    <s v="Buffalo"/>
    <x v="1"/>
    <x v="2"/>
  </r>
  <r>
    <s v="B-25492"/>
    <x v="411"/>
    <n v="2596"/>
    <n v="1003"/>
    <n v="0.38636363636363602"/>
    <n v="19"/>
    <x v="1"/>
    <x v="8"/>
    <x v="3"/>
    <d v="2020-11-30T00:00:00"/>
    <x v="3"/>
    <s v="San Francisco"/>
    <x v="5"/>
    <x v="4"/>
  </r>
  <r>
    <s v="B-25517"/>
    <x v="412"/>
    <n v="6732"/>
    <n v="911"/>
    <n v="0.13532382650029701"/>
    <n v="19"/>
    <x v="2"/>
    <x v="11"/>
    <x v="2"/>
    <d v="2021-12-29T00:00:00"/>
    <x v="2"/>
    <s v="Buffalo"/>
    <x v="1"/>
    <x v="2"/>
  </r>
  <r>
    <s v="B-25517"/>
    <x v="412"/>
    <n v="4495"/>
    <n v="1408"/>
    <n v="0.31323692992213598"/>
    <n v="14"/>
    <x v="1"/>
    <x v="2"/>
    <x v="2"/>
    <d v="2021-12-29T00:00:00"/>
    <x v="2"/>
    <s v="Buffalo"/>
    <x v="1"/>
    <x v="2"/>
  </r>
  <r>
    <s v="B-25200"/>
    <x v="413"/>
    <n v="9653"/>
    <n v="2471"/>
    <n v="0.255982596084119"/>
    <n v="6"/>
    <x v="1"/>
    <x v="8"/>
    <x v="0"/>
    <d v="2024-07-08T00:00:00"/>
    <x v="2"/>
    <s v="Buffalo"/>
    <x v="2"/>
    <x v="1"/>
  </r>
  <r>
    <s v="B-26009"/>
    <x v="414"/>
    <n v="8945"/>
    <n v="1728"/>
    <n v="0.19318054779206301"/>
    <n v="10"/>
    <x v="2"/>
    <x v="4"/>
    <x v="0"/>
    <d v="2021-02-10T00:00:00"/>
    <x v="1"/>
    <s v="Peoria"/>
    <x v="7"/>
    <x v="2"/>
  </r>
  <r>
    <s v="B-26580"/>
    <x v="415"/>
    <n v="4007"/>
    <n v="201"/>
    <n v="5.0162216121786903E-2"/>
    <n v="13"/>
    <x v="2"/>
    <x v="11"/>
    <x v="4"/>
    <d v="2020-10-21T00:00:00"/>
    <x v="5"/>
    <s v="Columbus"/>
    <x v="4"/>
    <x v="4"/>
  </r>
  <r>
    <s v="B-26580"/>
    <x v="416"/>
    <n v="4007"/>
    <n v="201"/>
    <n v="5.0162216121786903E-2"/>
    <n v="13"/>
    <x v="2"/>
    <x v="11"/>
    <x v="4"/>
    <d v="2023-04-17T00:00:00"/>
    <x v="4"/>
    <s v="Dallas"/>
    <x v="11"/>
    <x v="0"/>
  </r>
  <r>
    <s v="B-25679"/>
    <x v="417"/>
    <n v="810"/>
    <n v="231"/>
    <n v="0.28518518518518499"/>
    <n v="18"/>
    <x v="2"/>
    <x v="11"/>
    <x v="2"/>
    <d v="2020-10-21T00:00:00"/>
    <x v="0"/>
    <s v="Tampa"/>
    <x v="4"/>
    <x v="4"/>
  </r>
  <r>
    <s v="B-26034"/>
    <x v="418"/>
    <n v="9789"/>
    <n v="2071"/>
    <n v="0.211564000408622"/>
    <n v="18"/>
    <x v="2"/>
    <x v="11"/>
    <x v="1"/>
    <d v="2023-12-28T00:00:00"/>
    <x v="2"/>
    <s v="Rochester"/>
    <x v="1"/>
    <x v="0"/>
  </r>
  <r>
    <s v="B-26034"/>
    <x v="418"/>
    <n v="9229"/>
    <n v="4090"/>
    <n v="0.44316827391916802"/>
    <n v="8"/>
    <x v="0"/>
    <x v="0"/>
    <x v="4"/>
    <d v="2023-12-28T00:00:00"/>
    <x v="2"/>
    <s v="Rochester"/>
    <x v="1"/>
    <x v="0"/>
  </r>
  <r>
    <s v="B-25148"/>
    <x v="419"/>
    <n v="8141"/>
    <n v="3968"/>
    <n v="0.48740940916349301"/>
    <n v="18"/>
    <x v="1"/>
    <x v="6"/>
    <x v="1"/>
    <d v="2022-12-23T00:00:00"/>
    <x v="2"/>
    <s v="Rochester"/>
    <x v="1"/>
    <x v="3"/>
  </r>
  <r>
    <s v="B-25148"/>
    <x v="420"/>
    <n v="8141"/>
    <n v="3968"/>
    <n v="0.48740940916349301"/>
    <n v="18"/>
    <x v="1"/>
    <x v="6"/>
    <x v="1"/>
    <d v="2022-08-10T00:00:00"/>
    <x v="1"/>
    <s v="Peoria"/>
    <x v="9"/>
    <x v="3"/>
  </r>
  <r>
    <s v="B-25148"/>
    <x v="419"/>
    <n v="1067"/>
    <n v="251"/>
    <n v="0.235238987816307"/>
    <n v="14"/>
    <x v="2"/>
    <x v="7"/>
    <x v="2"/>
    <d v="2022-12-23T00:00:00"/>
    <x v="2"/>
    <s v="Rochester"/>
    <x v="1"/>
    <x v="3"/>
  </r>
  <r>
    <s v="B-25148"/>
    <x v="420"/>
    <n v="1067"/>
    <n v="251"/>
    <n v="0.235238987816307"/>
    <n v="14"/>
    <x v="2"/>
    <x v="7"/>
    <x v="2"/>
    <d v="2022-08-10T00:00:00"/>
    <x v="1"/>
    <s v="Peoria"/>
    <x v="9"/>
    <x v="3"/>
  </r>
  <r>
    <s v="B-25830"/>
    <x v="421"/>
    <n v="3839"/>
    <n v="1415"/>
    <n v="0.368585569158635"/>
    <n v="10"/>
    <x v="1"/>
    <x v="9"/>
    <x v="0"/>
    <d v="2023-10-17T00:00:00"/>
    <x v="3"/>
    <s v="Los Angeles"/>
    <x v="4"/>
    <x v="0"/>
  </r>
  <r>
    <s v="B-25830"/>
    <x v="422"/>
    <n v="3839"/>
    <n v="1415"/>
    <n v="0.368585569158635"/>
    <n v="10"/>
    <x v="1"/>
    <x v="9"/>
    <x v="0"/>
    <d v="2022-02-28T00:00:00"/>
    <x v="0"/>
    <s v="Orlando"/>
    <x v="7"/>
    <x v="3"/>
  </r>
  <r>
    <s v="B-25762"/>
    <x v="423"/>
    <n v="2858"/>
    <n v="482"/>
    <n v="0.16864940517844601"/>
    <n v="13"/>
    <x v="0"/>
    <x v="0"/>
    <x v="4"/>
    <d v="2024-05-24T00:00:00"/>
    <x v="4"/>
    <s v="Austin"/>
    <x v="3"/>
    <x v="1"/>
  </r>
  <r>
    <s v="B-26794"/>
    <x v="424"/>
    <n v="2137"/>
    <n v="638"/>
    <n v="0.29854936827327999"/>
    <n v="12"/>
    <x v="2"/>
    <x v="11"/>
    <x v="1"/>
    <d v="2020-10-02T00:00:00"/>
    <x v="2"/>
    <s v="New York City"/>
    <x v="4"/>
    <x v="4"/>
  </r>
  <r>
    <s v="B-26794"/>
    <x v="424"/>
    <n v="2831"/>
    <n v="1289"/>
    <n v="0.45531614270575799"/>
    <n v="12"/>
    <x v="2"/>
    <x v="5"/>
    <x v="1"/>
    <d v="2020-10-02T00:00:00"/>
    <x v="2"/>
    <s v="New York City"/>
    <x v="4"/>
    <x v="4"/>
  </r>
  <r>
    <s v="B-25011"/>
    <x v="425"/>
    <n v="3913"/>
    <n v="961"/>
    <n v="0.24559161768464099"/>
    <n v="15"/>
    <x v="2"/>
    <x v="7"/>
    <x v="0"/>
    <d v="2024-02-10T00:00:00"/>
    <x v="5"/>
    <s v="Columbus"/>
    <x v="7"/>
    <x v="1"/>
  </r>
  <r>
    <s v="B-25011"/>
    <x v="426"/>
    <n v="3913"/>
    <n v="961"/>
    <n v="0.24559161768464099"/>
    <n v="15"/>
    <x v="2"/>
    <x v="7"/>
    <x v="0"/>
    <d v="2021-02-06T00:00:00"/>
    <x v="3"/>
    <s v="San Francisco"/>
    <x v="7"/>
    <x v="2"/>
  </r>
  <r>
    <s v="B-25515"/>
    <x v="427"/>
    <n v="4468"/>
    <n v="1940"/>
    <n v="0.43419874664279301"/>
    <n v="9"/>
    <x v="1"/>
    <x v="8"/>
    <x v="4"/>
    <d v="2022-03-16T00:00:00"/>
    <x v="0"/>
    <s v="Tampa"/>
    <x v="6"/>
    <x v="3"/>
  </r>
  <r>
    <s v="B-25369"/>
    <x v="428"/>
    <n v="1579"/>
    <n v="602"/>
    <n v="0.38125395820139302"/>
    <n v="9"/>
    <x v="0"/>
    <x v="3"/>
    <x v="3"/>
    <d v="2020-05-24T00:00:00"/>
    <x v="5"/>
    <s v="Cincinnati"/>
    <x v="3"/>
    <x v="4"/>
  </r>
  <r>
    <s v="B-25369"/>
    <x v="429"/>
    <n v="1579"/>
    <n v="602"/>
    <n v="0.38125395820139302"/>
    <n v="9"/>
    <x v="0"/>
    <x v="3"/>
    <x v="3"/>
    <d v="2025-02-16T00:00:00"/>
    <x v="4"/>
    <s v="Dallas"/>
    <x v="7"/>
    <x v="5"/>
  </r>
  <r>
    <s v="B-25369"/>
    <x v="430"/>
    <n v="1579"/>
    <n v="602"/>
    <n v="0.38125395820139302"/>
    <n v="9"/>
    <x v="0"/>
    <x v="3"/>
    <x v="3"/>
    <d v="2021-11-16T00:00:00"/>
    <x v="5"/>
    <s v="Cincinnati"/>
    <x v="5"/>
    <x v="2"/>
  </r>
  <r>
    <s v="B-25369"/>
    <x v="431"/>
    <n v="1579"/>
    <n v="602"/>
    <n v="0.38125395820139302"/>
    <n v="9"/>
    <x v="0"/>
    <x v="3"/>
    <x v="3"/>
    <d v="2024-09-08T00:00:00"/>
    <x v="2"/>
    <s v="Rochester"/>
    <x v="10"/>
    <x v="1"/>
  </r>
  <r>
    <s v="B-25369"/>
    <x v="428"/>
    <n v="3760"/>
    <n v="1849"/>
    <n v="0.491755319148936"/>
    <n v="19"/>
    <x v="2"/>
    <x v="5"/>
    <x v="2"/>
    <d v="2020-05-24T00:00:00"/>
    <x v="5"/>
    <s v="Cincinnati"/>
    <x v="3"/>
    <x v="4"/>
  </r>
  <r>
    <s v="B-25369"/>
    <x v="429"/>
    <n v="3760"/>
    <n v="1849"/>
    <n v="0.491755319148936"/>
    <n v="19"/>
    <x v="2"/>
    <x v="5"/>
    <x v="2"/>
    <d v="2025-02-16T00:00:00"/>
    <x v="4"/>
    <s v="Dallas"/>
    <x v="7"/>
    <x v="5"/>
  </r>
  <r>
    <s v="B-25369"/>
    <x v="430"/>
    <n v="3760"/>
    <n v="1849"/>
    <n v="0.491755319148936"/>
    <n v="19"/>
    <x v="2"/>
    <x v="5"/>
    <x v="2"/>
    <d v="2021-11-16T00:00:00"/>
    <x v="5"/>
    <s v="Cincinnati"/>
    <x v="5"/>
    <x v="2"/>
  </r>
  <r>
    <s v="B-25369"/>
    <x v="431"/>
    <n v="3760"/>
    <n v="1849"/>
    <n v="0.491755319148936"/>
    <n v="19"/>
    <x v="2"/>
    <x v="5"/>
    <x v="2"/>
    <d v="2024-09-08T00:00:00"/>
    <x v="2"/>
    <s v="Rochester"/>
    <x v="10"/>
    <x v="1"/>
  </r>
  <r>
    <s v="B-26222"/>
    <x v="432"/>
    <n v="8706"/>
    <n v="3099"/>
    <n v="0.35596140592694703"/>
    <n v="14"/>
    <x v="1"/>
    <x v="2"/>
    <x v="3"/>
    <d v="2022-06-29T00:00:00"/>
    <x v="1"/>
    <s v="Chicago"/>
    <x v="0"/>
    <x v="3"/>
  </r>
  <r>
    <s v="B-26222"/>
    <x v="432"/>
    <n v="4708"/>
    <n v="696"/>
    <n v="0.14783347493627899"/>
    <n v="14"/>
    <x v="0"/>
    <x v="0"/>
    <x v="3"/>
    <d v="2022-06-29T00:00:00"/>
    <x v="1"/>
    <s v="Chicago"/>
    <x v="0"/>
    <x v="3"/>
  </r>
  <r>
    <s v="B-26222"/>
    <x v="432"/>
    <n v="8089"/>
    <n v="3132"/>
    <n v="0.38719248361973002"/>
    <n v="17"/>
    <x v="2"/>
    <x v="5"/>
    <x v="4"/>
    <d v="2022-06-29T00:00:00"/>
    <x v="1"/>
    <s v="Chicago"/>
    <x v="0"/>
    <x v="3"/>
  </r>
  <r>
    <s v="B-25316"/>
    <x v="433"/>
    <n v="5462"/>
    <n v="673"/>
    <n v="0.12321493958257"/>
    <n v="12"/>
    <x v="0"/>
    <x v="1"/>
    <x v="1"/>
    <d v="2022-11-03T00:00:00"/>
    <x v="4"/>
    <s v="Austin"/>
    <x v="5"/>
    <x v="3"/>
  </r>
  <r>
    <s v="B-25507"/>
    <x v="434"/>
    <n v="6392"/>
    <n v="444"/>
    <n v="6.9461827284105104E-2"/>
    <n v="18"/>
    <x v="0"/>
    <x v="0"/>
    <x v="3"/>
    <d v="2023-11-28T00:00:00"/>
    <x v="0"/>
    <s v="Tampa"/>
    <x v="5"/>
    <x v="0"/>
  </r>
  <r>
    <s v="B-25846"/>
    <x v="435"/>
    <n v="8706"/>
    <n v="1724"/>
    <n v="0.198024351022284"/>
    <n v="3"/>
    <x v="0"/>
    <x v="0"/>
    <x v="1"/>
    <d v="2020-04-25T00:00:00"/>
    <x v="0"/>
    <s v="Orlando"/>
    <x v="11"/>
    <x v="4"/>
  </r>
  <r>
    <s v="B-25763"/>
    <x v="436"/>
    <n v="2349"/>
    <n v="319"/>
    <n v="0.13580246913580199"/>
    <n v="4"/>
    <x v="1"/>
    <x v="2"/>
    <x v="0"/>
    <d v="2022-01-18T00:00:00"/>
    <x v="0"/>
    <s v="Miami"/>
    <x v="8"/>
    <x v="3"/>
  </r>
  <r>
    <s v="B-25763"/>
    <x v="436"/>
    <n v="8220"/>
    <n v="3882"/>
    <n v="0.47226277372262798"/>
    <n v="14"/>
    <x v="2"/>
    <x v="5"/>
    <x v="0"/>
    <d v="2022-01-18T00:00:00"/>
    <x v="0"/>
    <s v="Miami"/>
    <x v="8"/>
    <x v="3"/>
  </r>
  <r>
    <s v="B-25763"/>
    <x v="436"/>
    <n v="2379"/>
    <n v="279"/>
    <n v="0.117276166456494"/>
    <n v="7"/>
    <x v="2"/>
    <x v="5"/>
    <x v="1"/>
    <d v="2022-01-18T00:00:00"/>
    <x v="0"/>
    <s v="Miami"/>
    <x v="8"/>
    <x v="3"/>
  </r>
  <r>
    <s v="B-25763"/>
    <x v="436"/>
    <n v="7377"/>
    <n v="2049"/>
    <n v="0.27775518503456698"/>
    <n v="4"/>
    <x v="1"/>
    <x v="6"/>
    <x v="0"/>
    <d v="2022-01-18T00:00:00"/>
    <x v="0"/>
    <s v="Miami"/>
    <x v="8"/>
    <x v="3"/>
  </r>
  <r>
    <s v="B-25465"/>
    <x v="437"/>
    <n v="717"/>
    <n v="158"/>
    <n v="0.220362622036262"/>
    <n v="16"/>
    <x v="2"/>
    <x v="4"/>
    <x v="3"/>
    <d v="2022-03-23T00:00:00"/>
    <x v="5"/>
    <s v="Cleveland"/>
    <x v="6"/>
    <x v="3"/>
  </r>
  <r>
    <s v="B-25465"/>
    <x v="438"/>
    <n v="717"/>
    <n v="158"/>
    <n v="0.220362622036262"/>
    <n v="16"/>
    <x v="2"/>
    <x v="4"/>
    <x v="3"/>
    <d v="2020-06-24T00:00:00"/>
    <x v="0"/>
    <s v="Miami"/>
    <x v="0"/>
    <x v="4"/>
  </r>
  <r>
    <s v="B-25465"/>
    <x v="439"/>
    <n v="717"/>
    <n v="158"/>
    <n v="0.220362622036262"/>
    <n v="16"/>
    <x v="2"/>
    <x v="4"/>
    <x v="3"/>
    <d v="2022-12-23T00:00:00"/>
    <x v="2"/>
    <s v="Buffalo"/>
    <x v="1"/>
    <x v="3"/>
  </r>
  <r>
    <s v="B-25465"/>
    <x v="440"/>
    <n v="717"/>
    <n v="158"/>
    <n v="0.220362622036262"/>
    <n v="16"/>
    <x v="2"/>
    <x v="4"/>
    <x v="3"/>
    <d v="2024-11-24T00:00:00"/>
    <x v="2"/>
    <s v="New York City"/>
    <x v="5"/>
    <x v="1"/>
  </r>
  <r>
    <s v="B-25465"/>
    <x v="441"/>
    <n v="717"/>
    <n v="158"/>
    <n v="0.220362622036262"/>
    <n v="16"/>
    <x v="2"/>
    <x v="4"/>
    <x v="3"/>
    <d v="2020-11-06T00:00:00"/>
    <x v="0"/>
    <s v="Orlando"/>
    <x v="5"/>
    <x v="4"/>
  </r>
  <r>
    <s v="B-25465"/>
    <x v="442"/>
    <n v="717"/>
    <n v="158"/>
    <n v="0.220362622036262"/>
    <n v="16"/>
    <x v="2"/>
    <x v="4"/>
    <x v="3"/>
    <d v="2023-10-24T00:00:00"/>
    <x v="2"/>
    <s v="Rochester"/>
    <x v="4"/>
    <x v="0"/>
  </r>
  <r>
    <s v="B-25465"/>
    <x v="437"/>
    <n v="508"/>
    <n v="177"/>
    <n v="0.34842519685039403"/>
    <n v="17"/>
    <x v="2"/>
    <x v="7"/>
    <x v="0"/>
    <d v="2022-03-23T00:00:00"/>
    <x v="5"/>
    <s v="Cleveland"/>
    <x v="6"/>
    <x v="3"/>
  </r>
  <r>
    <s v="B-25465"/>
    <x v="438"/>
    <n v="508"/>
    <n v="177"/>
    <n v="0.34842519685039403"/>
    <n v="17"/>
    <x v="2"/>
    <x v="7"/>
    <x v="0"/>
    <d v="2020-06-24T00:00:00"/>
    <x v="0"/>
    <s v="Miami"/>
    <x v="0"/>
    <x v="4"/>
  </r>
  <r>
    <s v="B-25465"/>
    <x v="439"/>
    <n v="508"/>
    <n v="177"/>
    <n v="0.34842519685039403"/>
    <n v="17"/>
    <x v="2"/>
    <x v="7"/>
    <x v="0"/>
    <d v="2022-12-23T00:00:00"/>
    <x v="2"/>
    <s v="Buffalo"/>
    <x v="1"/>
    <x v="3"/>
  </r>
  <r>
    <s v="B-25465"/>
    <x v="440"/>
    <n v="508"/>
    <n v="177"/>
    <n v="0.34842519685039403"/>
    <n v="17"/>
    <x v="2"/>
    <x v="7"/>
    <x v="0"/>
    <d v="2024-11-24T00:00:00"/>
    <x v="2"/>
    <s v="New York City"/>
    <x v="5"/>
    <x v="1"/>
  </r>
  <r>
    <s v="B-25465"/>
    <x v="441"/>
    <n v="508"/>
    <n v="177"/>
    <n v="0.34842519685039403"/>
    <n v="17"/>
    <x v="2"/>
    <x v="7"/>
    <x v="0"/>
    <d v="2020-11-06T00:00:00"/>
    <x v="0"/>
    <s v="Orlando"/>
    <x v="5"/>
    <x v="4"/>
  </r>
  <r>
    <s v="B-25465"/>
    <x v="442"/>
    <n v="508"/>
    <n v="177"/>
    <n v="0.34842519685039403"/>
    <n v="17"/>
    <x v="2"/>
    <x v="7"/>
    <x v="0"/>
    <d v="2023-10-24T00:00:00"/>
    <x v="2"/>
    <s v="Rochester"/>
    <x v="4"/>
    <x v="0"/>
  </r>
  <r>
    <s v="B-26352"/>
    <x v="443"/>
    <n v="9382"/>
    <n v="1085"/>
    <n v="0.115646983585589"/>
    <n v="3"/>
    <x v="0"/>
    <x v="1"/>
    <x v="1"/>
    <d v="2023-07-18T00:00:00"/>
    <x v="1"/>
    <s v="Chicago"/>
    <x v="2"/>
    <x v="0"/>
  </r>
  <r>
    <s v="B-26352"/>
    <x v="444"/>
    <n v="9382"/>
    <n v="1085"/>
    <n v="0.115646983585589"/>
    <n v="3"/>
    <x v="0"/>
    <x v="1"/>
    <x v="1"/>
    <d v="2022-05-16T00:00:00"/>
    <x v="2"/>
    <s v="Rochester"/>
    <x v="3"/>
    <x v="3"/>
  </r>
  <r>
    <s v="B-26352"/>
    <x v="443"/>
    <n v="4936"/>
    <n v="576"/>
    <n v="0.116693679092382"/>
    <n v="19"/>
    <x v="2"/>
    <x v="4"/>
    <x v="4"/>
    <d v="2023-07-18T00:00:00"/>
    <x v="1"/>
    <s v="Chicago"/>
    <x v="2"/>
    <x v="0"/>
  </r>
  <r>
    <s v="B-26352"/>
    <x v="444"/>
    <n v="4936"/>
    <n v="576"/>
    <n v="0.116693679092382"/>
    <n v="19"/>
    <x v="2"/>
    <x v="4"/>
    <x v="4"/>
    <d v="2022-05-16T00:00:00"/>
    <x v="2"/>
    <s v="Rochester"/>
    <x v="3"/>
    <x v="3"/>
  </r>
  <r>
    <s v="B-26528"/>
    <x v="445"/>
    <n v="2663"/>
    <n v="64"/>
    <n v="2.4033045437476499E-2"/>
    <n v="19"/>
    <x v="2"/>
    <x v="7"/>
    <x v="4"/>
    <d v="2024-06-16T00:00:00"/>
    <x v="3"/>
    <s v="San Francisco"/>
    <x v="0"/>
    <x v="1"/>
  </r>
  <r>
    <s v="B-26528"/>
    <x v="446"/>
    <n v="2663"/>
    <n v="64"/>
    <n v="2.4033045437476499E-2"/>
    <n v="19"/>
    <x v="2"/>
    <x v="7"/>
    <x v="4"/>
    <d v="2021-10-23T00:00:00"/>
    <x v="5"/>
    <s v="Cleveland"/>
    <x v="4"/>
    <x v="2"/>
  </r>
  <r>
    <s v="B-26670"/>
    <x v="447"/>
    <n v="5151"/>
    <n v="1680"/>
    <n v="0.32615026208503201"/>
    <n v="5"/>
    <x v="0"/>
    <x v="1"/>
    <x v="2"/>
    <d v="2022-10-22T00:00:00"/>
    <x v="4"/>
    <s v="Houston"/>
    <x v="4"/>
    <x v="3"/>
  </r>
  <r>
    <s v="B-25331"/>
    <x v="448"/>
    <n v="2514"/>
    <n v="95"/>
    <n v="3.7788385043755E-2"/>
    <n v="8"/>
    <x v="1"/>
    <x v="2"/>
    <x v="0"/>
    <d v="2023-07-17T00:00:00"/>
    <x v="2"/>
    <s v="Rochester"/>
    <x v="2"/>
    <x v="0"/>
  </r>
  <r>
    <s v="B-25832"/>
    <x v="449"/>
    <n v="6129"/>
    <n v="2976"/>
    <n v="0.48556045031815998"/>
    <n v="2"/>
    <x v="0"/>
    <x v="3"/>
    <x v="2"/>
    <d v="2025-02-24T00:00:00"/>
    <x v="2"/>
    <s v="New York City"/>
    <x v="7"/>
    <x v="5"/>
  </r>
  <r>
    <s v="B-25832"/>
    <x v="449"/>
    <n v="4395"/>
    <n v="1663"/>
    <n v="0.37838452787258198"/>
    <n v="3"/>
    <x v="2"/>
    <x v="11"/>
    <x v="4"/>
    <d v="2025-02-24T00:00:00"/>
    <x v="2"/>
    <s v="New York City"/>
    <x v="7"/>
    <x v="5"/>
  </r>
  <r>
    <s v="B-25897"/>
    <x v="450"/>
    <n v="5393"/>
    <n v="2642"/>
    <n v="0.489894307435565"/>
    <n v="8"/>
    <x v="2"/>
    <x v="5"/>
    <x v="0"/>
    <d v="2021-03-07T00:00:00"/>
    <x v="5"/>
    <s v="Cincinnati"/>
    <x v="6"/>
    <x v="2"/>
  </r>
  <r>
    <s v="B-25713"/>
    <x v="451"/>
    <n v="2280"/>
    <n v="509"/>
    <n v="0.223245614035088"/>
    <n v="8"/>
    <x v="0"/>
    <x v="10"/>
    <x v="3"/>
    <d v="2021-01-03T00:00:00"/>
    <x v="2"/>
    <s v="Buffalo"/>
    <x v="8"/>
    <x v="2"/>
  </r>
  <r>
    <s v="B-25065"/>
    <x v="452"/>
    <n v="6596"/>
    <n v="1439"/>
    <n v="0.21816252274105499"/>
    <n v="9"/>
    <x v="1"/>
    <x v="8"/>
    <x v="1"/>
    <d v="2023-05-03T00:00:00"/>
    <x v="5"/>
    <s v="Cincinnati"/>
    <x v="3"/>
    <x v="0"/>
  </r>
  <r>
    <s v="B-25949"/>
    <x v="453"/>
    <n v="4510"/>
    <n v="1896"/>
    <n v="0.42039911308203998"/>
    <n v="5"/>
    <x v="1"/>
    <x v="8"/>
    <x v="2"/>
    <d v="2023-10-25T00:00:00"/>
    <x v="3"/>
    <s v="Los Angeles"/>
    <x v="4"/>
    <x v="0"/>
  </r>
  <r>
    <s v="B-26033"/>
    <x v="454"/>
    <n v="6077"/>
    <n v="2378"/>
    <n v="0.39131150238604601"/>
    <n v="18"/>
    <x v="0"/>
    <x v="10"/>
    <x v="4"/>
    <d v="2022-08-21T00:00:00"/>
    <x v="2"/>
    <s v="New York City"/>
    <x v="9"/>
    <x v="3"/>
  </r>
  <r>
    <s v="B-26017"/>
    <x v="455"/>
    <n v="5379"/>
    <n v="2510"/>
    <n v="0.466629485034393"/>
    <n v="17"/>
    <x v="0"/>
    <x v="1"/>
    <x v="4"/>
    <d v="2022-04-16T00:00:00"/>
    <x v="5"/>
    <s v="Columbus"/>
    <x v="11"/>
    <x v="3"/>
  </r>
  <r>
    <s v="B-26926"/>
    <x v="456"/>
    <n v="4629"/>
    <n v="1660"/>
    <n v="0.35860877079282799"/>
    <n v="16"/>
    <x v="1"/>
    <x v="6"/>
    <x v="2"/>
    <d v="2023-04-02T00:00:00"/>
    <x v="3"/>
    <s v="San Diego"/>
    <x v="11"/>
    <x v="0"/>
  </r>
  <r>
    <s v="B-26258"/>
    <x v="457"/>
    <n v="2710"/>
    <n v="555"/>
    <n v="0.20479704797048001"/>
    <n v="20"/>
    <x v="0"/>
    <x v="3"/>
    <x v="1"/>
    <d v="2024-10-21T00:00:00"/>
    <x v="1"/>
    <s v="Chicago"/>
    <x v="4"/>
    <x v="1"/>
  </r>
  <r>
    <s v="B-26258"/>
    <x v="457"/>
    <n v="3224"/>
    <n v="1018"/>
    <n v="0.31575682382134002"/>
    <n v="14"/>
    <x v="1"/>
    <x v="9"/>
    <x v="0"/>
    <d v="2024-10-21T00:00:00"/>
    <x v="1"/>
    <s v="Chicago"/>
    <x v="4"/>
    <x v="1"/>
  </r>
  <r>
    <s v="B-26240"/>
    <x v="458"/>
    <n v="8042"/>
    <n v="936"/>
    <n v="0.116388957970654"/>
    <n v="15"/>
    <x v="1"/>
    <x v="6"/>
    <x v="2"/>
    <d v="2021-07-09T00:00:00"/>
    <x v="1"/>
    <s v="Springfield"/>
    <x v="2"/>
    <x v="2"/>
  </r>
  <r>
    <s v="B-26240"/>
    <x v="459"/>
    <n v="8042"/>
    <n v="936"/>
    <n v="0.116388957970654"/>
    <n v="15"/>
    <x v="1"/>
    <x v="6"/>
    <x v="2"/>
    <d v="2022-04-08T00:00:00"/>
    <x v="3"/>
    <s v="Los Angeles"/>
    <x v="11"/>
    <x v="3"/>
  </r>
  <r>
    <s v="B-26922"/>
    <x v="460"/>
    <n v="3957"/>
    <n v="151"/>
    <n v="3.8160222390700001E-2"/>
    <n v="10"/>
    <x v="1"/>
    <x v="9"/>
    <x v="2"/>
    <d v="2022-04-30T00:00:00"/>
    <x v="4"/>
    <s v="Austin"/>
    <x v="11"/>
    <x v="3"/>
  </r>
  <r>
    <s v="B-26894"/>
    <x v="461"/>
    <n v="8769"/>
    <n v="3178"/>
    <n v="0.36241304595735002"/>
    <n v="16"/>
    <x v="1"/>
    <x v="6"/>
    <x v="1"/>
    <d v="2023-01-20T00:00:00"/>
    <x v="1"/>
    <s v="Chicago"/>
    <x v="8"/>
    <x v="0"/>
  </r>
  <r>
    <s v="B-25330"/>
    <x v="462"/>
    <n v="2957"/>
    <n v="917"/>
    <n v="0.310111599594183"/>
    <n v="16"/>
    <x v="1"/>
    <x v="2"/>
    <x v="1"/>
    <d v="2024-11-17T00:00:00"/>
    <x v="1"/>
    <s v="Chicago"/>
    <x v="5"/>
    <x v="1"/>
  </r>
  <r>
    <s v="B-26288"/>
    <x v="463"/>
    <n v="5344"/>
    <n v="2607"/>
    <n v="0.48783682634730502"/>
    <n v="6"/>
    <x v="1"/>
    <x v="8"/>
    <x v="1"/>
    <d v="2022-04-23T00:00:00"/>
    <x v="4"/>
    <s v="Dallas"/>
    <x v="11"/>
    <x v="3"/>
  </r>
  <r>
    <s v="B-26288"/>
    <x v="464"/>
    <n v="5344"/>
    <n v="2607"/>
    <n v="0.48783682634730502"/>
    <n v="6"/>
    <x v="1"/>
    <x v="8"/>
    <x v="1"/>
    <d v="2025-02-18T00:00:00"/>
    <x v="2"/>
    <s v="Rochester"/>
    <x v="7"/>
    <x v="5"/>
  </r>
  <r>
    <s v="B-25228"/>
    <x v="465"/>
    <n v="6061"/>
    <n v="2121"/>
    <n v="0.34994225375350602"/>
    <n v="19"/>
    <x v="0"/>
    <x v="3"/>
    <x v="2"/>
    <d v="2021-05-27T00:00:00"/>
    <x v="5"/>
    <s v="Cleveland"/>
    <x v="3"/>
    <x v="2"/>
  </r>
  <r>
    <s v="B-25228"/>
    <x v="466"/>
    <n v="6061"/>
    <n v="2121"/>
    <n v="0.34994225375350602"/>
    <n v="19"/>
    <x v="0"/>
    <x v="3"/>
    <x v="2"/>
    <d v="2022-01-17T00:00:00"/>
    <x v="3"/>
    <s v="San Diego"/>
    <x v="8"/>
    <x v="3"/>
  </r>
  <r>
    <s v="B-26457"/>
    <x v="467"/>
    <n v="5376"/>
    <n v="1928"/>
    <n v="0.358630952380952"/>
    <n v="7"/>
    <x v="2"/>
    <x v="4"/>
    <x v="3"/>
    <d v="2025-01-15T00:00:00"/>
    <x v="2"/>
    <s v="New York City"/>
    <x v="8"/>
    <x v="5"/>
  </r>
  <r>
    <s v="B-25790"/>
    <x v="468"/>
    <n v="2792"/>
    <n v="1008"/>
    <n v="0.361031518624642"/>
    <n v="8"/>
    <x v="0"/>
    <x v="1"/>
    <x v="4"/>
    <d v="2021-02-14T00:00:00"/>
    <x v="0"/>
    <s v="Miami"/>
    <x v="7"/>
    <x v="2"/>
  </r>
  <r>
    <s v="B-25868"/>
    <x v="469"/>
    <n v="2944"/>
    <n v="249"/>
    <n v="8.4578804347826095E-2"/>
    <n v="5"/>
    <x v="1"/>
    <x v="9"/>
    <x v="3"/>
    <d v="2024-08-31T00:00:00"/>
    <x v="5"/>
    <s v="Columbus"/>
    <x v="9"/>
    <x v="1"/>
  </r>
  <r>
    <s v="B-25868"/>
    <x v="470"/>
    <n v="2944"/>
    <n v="249"/>
    <n v="8.4578804347826095E-2"/>
    <n v="5"/>
    <x v="1"/>
    <x v="9"/>
    <x v="3"/>
    <d v="2022-12-26T00:00:00"/>
    <x v="4"/>
    <s v="Dallas"/>
    <x v="1"/>
    <x v="3"/>
  </r>
  <r>
    <s v="B-25381"/>
    <x v="471"/>
    <n v="4220"/>
    <n v="945"/>
    <n v="0.22393364928910001"/>
    <n v="13"/>
    <x v="1"/>
    <x v="6"/>
    <x v="2"/>
    <d v="2024-03-21T00:00:00"/>
    <x v="1"/>
    <s v="Springfield"/>
    <x v="6"/>
    <x v="1"/>
  </r>
  <r>
    <s v="B-25381"/>
    <x v="472"/>
    <n v="4220"/>
    <n v="945"/>
    <n v="0.22393364928910001"/>
    <n v="13"/>
    <x v="1"/>
    <x v="6"/>
    <x v="2"/>
    <d v="2020-12-15T00:00:00"/>
    <x v="1"/>
    <s v="Peoria"/>
    <x v="1"/>
    <x v="4"/>
  </r>
  <r>
    <s v="B-25153"/>
    <x v="473"/>
    <n v="8526"/>
    <n v="1704"/>
    <n v="0.199859254046446"/>
    <n v="4"/>
    <x v="1"/>
    <x v="9"/>
    <x v="1"/>
    <d v="2023-03-21T00:00:00"/>
    <x v="4"/>
    <s v="Austin"/>
    <x v="6"/>
    <x v="0"/>
  </r>
  <r>
    <s v="B-26576"/>
    <x v="474"/>
    <n v="8218"/>
    <n v="1430"/>
    <n v="0.174008274519348"/>
    <n v="19"/>
    <x v="2"/>
    <x v="11"/>
    <x v="3"/>
    <d v="2023-06-08T00:00:00"/>
    <x v="3"/>
    <s v="San Francisco"/>
    <x v="0"/>
    <x v="0"/>
  </r>
  <r>
    <s v="B-26526"/>
    <x v="475"/>
    <n v="599"/>
    <n v="265"/>
    <n v="0.442404006677796"/>
    <n v="4"/>
    <x v="0"/>
    <x v="10"/>
    <x v="3"/>
    <d v="2022-07-17T00:00:00"/>
    <x v="2"/>
    <s v="Buffalo"/>
    <x v="2"/>
    <x v="3"/>
  </r>
  <r>
    <s v="B-26526"/>
    <x v="476"/>
    <n v="599"/>
    <n v="265"/>
    <n v="0.442404006677796"/>
    <n v="4"/>
    <x v="0"/>
    <x v="10"/>
    <x v="3"/>
    <d v="2024-12-05T00:00:00"/>
    <x v="2"/>
    <s v="Rochester"/>
    <x v="1"/>
    <x v="1"/>
  </r>
  <r>
    <s v="B-26526"/>
    <x v="475"/>
    <n v="2727"/>
    <n v="543"/>
    <n v="0.19911991199119899"/>
    <n v="10"/>
    <x v="2"/>
    <x v="11"/>
    <x v="3"/>
    <d v="2022-07-17T00:00:00"/>
    <x v="2"/>
    <s v="Buffalo"/>
    <x v="2"/>
    <x v="3"/>
  </r>
  <r>
    <s v="B-26526"/>
    <x v="476"/>
    <n v="2727"/>
    <n v="543"/>
    <n v="0.19911991199119899"/>
    <n v="10"/>
    <x v="2"/>
    <x v="11"/>
    <x v="3"/>
    <d v="2024-12-05T00:00:00"/>
    <x v="2"/>
    <s v="Rochester"/>
    <x v="1"/>
    <x v="1"/>
  </r>
  <r>
    <s v="B-25819"/>
    <x v="477"/>
    <n v="2589"/>
    <n v="605"/>
    <n v="0.233680957898803"/>
    <n v="11"/>
    <x v="1"/>
    <x v="2"/>
    <x v="2"/>
    <d v="2023-11-02T00:00:00"/>
    <x v="3"/>
    <s v="San Francisco"/>
    <x v="5"/>
    <x v="0"/>
  </r>
  <r>
    <s v="B-25819"/>
    <x v="478"/>
    <n v="2589"/>
    <n v="605"/>
    <n v="0.233680957898803"/>
    <n v="11"/>
    <x v="1"/>
    <x v="2"/>
    <x v="2"/>
    <d v="2024-10-05T00:00:00"/>
    <x v="5"/>
    <s v="Cleveland"/>
    <x v="4"/>
    <x v="1"/>
  </r>
  <r>
    <s v="B-25698"/>
    <x v="479"/>
    <n v="3776"/>
    <n v="1100"/>
    <n v="0.29131355932203401"/>
    <n v="9"/>
    <x v="0"/>
    <x v="0"/>
    <x v="2"/>
    <d v="2022-11-13T00:00:00"/>
    <x v="4"/>
    <s v="Austin"/>
    <x v="5"/>
    <x v="3"/>
  </r>
  <r>
    <s v="B-25698"/>
    <x v="480"/>
    <n v="3776"/>
    <n v="1100"/>
    <n v="0.29131355932203401"/>
    <n v="9"/>
    <x v="0"/>
    <x v="0"/>
    <x v="2"/>
    <d v="2022-12-28T00:00:00"/>
    <x v="1"/>
    <s v="Peoria"/>
    <x v="1"/>
    <x v="3"/>
  </r>
  <r>
    <s v="B-26820"/>
    <x v="481"/>
    <n v="5402"/>
    <n v="1666"/>
    <n v="0.30840429470566499"/>
    <n v="12"/>
    <x v="2"/>
    <x v="11"/>
    <x v="2"/>
    <d v="2025-02-26T00:00:00"/>
    <x v="5"/>
    <s v="Cleveland"/>
    <x v="7"/>
    <x v="5"/>
  </r>
  <r>
    <s v="B-25396"/>
    <x v="482"/>
    <n v="5165"/>
    <n v="885"/>
    <n v="0.17134559535334001"/>
    <n v="16"/>
    <x v="1"/>
    <x v="2"/>
    <x v="2"/>
    <d v="2022-11-12T00:00:00"/>
    <x v="1"/>
    <s v="Peoria"/>
    <x v="5"/>
    <x v="3"/>
  </r>
  <r>
    <s v="B-25396"/>
    <x v="482"/>
    <n v="4863"/>
    <n v="2394"/>
    <n v="0.49228871067242402"/>
    <n v="4"/>
    <x v="2"/>
    <x v="11"/>
    <x v="2"/>
    <d v="2022-11-12T00:00:00"/>
    <x v="1"/>
    <s v="Peoria"/>
    <x v="5"/>
    <x v="3"/>
  </r>
  <r>
    <s v="B-25529"/>
    <x v="483"/>
    <n v="1626"/>
    <n v="258"/>
    <n v="0.15867158671586701"/>
    <n v="15"/>
    <x v="1"/>
    <x v="2"/>
    <x v="2"/>
    <d v="2021-06-07T00:00:00"/>
    <x v="0"/>
    <s v="Orlando"/>
    <x v="0"/>
    <x v="2"/>
  </r>
  <r>
    <s v="B-26501"/>
    <x v="484"/>
    <n v="8851"/>
    <n v="3962"/>
    <n v="0.44763303581516201"/>
    <n v="7"/>
    <x v="2"/>
    <x v="4"/>
    <x v="2"/>
    <d v="2020-09-26T00:00:00"/>
    <x v="0"/>
    <s v="Miami"/>
    <x v="10"/>
    <x v="4"/>
  </r>
  <r>
    <s v="B-26910"/>
    <x v="485"/>
    <n v="9680"/>
    <n v="3295"/>
    <n v="0.34039256198347101"/>
    <n v="9"/>
    <x v="2"/>
    <x v="4"/>
    <x v="4"/>
    <d v="2024-04-29T00:00:00"/>
    <x v="2"/>
    <s v="Rochester"/>
    <x v="11"/>
    <x v="1"/>
  </r>
  <r>
    <s v="B-26910"/>
    <x v="485"/>
    <n v="8468"/>
    <n v="3666"/>
    <n v="0.432923948984412"/>
    <n v="8"/>
    <x v="1"/>
    <x v="2"/>
    <x v="0"/>
    <d v="2024-04-29T00:00:00"/>
    <x v="2"/>
    <s v="Rochester"/>
    <x v="11"/>
    <x v="1"/>
  </r>
  <r>
    <s v="B-26910"/>
    <x v="485"/>
    <n v="4441"/>
    <n v="314"/>
    <n v="7.0704796217068197E-2"/>
    <n v="14"/>
    <x v="2"/>
    <x v="5"/>
    <x v="1"/>
    <d v="2024-04-29T00:00:00"/>
    <x v="2"/>
    <s v="Rochester"/>
    <x v="11"/>
    <x v="1"/>
  </r>
  <r>
    <s v="B-25978"/>
    <x v="486"/>
    <n v="6622"/>
    <n v="2673"/>
    <n v="0.40365448504983398"/>
    <n v="8"/>
    <x v="2"/>
    <x v="7"/>
    <x v="4"/>
    <d v="2024-04-10T00:00:00"/>
    <x v="2"/>
    <s v="New York City"/>
    <x v="11"/>
    <x v="1"/>
  </r>
  <r>
    <s v="B-26537"/>
    <x v="487"/>
    <n v="3260"/>
    <n v="207"/>
    <n v="6.3496932515337404E-2"/>
    <n v="17"/>
    <x v="2"/>
    <x v="4"/>
    <x v="0"/>
    <d v="2023-12-21T00:00:00"/>
    <x v="3"/>
    <s v="San Diego"/>
    <x v="1"/>
    <x v="0"/>
  </r>
  <r>
    <s v="B-25881"/>
    <x v="488"/>
    <n v="8709"/>
    <n v="2322"/>
    <n v="0.26662073716844598"/>
    <n v="8"/>
    <x v="2"/>
    <x v="4"/>
    <x v="1"/>
    <d v="2024-05-02T00:00:00"/>
    <x v="4"/>
    <s v="Austin"/>
    <x v="3"/>
    <x v="1"/>
  </r>
  <r>
    <s v="B-25881"/>
    <x v="489"/>
    <n v="8709"/>
    <n v="2322"/>
    <n v="0.26662073716844598"/>
    <n v="8"/>
    <x v="2"/>
    <x v="4"/>
    <x v="1"/>
    <d v="2024-11-21T00:00:00"/>
    <x v="3"/>
    <s v="San Francisco"/>
    <x v="5"/>
    <x v="1"/>
  </r>
  <r>
    <s v="B-25237"/>
    <x v="490"/>
    <n v="5250"/>
    <n v="187"/>
    <n v="3.5619047619047599E-2"/>
    <n v="1"/>
    <x v="1"/>
    <x v="9"/>
    <x v="4"/>
    <d v="2022-03-17T00:00:00"/>
    <x v="5"/>
    <s v="Cincinnati"/>
    <x v="6"/>
    <x v="3"/>
  </r>
  <r>
    <s v="B-25237"/>
    <x v="491"/>
    <n v="5250"/>
    <n v="187"/>
    <n v="3.5619047619047599E-2"/>
    <n v="1"/>
    <x v="1"/>
    <x v="9"/>
    <x v="4"/>
    <d v="2023-05-14T00:00:00"/>
    <x v="4"/>
    <s v="Houston"/>
    <x v="3"/>
    <x v="0"/>
  </r>
  <r>
    <s v="B-26122"/>
    <x v="492"/>
    <n v="4116"/>
    <n v="921"/>
    <n v="0.223760932944606"/>
    <n v="20"/>
    <x v="1"/>
    <x v="8"/>
    <x v="0"/>
    <d v="2024-10-07T00:00:00"/>
    <x v="3"/>
    <s v="Los Angeles"/>
    <x v="4"/>
    <x v="1"/>
  </r>
  <r>
    <s v="B-26122"/>
    <x v="493"/>
    <n v="4116"/>
    <n v="921"/>
    <n v="0.223760932944606"/>
    <n v="20"/>
    <x v="1"/>
    <x v="8"/>
    <x v="0"/>
    <d v="2020-09-08T00:00:00"/>
    <x v="1"/>
    <s v="Springfield"/>
    <x v="10"/>
    <x v="4"/>
  </r>
  <r>
    <s v="B-25709"/>
    <x v="494"/>
    <n v="1109"/>
    <n v="418"/>
    <n v="0.37691614066726797"/>
    <n v="15"/>
    <x v="1"/>
    <x v="8"/>
    <x v="0"/>
    <d v="2021-08-19T00:00:00"/>
    <x v="3"/>
    <s v="Los Angeles"/>
    <x v="9"/>
    <x v="2"/>
  </r>
  <r>
    <s v="B-26656"/>
    <x v="201"/>
    <n v="3573"/>
    <n v="562"/>
    <n v="0.15729079205149701"/>
    <n v="7"/>
    <x v="1"/>
    <x v="2"/>
    <x v="2"/>
    <d v="2022-10-12T00:00:00"/>
    <x v="2"/>
    <s v="Rochester"/>
    <x v="4"/>
    <x v="3"/>
  </r>
  <r>
    <s v="B-26656"/>
    <x v="495"/>
    <n v="3573"/>
    <n v="562"/>
    <n v="0.15729079205149701"/>
    <n v="7"/>
    <x v="1"/>
    <x v="2"/>
    <x v="2"/>
    <d v="2020-05-23T00:00:00"/>
    <x v="3"/>
    <s v="San Diego"/>
    <x v="3"/>
    <x v="4"/>
  </r>
  <r>
    <s v="B-26656"/>
    <x v="496"/>
    <n v="3573"/>
    <n v="562"/>
    <n v="0.15729079205149701"/>
    <n v="7"/>
    <x v="1"/>
    <x v="2"/>
    <x v="2"/>
    <d v="2020-04-18T00:00:00"/>
    <x v="0"/>
    <s v="Tampa"/>
    <x v="11"/>
    <x v="4"/>
  </r>
  <r>
    <s v="B-26656"/>
    <x v="201"/>
    <n v="8055"/>
    <n v="661"/>
    <n v="8.2060831781502197E-2"/>
    <n v="10"/>
    <x v="0"/>
    <x v="10"/>
    <x v="2"/>
    <d v="2022-10-12T00:00:00"/>
    <x v="2"/>
    <s v="Rochester"/>
    <x v="4"/>
    <x v="3"/>
  </r>
  <r>
    <s v="B-26656"/>
    <x v="495"/>
    <n v="8055"/>
    <n v="661"/>
    <n v="8.2060831781502197E-2"/>
    <n v="10"/>
    <x v="0"/>
    <x v="10"/>
    <x v="2"/>
    <d v="2020-05-23T00:00:00"/>
    <x v="3"/>
    <s v="San Diego"/>
    <x v="3"/>
    <x v="4"/>
  </r>
  <r>
    <s v="B-26656"/>
    <x v="496"/>
    <n v="8055"/>
    <n v="661"/>
    <n v="8.2060831781502197E-2"/>
    <n v="10"/>
    <x v="0"/>
    <x v="10"/>
    <x v="2"/>
    <d v="2020-04-18T00:00:00"/>
    <x v="0"/>
    <s v="Tampa"/>
    <x v="11"/>
    <x v="4"/>
  </r>
  <r>
    <s v="B-25801"/>
    <x v="497"/>
    <n v="6829"/>
    <n v="2609"/>
    <n v="0.38204715185239402"/>
    <n v="2"/>
    <x v="0"/>
    <x v="3"/>
    <x v="2"/>
    <d v="2022-06-04T00:00:00"/>
    <x v="3"/>
    <s v="San Francisco"/>
    <x v="0"/>
    <x v="3"/>
  </r>
  <r>
    <s v="B-25801"/>
    <x v="497"/>
    <n v="6390"/>
    <n v="3089"/>
    <n v="0.48341158059467898"/>
    <n v="12"/>
    <x v="1"/>
    <x v="8"/>
    <x v="4"/>
    <d v="2022-06-04T00:00:00"/>
    <x v="3"/>
    <s v="San Francisco"/>
    <x v="0"/>
    <x v="3"/>
  </r>
  <r>
    <s v="B-25006"/>
    <x v="498"/>
    <n v="5831"/>
    <n v="1574"/>
    <n v="0.26993654604699002"/>
    <n v="17"/>
    <x v="1"/>
    <x v="2"/>
    <x v="1"/>
    <d v="2022-11-16T00:00:00"/>
    <x v="3"/>
    <s v="San Francisco"/>
    <x v="5"/>
    <x v="3"/>
  </r>
  <r>
    <s v="B-25006"/>
    <x v="499"/>
    <n v="5831"/>
    <n v="1574"/>
    <n v="0.26993654604699002"/>
    <n v="17"/>
    <x v="1"/>
    <x v="2"/>
    <x v="1"/>
    <d v="2024-07-18T00:00:00"/>
    <x v="3"/>
    <s v="San Diego"/>
    <x v="2"/>
    <x v="1"/>
  </r>
  <r>
    <s v="B-25006"/>
    <x v="500"/>
    <n v="5831"/>
    <n v="1574"/>
    <n v="0.26993654604699002"/>
    <n v="17"/>
    <x v="1"/>
    <x v="2"/>
    <x v="1"/>
    <d v="2023-07-16T00:00:00"/>
    <x v="0"/>
    <s v="Miami"/>
    <x v="2"/>
    <x v="0"/>
  </r>
  <r>
    <s v="B-26106"/>
    <x v="501"/>
    <n v="7952"/>
    <n v="3865"/>
    <n v="0.48604124748490901"/>
    <n v="8"/>
    <x v="2"/>
    <x v="7"/>
    <x v="1"/>
    <d v="2020-08-10T00:00:00"/>
    <x v="1"/>
    <s v="Peoria"/>
    <x v="9"/>
    <x v="4"/>
  </r>
  <r>
    <s v="B-25789"/>
    <x v="502"/>
    <n v="3659"/>
    <n v="379"/>
    <n v="0.103580213172998"/>
    <n v="5"/>
    <x v="2"/>
    <x v="11"/>
    <x v="0"/>
    <d v="2024-06-22T00:00:00"/>
    <x v="3"/>
    <s v="Los Angeles"/>
    <x v="0"/>
    <x v="1"/>
  </r>
  <r>
    <s v="B-26292"/>
    <x v="503"/>
    <n v="4183"/>
    <n v="1159"/>
    <n v="0.27707387042792297"/>
    <n v="4"/>
    <x v="1"/>
    <x v="2"/>
    <x v="1"/>
    <d v="2020-07-13T00:00:00"/>
    <x v="1"/>
    <s v="Springfield"/>
    <x v="2"/>
    <x v="4"/>
  </r>
  <r>
    <s v="B-25895"/>
    <x v="504"/>
    <n v="7478"/>
    <n v="1381"/>
    <n v="0.18467504680395799"/>
    <n v="11"/>
    <x v="0"/>
    <x v="10"/>
    <x v="2"/>
    <d v="2024-04-16T00:00:00"/>
    <x v="4"/>
    <s v="Houston"/>
    <x v="11"/>
    <x v="1"/>
  </r>
  <r>
    <s v="B-25813"/>
    <x v="505"/>
    <n v="702"/>
    <n v="238"/>
    <n v="0.33903133903133897"/>
    <n v="9"/>
    <x v="0"/>
    <x v="10"/>
    <x v="4"/>
    <d v="2021-03-13T00:00:00"/>
    <x v="0"/>
    <s v="Tampa"/>
    <x v="6"/>
    <x v="2"/>
  </r>
  <r>
    <s v="B-26863"/>
    <x v="506"/>
    <n v="4037"/>
    <n v="1494"/>
    <n v="0.37007678969531799"/>
    <n v="15"/>
    <x v="2"/>
    <x v="5"/>
    <x v="2"/>
    <d v="2023-04-01T00:00:00"/>
    <x v="3"/>
    <s v="San Francisco"/>
    <x v="11"/>
    <x v="0"/>
  </r>
  <r>
    <s v="B-25759"/>
    <x v="507"/>
    <n v="5014"/>
    <n v="2332"/>
    <n v="0.46509772636617502"/>
    <n v="2"/>
    <x v="2"/>
    <x v="5"/>
    <x v="4"/>
    <d v="2020-11-10T00:00:00"/>
    <x v="1"/>
    <s v="Chicago"/>
    <x v="5"/>
    <x v="4"/>
  </r>
  <r>
    <s v="B-26357"/>
    <x v="508"/>
    <n v="9879"/>
    <n v="4930"/>
    <n v="0.49903836420690401"/>
    <n v="15"/>
    <x v="0"/>
    <x v="3"/>
    <x v="1"/>
    <d v="2023-06-08T00:00:00"/>
    <x v="2"/>
    <s v="Rochester"/>
    <x v="0"/>
    <x v="0"/>
  </r>
  <r>
    <s v="B-26819"/>
    <x v="509"/>
    <n v="8762"/>
    <n v="3502"/>
    <n v="0.399680438256106"/>
    <n v="1"/>
    <x v="0"/>
    <x v="10"/>
    <x v="1"/>
    <d v="2021-08-17T00:00:00"/>
    <x v="0"/>
    <s v="Tampa"/>
    <x v="9"/>
    <x v="2"/>
  </r>
  <r>
    <s v="B-25502"/>
    <x v="510"/>
    <n v="8490"/>
    <n v="800"/>
    <n v="9.42285041224971E-2"/>
    <n v="1"/>
    <x v="1"/>
    <x v="2"/>
    <x v="2"/>
    <d v="2020-05-24T00:00:00"/>
    <x v="2"/>
    <s v="New York City"/>
    <x v="3"/>
    <x v="4"/>
  </r>
  <r>
    <s v="B-25258"/>
    <x v="511"/>
    <n v="6951"/>
    <n v="164"/>
    <n v="2.359372752122E-2"/>
    <n v="10"/>
    <x v="2"/>
    <x v="7"/>
    <x v="0"/>
    <d v="2021-08-12T00:00:00"/>
    <x v="2"/>
    <s v="Buffalo"/>
    <x v="9"/>
    <x v="2"/>
  </r>
  <r>
    <s v="B-26878"/>
    <x v="512"/>
    <n v="1078"/>
    <n v="309"/>
    <n v="0.28664192949907202"/>
    <n v="3"/>
    <x v="0"/>
    <x v="10"/>
    <x v="3"/>
    <d v="2022-09-03T00:00:00"/>
    <x v="5"/>
    <s v="Cleveland"/>
    <x v="10"/>
    <x v="3"/>
  </r>
  <r>
    <s v="B-26878"/>
    <x v="513"/>
    <n v="1078"/>
    <n v="309"/>
    <n v="0.28664192949907202"/>
    <n v="3"/>
    <x v="0"/>
    <x v="10"/>
    <x v="3"/>
    <d v="2020-10-01T00:00:00"/>
    <x v="1"/>
    <s v="Chicago"/>
    <x v="4"/>
    <x v="4"/>
  </r>
  <r>
    <s v="B-25170"/>
    <x v="514"/>
    <n v="8560"/>
    <n v="2166"/>
    <n v="0.25303738317757002"/>
    <n v="19"/>
    <x v="1"/>
    <x v="9"/>
    <x v="2"/>
    <d v="2022-05-27T00:00:00"/>
    <x v="0"/>
    <s v="Tampa"/>
    <x v="3"/>
    <x v="3"/>
  </r>
  <r>
    <s v="B-25170"/>
    <x v="514"/>
    <n v="1031"/>
    <n v="318"/>
    <n v="0.30843840931134803"/>
    <n v="20"/>
    <x v="0"/>
    <x v="0"/>
    <x v="0"/>
    <d v="2022-05-27T00:00:00"/>
    <x v="0"/>
    <s v="Tampa"/>
    <x v="3"/>
    <x v="3"/>
  </r>
  <r>
    <s v="B-26842"/>
    <x v="515"/>
    <n v="6402"/>
    <n v="2770"/>
    <n v="0.432677288347391"/>
    <n v="19"/>
    <x v="1"/>
    <x v="6"/>
    <x v="1"/>
    <d v="2024-03-10T00:00:00"/>
    <x v="0"/>
    <s v="Orlando"/>
    <x v="6"/>
    <x v="1"/>
  </r>
  <r>
    <s v="B-26842"/>
    <x v="516"/>
    <n v="6402"/>
    <n v="2770"/>
    <n v="0.432677288347391"/>
    <n v="19"/>
    <x v="1"/>
    <x v="6"/>
    <x v="1"/>
    <d v="2023-10-05T00:00:00"/>
    <x v="0"/>
    <s v="Orlando"/>
    <x v="4"/>
    <x v="0"/>
  </r>
  <r>
    <s v="B-26842"/>
    <x v="515"/>
    <n v="5916"/>
    <n v="1594"/>
    <n v="0.26943881000676101"/>
    <n v="19"/>
    <x v="0"/>
    <x v="1"/>
    <x v="1"/>
    <d v="2024-03-10T00:00:00"/>
    <x v="0"/>
    <s v="Orlando"/>
    <x v="6"/>
    <x v="1"/>
  </r>
  <r>
    <s v="B-26842"/>
    <x v="516"/>
    <n v="5916"/>
    <n v="1594"/>
    <n v="0.26943881000676101"/>
    <n v="19"/>
    <x v="0"/>
    <x v="1"/>
    <x v="1"/>
    <d v="2023-10-05T00:00:00"/>
    <x v="0"/>
    <s v="Orlando"/>
    <x v="4"/>
    <x v="0"/>
  </r>
  <r>
    <s v="B-26599"/>
    <x v="517"/>
    <n v="4015"/>
    <n v="1751"/>
    <n v="0.43611457036114598"/>
    <n v="15"/>
    <x v="2"/>
    <x v="5"/>
    <x v="1"/>
    <d v="2022-08-28T00:00:00"/>
    <x v="3"/>
    <s v="San Francisco"/>
    <x v="9"/>
    <x v="3"/>
  </r>
  <r>
    <s v="B-26599"/>
    <x v="518"/>
    <n v="4015"/>
    <n v="1751"/>
    <n v="0.43611457036114598"/>
    <n v="15"/>
    <x v="2"/>
    <x v="5"/>
    <x v="1"/>
    <d v="2020-09-08T00:00:00"/>
    <x v="2"/>
    <s v="New York City"/>
    <x v="10"/>
    <x v="4"/>
  </r>
  <r>
    <s v="B-25705"/>
    <x v="519"/>
    <n v="9335"/>
    <n v="557"/>
    <n v="5.9667916443492203E-2"/>
    <n v="11"/>
    <x v="0"/>
    <x v="0"/>
    <x v="4"/>
    <d v="2021-04-27T00:00:00"/>
    <x v="3"/>
    <s v="Los Angeles"/>
    <x v="11"/>
    <x v="2"/>
  </r>
  <r>
    <s v="B-26366"/>
    <x v="520"/>
    <n v="4706"/>
    <n v="594"/>
    <n v="0.12622184445388901"/>
    <n v="11"/>
    <x v="1"/>
    <x v="9"/>
    <x v="4"/>
    <d v="2021-08-21T00:00:00"/>
    <x v="5"/>
    <s v="Cleveland"/>
    <x v="9"/>
    <x v="2"/>
  </r>
  <r>
    <s v="B-26366"/>
    <x v="521"/>
    <n v="4706"/>
    <n v="594"/>
    <n v="0.12622184445388901"/>
    <n v="11"/>
    <x v="1"/>
    <x v="9"/>
    <x v="4"/>
    <d v="2021-05-16T00:00:00"/>
    <x v="5"/>
    <s v="Columbus"/>
    <x v="3"/>
    <x v="2"/>
  </r>
  <r>
    <s v="B-26366"/>
    <x v="520"/>
    <n v="6584"/>
    <n v="371"/>
    <n v="5.6348724179829897E-2"/>
    <n v="6"/>
    <x v="1"/>
    <x v="6"/>
    <x v="0"/>
    <d v="2021-08-21T00:00:00"/>
    <x v="5"/>
    <s v="Cleveland"/>
    <x v="9"/>
    <x v="2"/>
  </r>
  <r>
    <s v="B-26366"/>
    <x v="521"/>
    <n v="6584"/>
    <n v="371"/>
    <n v="5.6348724179829897E-2"/>
    <n v="6"/>
    <x v="1"/>
    <x v="6"/>
    <x v="0"/>
    <d v="2021-05-16T00:00:00"/>
    <x v="5"/>
    <s v="Columbus"/>
    <x v="3"/>
    <x v="2"/>
  </r>
  <r>
    <s v="B-26116"/>
    <x v="522"/>
    <n v="6389"/>
    <n v="734"/>
    <n v="0.11488495852246"/>
    <n v="1"/>
    <x v="2"/>
    <x v="7"/>
    <x v="2"/>
    <d v="2022-01-15T00:00:00"/>
    <x v="4"/>
    <s v="Dallas"/>
    <x v="8"/>
    <x v="3"/>
  </r>
  <r>
    <s v="B-26443"/>
    <x v="523"/>
    <n v="9869"/>
    <n v="4299"/>
    <n v="0.43560644442192697"/>
    <n v="12"/>
    <x v="0"/>
    <x v="1"/>
    <x v="1"/>
    <d v="2023-03-21T00:00:00"/>
    <x v="3"/>
    <s v="San Diego"/>
    <x v="6"/>
    <x v="0"/>
  </r>
  <r>
    <s v="B-26443"/>
    <x v="524"/>
    <n v="9869"/>
    <n v="4299"/>
    <n v="0.43560644442192697"/>
    <n v="12"/>
    <x v="0"/>
    <x v="1"/>
    <x v="1"/>
    <d v="2023-12-28T00:00:00"/>
    <x v="2"/>
    <s v="Buffalo"/>
    <x v="1"/>
    <x v="0"/>
  </r>
  <r>
    <s v="B-25955"/>
    <x v="525"/>
    <n v="655"/>
    <n v="297"/>
    <n v="0.45343511450381702"/>
    <n v="4"/>
    <x v="1"/>
    <x v="6"/>
    <x v="1"/>
    <d v="2022-02-15T00:00:00"/>
    <x v="2"/>
    <s v="Buffalo"/>
    <x v="7"/>
    <x v="3"/>
  </r>
  <r>
    <s v="B-25955"/>
    <x v="526"/>
    <n v="655"/>
    <n v="297"/>
    <n v="0.45343511450381702"/>
    <n v="4"/>
    <x v="1"/>
    <x v="6"/>
    <x v="1"/>
    <d v="2023-11-30T00:00:00"/>
    <x v="0"/>
    <s v="Orlando"/>
    <x v="5"/>
    <x v="0"/>
  </r>
  <r>
    <s v="B-26383"/>
    <x v="527"/>
    <n v="798"/>
    <n v="308"/>
    <n v="0.38596491228070201"/>
    <n v="10"/>
    <x v="0"/>
    <x v="10"/>
    <x v="1"/>
    <d v="2023-01-12T00:00:00"/>
    <x v="2"/>
    <s v="Buffalo"/>
    <x v="8"/>
    <x v="0"/>
  </r>
  <r>
    <s v="B-26383"/>
    <x v="528"/>
    <n v="798"/>
    <n v="308"/>
    <n v="0.38596491228070201"/>
    <n v="10"/>
    <x v="0"/>
    <x v="10"/>
    <x v="1"/>
    <d v="2023-05-19T00:00:00"/>
    <x v="5"/>
    <s v="Cleveland"/>
    <x v="3"/>
    <x v="0"/>
  </r>
  <r>
    <s v="B-26383"/>
    <x v="527"/>
    <n v="7967"/>
    <n v="2504"/>
    <n v="0.314296472950923"/>
    <n v="13"/>
    <x v="0"/>
    <x v="1"/>
    <x v="2"/>
    <d v="2023-01-12T00:00:00"/>
    <x v="2"/>
    <s v="Buffalo"/>
    <x v="8"/>
    <x v="0"/>
  </r>
  <r>
    <s v="B-26383"/>
    <x v="528"/>
    <n v="7967"/>
    <n v="2504"/>
    <n v="0.314296472950923"/>
    <n v="13"/>
    <x v="0"/>
    <x v="1"/>
    <x v="2"/>
    <d v="2023-05-19T00:00:00"/>
    <x v="5"/>
    <s v="Cleveland"/>
    <x v="3"/>
    <x v="0"/>
  </r>
  <r>
    <s v="B-26999"/>
    <x v="529"/>
    <n v="3756"/>
    <n v="1318"/>
    <n v="0.35090521831735899"/>
    <n v="5"/>
    <x v="2"/>
    <x v="4"/>
    <x v="0"/>
    <d v="2024-02-19T00:00:00"/>
    <x v="0"/>
    <s v="Miami"/>
    <x v="7"/>
    <x v="1"/>
  </r>
  <r>
    <s v="B-26712"/>
    <x v="530"/>
    <n v="5196"/>
    <n v="2477"/>
    <n v="0.47671285604310998"/>
    <n v="1"/>
    <x v="1"/>
    <x v="6"/>
    <x v="0"/>
    <d v="2021-12-01T00:00:00"/>
    <x v="4"/>
    <s v="Austin"/>
    <x v="1"/>
    <x v="2"/>
  </r>
  <r>
    <s v="B-26712"/>
    <x v="530"/>
    <n v="6586"/>
    <n v="1794"/>
    <n v="0.27239599149711502"/>
    <n v="19"/>
    <x v="2"/>
    <x v="11"/>
    <x v="1"/>
    <d v="2021-12-01T00:00:00"/>
    <x v="4"/>
    <s v="Austin"/>
    <x v="1"/>
    <x v="2"/>
  </r>
  <r>
    <s v="B-26066"/>
    <x v="531"/>
    <n v="6673"/>
    <n v="950"/>
    <n v="0.14236475348419"/>
    <n v="19"/>
    <x v="1"/>
    <x v="6"/>
    <x v="2"/>
    <d v="2024-12-19T00:00:00"/>
    <x v="2"/>
    <s v="Buffalo"/>
    <x v="1"/>
    <x v="1"/>
  </r>
  <r>
    <s v="B-25996"/>
    <x v="532"/>
    <n v="714"/>
    <n v="232"/>
    <n v="0.32492997198879597"/>
    <n v="14"/>
    <x v="2"/>
    <x v="4"/>
    <x v="0"/>
    <d v="2023-01-18T00:00:00"/>
    <x v="5"/>
    <s v="Columbus"/>
    <x v="8"/>
    <x v="0"/>
  </r>
  <r>
    <s v="B-25996"/>
    <x v="533"/>
    <n v="714"/>
    <n v="232"/>
    <n v="0.32492997198879597"/>
    <n v="14"/>
    <x v="2"/>
    <x v="4"/>
    <x v="0"/>
    <d v="2020-12-23T00:00:00"/>
    <x v="4"/>
    <s v="Austin"/>
    <x v="1"/>
    <x v="4"/>
  </r>
  <r>
    <s v="B-26924"/>
    <x v="534"/>
    <n v="1083"/>
    <n v="501"/>
    <n v="0.46260387811634401"/>
    <n v="6"/>
    <x v="1"/>
    <x v="2"/>
    <x v="4"/>
    <d v="2021-02-28T00:00:00"/>
    <x v="4"/>
    <s v="Austin"/>
    <x v="7"/>
    <x v="2"/>
  </r>
  <r>
    <s v="B-25541"/>
    <x v="535"/>
    <n v="2401"/>
    <n v="1163"/>
    <n v="0.484381507705123"/>
    <n v="10"/>
    <x v="2"/>
    <x v="11"/>
    <x v="0"/>
    <d v="2023-05-04T00:00:00"/>
    <x v="5"/>
    <s v="Cleveland"/>
    <x v="3"/>
    <x v="0"/>
  </r>
  <r>
    <s v="B-25541"/>
    <x v="536"/>
    <n v="2401"/>
    <n v="1163"/>
    <n v="0.484381507705123"/>
    <n v="10"/>
    <x v="2"/>
    <x v="11"/>
    <x v="0"/>
    <d v="2020-04-22T00:00:00"/>
    <x v="3"/>
    <s v="Los Angeles"/>
    <x v="11"/>
    <x v="4"/>
  </r>
  <r>
    <s v="B-25541"/>
    <x v="537"/>
    <n v="2401"/>
    <n v="1163"/>
    <n v="0.484381507705123"/>
    <n v="10"/>
    <x v="2"/>
    <x v="11"/>
    <x v="0"/>
    <d v="2021-08-13T00:00:00"/>
    <x v="2"/>
    <s v="Rochester"/>
    <x v="9"/>
    <x v="2"/>
  </r>
  <r>
    <s v="B-25541"/>
    <x v="535"/>
    <n v="1045"/>
    <n v="267"/>
    <n v="0.25550239234449801"/>
    <n v="11"/>
    <x v="0"/>
    <x v="10"/>
    <x v="1"/>
    <d v="2023-05-04T00:00:00"/>
    <x v="5"/>
    <s v="Cleveland"/>
    <x v="3"/>
    <x v="0"/>
  </r>
  <r>
    <s v="B-25541"/>
    <x v="536"/>
    <n v="1045"/>
    <n v="267"/>
    <n v="0.25550239234449801"/>
    <n v="11"/>
    <x v="0"/>
    <x v="10"/>
    <x v="1"/>
    <d v="2020-04-22T00:00:00"/>
    <x v="3"/>
    <s v="Los Angeles"/>
    <x v="11"/>
    <x v="4"/>
  </r>
  <r>
    <s v="B-25541"/>
    <x v="537"/>
    <n v="1045"/>
    <n v="267"/>
    <n v="0.25550239234449801"/>
    <n v="11"/>
    <x v="0"/>
    <x v="10"/>
    <x v="1"/>
    <d v="2021-08-13T00:00:00"/>
    <x v="2"/>
    <s v="Rochester"/>
    <x v="9"/>
    <x v="2"/>
  </r>
  <r>
    <s v="B-25196"/>
    <x v="538"/>
    <n v="7806"/>
    <n v="1127"/>
    <n v="0.14437612093261601"/>
    <n v="1"/>
    <x v="1"/>
    <x v="6"/>
    <x v="3"/>
    <d v="2023-07-20T00:00:00"/>
    <x v="4"/>
    <s v="Dallas"/>
    <x v="2"/>
    <x v="0"/>
  </r>
  <r>
    <s v="B-25855"/>
    <x v="539"/>
    <n v="5263"/>
    <n v="1743"/>
    <n v="0.33117993539806201"/>
    <n v="19"/>
    <x v="2"/>
    <x v="7"/>
    <x v="3"/>
    <d v="2022-08-28T00:00:00"/>
    <x v="0"/>
    <s v="Miami"/>
    <x v="9"/>
    <x v="3"/>
  </r>
  <r>
    <s v="B-25071"/>
    <x v="540"/>
    <n v="6147"/>
    <n v="2526"/>
    <n v="0.41093216203025901"/>
    <n v="6"/>
    <x v="1"/>
    <x v="2"/>
    <x v="1"/>
    <d v="2023-03-14T00:00:00"/>
    <x v="4"/>
    <s v="Dallas"/>
    <x v="6"/>
    <x v="0"/>
  </r>
  <r>
    <s v="B-26159"/>
    <x v="541"/>
    <n v="7484"/>
    <n v="2871"/>
    <n v="0.38361838588989799"/>
    <n v="15"/>
    <x v="0"/>
    <x v="10"/>
    <x v="0"/>
    <d v="2023-11-07T00:00:00"/>
    <x v="0"/>
    <s v="Orlando"/>
    <x v="5"/>
    <x v="0"/>
  </r>
  <r>
    <s v="B-26159"/>
    <x v="542"/>
    <n v="7484"/>
    <n v="2871"/>
    <n v="0.38361838588989799"/>
    <n v="15"/>
    <x v="0"/>
    <x v="10"/>
    <x v="0"/>
    <d v="2024-04-16T00:00:00"/>
    <x v="1"/>
    <s v="Chicago"/>
    <x v="11"/>
    <x v="1"/>
  </r>
  <r>
    <s v="B-26159"/>
    <x v="541"/>
    <n v="7700"/>
    <n v="2712"/>
    <n v="0.35220779220779203"/>
    <n v="1"/>
    <x v="2"/>
    <x v="7"/>
    <x v="3"/>
    <d v="2023-11-07T00:00:00"/>
    <x v="0"/>
    <s v="Orlando"/>
    <x v="5"/>
    <x v="0"/>
  </r>
  <r>
    <s v="B-26159"/>
    <x v="542"/>
    <n v="7700"/>
    <n v="2712"/>
    <n v="0.35220779220779203"/>
    <n v="1"/>
    <x v="2"/>
    <x v="7"/>
    <x v="3"/>
    <d v="2024-04-16T00:00:00"/>
    <x v="1"/>
    <s v="Chicago"/>
    <x v="11"/>
    <x v="1"/>
  </r>
  <r>
    <s v="B-26228"/>
    <x v="543"/>
    <n v="8537"/>
    <n v="3586"/>
    <n v="0.42005388309710701"/>
    <n v="13"/>
    <x v="1"/>
    <x v="6"/>
    <x v="0"/>
    <d v="2022-09-16T00:00:00"/>
    <x v="2"/>
    <s v="Rochester"/>
    <x v="10"/>
    <x v="3"/>
  </r>
  <r>
    <s v="B-25888"/>
    <x v="544"/>
    <n v="8858"/>
    <n v="3394"/>
    <n v="0.38315646872883302"/>
    <n v="6"/>
    <x v="2"/>
    <x v="5"/>
    <x v="4"/>
    <d v="2024-10-31T00:00:00"/>
    <x v="3"/>
    <s v="San Diego"/>
    <x v="4"/>
    <x v="1"/>
  </r>
  <r>
    <s v="B-25574"/>
    <x v="545"/>
    <n v="5313"/>
    <n v="2037"/>
    <n v="0.38339920948616601"/>
    <n v="7"/>
    <x v="0"/>
    <x v="1"/>
    <x v="1"/>
    <d v="2024-11-25T00:00:00"/>
    <x v="3"/>
    <s v="San Francisco"/>
    <x v="5"/>
    <x v="1"/>
  </r>
  <r>
    <s v="B-25574"/>
    <x v="546"/>
    <n v="5313"/>
    <n v="2037"/>
    <n v="0.38339920948616601"/>
    <n v="7"/>
    <x v="0"/>
    <x v="1"/>
    <x v="1"/>
    <d v="2021-10-29T00:00:00"/>
    <x v="4"/>
    <s v="Houston"/>
    <x v="4"/>
    <x v="2"/>
  </r>
  <r>
    <s v="B-26938"/>
    <x v="547"/>
    <n v="3281"/>
    <n v="471"/>
    <n v="0.14355379457482501"/>
    <n v="7"/>
    <x v="2"/>
    <x v="7"/>
    <x v="2"/>
    <d v="2023-12-27T00:00:00"/>
    <x v="3"/>
    <s v="Los Angeles"/>
    <x v="1"/>
    <x v="0"/>
  </r>
  <r>
    <s v="B-26938"/>
    <x v="548"/>
    <n v="3281"/>
    <n v="471"/>
    <n v="0.14355379457482501"/>
    <n v="7"/>
    <x v="2"/>
    <x v="7"/>
    <x v="2"/>
    <d v="2023-06-25T00:00:00"/>
    <x v="1"/>
    <s v="Peoria"/>
    <x v="0"/>
    <x v="0"/>
  </r>
  <r>
    <s v="B-26379"/>
    <x v="549"/>
    <n v="8681"/>
    <n v="2458"/>
    <n v="0.283147102868333"/>
    <n v="9"/>
    <x v="1"/>
    <x v="2"/>
    <x v="3"/>
    <d v="2020-09-01T00:00:00"/>
    <x v="2"/>
    <s v="New York City"/>
    <x v="10"/>
    <x v="4"/>
  </r>
  <r>
    <s v="B-26623"/>
    <x v="550"/>
    <n v="6195"/>
    <n v="1556"/>
    <n v="0.251170298627926"/>
    <n v="18"/>
    <x v="2"/>
    <x v="7"/>
    <x v="2"/>
    <d v="2025-02-01T00:00:00"/>
    <x v="1"/>
    <s v="Springfield"/>
    <x v="7"/>
    <x v="5"/>
  </r>
  <r>
    <s v="B-25566"/>
    <x v="551"/>
    <n v="3877"/>
    <n v="481"/>
    <n v="0.124064998710343"/>
    <n v="16"/>
    <x v="2"/>
    <x v="5"/>
    <x v="1"/>
    <d v="2023-07-22T00:00:00"/>
    <x v="2"/>
    <s v="Rochester"/>
    <x v="2"/>
    <x v="0"/>
  </r>
  <r>
    <s v="B-25566"/>
    <x v="552"/>
    <n v="3877"/>
    <n v="481"/>
    <n v="0.124064998710343"/>
    <n v="16"/>
    <x v="2"/>
    <x v="5"/>
    <x v="1"/>
    <d v="2022-02-04T00:00:00"/>
    <x v="2"/>
    <s v="New York City"/>
    <x v="7"/>
    <x v="3"/>
  </r>
  <r>
    <s v="B-26740"/>
    <x v="553"/>
    <n v="9369"/>
    <n v="3297"/>
    <n v="0.35190521934037799"/>
    <n v="6"/>
    <x v="0"/>
    <x v="1"/>
    <x v="1"/>
    <d v="2023-09-27T00:00:00"/>
    <x v="0"/>
    <s v="Orlando"/>
    <x v="10"/>
    <x v="0"/>
  </r>
  <r>
    <s v="B-26740"/>
    <x v="554"/>
    <n v="9369"/>
    <n v="3297"/>
    <n v="0.35190521934037799"/>
    <n v="6"/>
    <x v="0"/>
    <x v="1"/>
    <x v="1"/>
    <d v="2025-01-30T00:00:00"/>
    <x v="2"/>
    <s v="New York City"/>
    <x v="8"/>
    <x v="5"/>
  </r>
  <r>
    <s v="B-26740"/>
    <x v="553"/>
    <n v="8680"/>
    <n v="4068"/>
    <n v="0.46866359447004602"/>
    <n v="20"/>
    <x v="0"/>
    <x v="1"/>
    <x v="3"/>
    <d v="2023-09-27T00:00:00"/>
    <x v="0"/>
    <s v="Orlando"/>
    <x v="10"/>
    <x v="0"/>
  </r>
  <r>
    <s v="B-26740"/>
    <x v="554"/>
    <n v="8680"/>
    <n v="4068"/>
    <n v="0.46866359447004602"/>
    <n v="20"/>
    <x v="0"/>
    <x v="1"/>
    <x v="3"/>
    <d v="2025-01-30T00:00:00"/>
    <x v="2"/>
    <s v="New York City"/>
    <x v="8"/>
    <x v="5"/>
  </r>
  <r>
    <s v="B-26740"/>
    <x v="553"/>
    <n v="3067"/>
    <n v="1475"/>
    <n v="0.480925986305836"/>
    <n v="8"/>
    <x v="0"/>
    <x v="3"/>
    <x v="0"/>
    <d v="2023-09-27T00:00:00"/>
    <x v="0"/>
    <s v="Orlando"/>
    <x v="10"/>
    <x v="0"/>
  </r>
  <r>
    <s v="B-26740"/>
    <x v="554"/>
    <n v="3067"/>
    <n v="1475"/>
    <n v="0.480925986305836"/>
    <n v="8"/>
    <x v="0"/>
    <x v="3"/>
    <x v="0"/>
    <d v="2025-01-30T00:00:00"/>
    <x v="2"/>
    <s v="New York City"/>
    <x v="8"/>
    <x v="5"/>
  </r>
  <r>
    <s v="B-25024"/>
    <x v="555"/>
    <n v="9002"/>
    <n v="4197"/>
    <n v="0.46622972672739399"/>
    <n v="2"/>
    <x v="1"/>
    <x v="6"/>
    <x v="2"/>
    <d v="2025-01-15T00:00:00"/>
    <x v="5"/>
    <s v="Cincinnati"/>
    <x v="8"/>
    <x v="5"/>
  </r>
  <r>
    <s v="B-25024"/>
    <x v="556"/>
    <n v="9002"/>
    <n v="4197"/>
    <n v="0.46622972672739399"/>
    <n v="2"/>
    <x v="1"/>
    <x v="6"/>
    <x v="2"/>
    <d v="2021-03-28T00:00:00"/>
    <x v="5"/>
    <s v="Columbus"/>
    <x v="6"/>
    <x v="2"/>
  </r>
  <r>
    <s v="B-26367"/>
    <x v="557"/>
    <n v="7105"/>
    <n v="2782"/>
    <n v="0.39155524278677001"/>
    <n v="19"/>
    <x v="1"/>
    <x v="2"/>
    <x v="4"/>
    <d v="2021-12-25T00:00:00"/>
    <x v="5"/>
    <s v="Columbus"/>
    <x v="1"/>
    <x v="2"/>
  </r>
  <r>
    <s v="B-26353"/>
    <x v="558"/>
    <n v="5317"/>
    <n v="1345"/>
    <n v="0.25296219672747799"/>
    <n v="18"/>
    <x v="2"/>
    <x v="5"/>
    <x v="1"/>
    <d v="2023-02-03T00:00:00"/>
    <x v="5"/>
    <s v="Columbus"/>
    <x v="7"/>
    <x v="0"/>
  </r>
  <r>
    <s v="B-26353"/>
    <x v="559"/>
    <n v="5317"/>
    <n v="1345"/>
    <n v="0.25296219672747799"/>
    <n v="18"/>
    <x v="2"/>
    <x v="5"/>
    <x v="1"/>
    <d v="2023-04-28T00:00:00"/>
    <x v="0"/>
    <s v="Orlando"/>
    <x v="11"/>
    <x v="0"/>
  </r>
  <r>
    <s v="B-26353"/>
    <x v="560"/>
    <n v="5317"/>
    <n v="1345"/>
    <n v="0.25296219672747799"/>
    <n v="18"/>
    <x v="2"/>
    <x v="5"/>
    <x v="1"/>
    <d v="2024-11-22T00:00:00"/>
    <x v="3"/>
    <s v="San Francisco"/>
    <x v="5"/>
    <x v="1"/>
  </r>
  <r>
    <s v="B-26353"/>
    <x v="558"/>
    <n v="6304"/>
    <n v="766"/>
    <n v="0.121510152284264"/>
    <n v="14"/>
    <x v="2"/>
    <x v="4"/>
    <x v="2"/>
    <d v="2023-02-03T00:00:00"/>
    <x v="5"/>
    <s v="Columbus"/>
    <x v="7"/>
    <x v="0"/>
  </r>
  <r>
    <s v="B-26353"/>
    <x v="559"/>
    <n v="6304"/>
    <n v="766"/>
    <n v="0.121510152284264"/>
    <n v="14"/>
    <x v="2"/>
    <x v="4"/>
    <x v="2"/>
    <d v="2023-04-28T00:00:00"/>
    <x v="0"/>
    <s v="Orlando"/>
    <x v="11"/>
    <x v="0"/>
  </r>
  <r>
    <s v="B-26353"/>
    <x v="560"/>
    <n v="6304"/>
    <n v="766"/>
    <n v="0.121510152284264"/>
    <n v="14"/>
    <x v="2"/>
    <x v="4"/>
    <x v="2"/>
    <d v="2024-11-22T00:00:00"/>
    <x v="3"/>
    <s v="San Francisco"/>
    <x v="5"/>
    <x v="1"/>
  </r>
  <r>
    <s v="B-25742"/>
    <x v="561"/>
    <n v="9565"/>
    <n v="1691"/>
    <n v="0.17679038159958199"/>
    <n v="3"/>
    <x v="1"/>
    <x v="8"/>
    <x v="1"/>
    <d v="2024-07-02T00:00:00"/>
    <x v="1"/>
    <s v="Springfield"/>
    <x v="2"/>
    <x v="1"/>
  </r>
  <r>
    <s v="B-25742"/>
    <x v="561"/>
    <n v="8245"/>
    <n v="324"/>
    <n v="3.9296543359611899E-2"/>
    <n v="11"/>
    <x v="1"/>
    <x v="8"/>
    <x v="2"/>
    <d v="2024-07-02T00:00:00"/>
    <x v="1"/>
    <s v="Springfield"/>
    <x v="2"/>
    <x v="1"/>
  </r>
  <r>
    <s v="B-26965"/>
    <x v="562"/>
    <n v="1592"/>
    <n v="480"/>
    <n v="0.30150753768844202"/>
    <n v="13"/>
    <x v="0"/>
    <x v="3"/>
    <x v="1"/>
    <d v="2022-01-18T00:00:00"/>
    <x v="5"/>
    <s v="Cleveland"/>
    <x v="8"/>
    <x v="3"/>
  </r>
  <r>
    <s v="B-26038"/>
    <x v="563"/>
    <n v="8400"/>
    <n v="267"/>
    <n v="3.1785714285714299E-2"/>
    <n v="5"/>
    <x v="0"/>
    <x v="10"/>
    <x v="1"/>
    <d v="2024-10-08T00:00:00"/>
    <x v="5"/>
    <s v="Columbus"/>
    <x v="4"/>
    <x v="1"/>
  </r>
  <r>
    <s v="B-26038"/>
    <x v="563"/>
    <n v="4963"/>
    <n v="1254"/>
    <n v="0.25266975619584903"/>
    <n v="15"/>
    <x v="1"/>
    <x v="8"/>
    <x v="2"/>
    <d v="2024-10-08T00:00:00"/>
    <x v="5"/>
    <s v="Columbus"/>
    <x v="4"/>
    <x v="1"/>
  </r>
  <r>
    <s v="B-25317"/>
    <x v="564"/>
    <n v="2472"/>
    <n v="211"/>
    <n v="8.5355987055016194E-2"/>
    <n v="5"/>
    <x v="0"/>
    <x v="1"/>
    <x v="4"/>
    <d v="2020-06-21T00:00:00"/>
    <x v="3"/>
    <s v="San Diego"/>
    <x v="0"/>
    <x v="4"/>
  </r>
  <r>
    <s v="B-25970"/>
    <x v="565"/>
    <n v="9132"/>
    <n v="3096"/>
    <n v="0.33902759526938198"/>
    <n v="14"/>
    <x v="2"/>
    <x v="5"/>
    <x v="1"/>
    <d v="2023-12-14T00:00:00"/>
    <x v="0"/>
    <s v="Tampa"/>
    <x v="1"/>
    <x v="0"/>
  </r>
  <r>
    <s v="B-25590"/>
    <x v="566"/>
    <n v="8305"/>
    <n v="1577"/>
    <n v="0.189885611077664"/>
    <n v="6"/>
    <x v="1"/>
    <x v="9"/>
    <x v="1"/>
    <d v="2020-12-16T00:00:00"/>
    <x v="2"/>
    <s v="Rochester"/>
    <x v="1"/>
    <x v="4"/>
  </r>
  <r>
    <s v="B-25580"/>
    <x v="567"/>
    <n v="1010"/>
    <n v="58"/>
    <n v="5.74257425742574E-2"/>
    <n v="19"/>
    <x v="0"/>
    <x v="0"/>
    <x v="4"/>
    <d v="2025-03-15T00:00:00"/>
    <x v="0"/>
    <s v="Tampa"/>
    <x v="6"/>
    <x v="5"/>
  </r>
  <r>
    <s v="B-25443"/>
    <x v="568"/>
    <n v="4544"/>
    <n v="1726"/>
    <n v="0.37984154929577502"/>
    <n v="9"/>
    <x v="0"/>
    <x v="10"/>
    <x v="2"/>
    <d v="2024-08-21T00:00:00"/>
    <x v="4"/>
    <s v="Dallas"/>
    <x v="9"/>
    <x v="1"/>
  </r>
  <r>
    <s v="B-25443"/>
    <x v="568"/>
    <n v="5900"/>
    <n v="1738"/>
    <n v="0.29457627118644097"/>
    <n v="20"/>
    <x v="0"/>
    <x v="10"/>
    <x v="0"/>
    <d v="2024-08-21T00:00:00"/>
    <x v="4"/>
    <s v="Dallas"/>
    <x v="9"/>
    <x v="1"/>
  </r>
  <r>
    <s v="B-25774"/>
    <x v="569"/>
    <n v="8861"/>
    <n v="3381"/>
    <n v="0.38155964338110798"/>
    <n v="19"/>
    <x v="1"/>
    <x v="6"/>
    <x v="3"/>
    <d v="2021-05-27T00:00:00"/>
    <x v="3"/>
    <s v="San Diego"/>
    <x v="3"/>
    <x v="2"/>
  </r>
  <r>
    <s v="B-26505"/>
    <x v="570"/>
    <n v="8158"/>
    <n v="2052"/>
    <n v="0.25153223829369897"/>
    <n v="13"/>
    <x v="0"/>
    <x v="10"/>
    <x v="1"/>
    <d v="2020-09-21T00:00:00"/>
    <x v="5"/>
    <s v="Cincinnati"/>
    <x v="10"/>
    <x v="4"/>
  </r>
  <r>
    <s v="B-25163"/>
    <x v="571"/>
    <n v="3411"/>
    <n v="1704"/>
    <n v="0.499560246262093"/>
    <n v="14"/>
    <x v="1"/>
    <x v="2"/>
    <x v="0"/>
    <d v="2025-01-11T00:00:00"/>
    <x v="3"/>
    <s v="Los Angeles"/>
    <x v="8"/>
    <x v="5"/>
  </r>
  <r>
    <s v="B-26095"/>
    <x v="572"/>
    <n v="9406"/>
    <n v="1137"/>
    <n v="0.120880289177121"/>
    <n v="16"/>
    <x v="1"/>
    <x v="6"/>
    <x v="0"/>
    <d v="2021-10-20T00:00:00"/>
    <x v="4"/>
    <s v="Houston"/>
    <x v="4"/>
    <x v="2"/>
  </r>
  <r>
    <s v="B-26095"/>
    <x v="572"/>
    <n v="1156"/>
    <n v="74"/>
    <n v="6.4013840830449795E-2"/>
    <n v="15"/>
    <x v="0"/>
    <x v="1"/>
    <x v="2"/>
    <d v="2021-10-20T00:00:00"/>
    <x v="4"/>
    <s v="Houston"/>
    <x v="4"/>
    <x v="2"/>
  </r>
  <r>
    <s v="B-25768"/>
    <x v="573"/>
    <n v="5354"/>
    <n v="743"/>
    <n v="0.138774747852073"/>
    <n v="10"/>
    <x v="2"/>
    <x v="11"/>
    <x v="0"/>
    <d v="2021-10-19T00:00:00"/>
    <x v="1"/>
    <s v="Springfield"/>
    <x v="4"/>
    <x v="2"/>
  </r>
  <r>
    <s v="B-25328"/>
    <x v="574"/>
    <n v="8780"/>
    <n v="3430"/>
    <n v="0.39066059225512501"/>
    <n v="4"/>
    <x v="0"/>
    <x v="0"/>
    <x v="3"/>
    <d v="2024-07-07T00:00:00"/>
    <x v="4"/>
    <s v="Austin"/>
    <x v="2"/>
    <x v="1"/>
  </r>
  <r>
    <s v="B-25328"/>
    <x v="575"/>
    <n v="8780"/>
    <n v="3430"/>
    <n v="0.39066059225512501"/>
    <n v="4"/>
    <x v="0"/>
    <x v="0"/>
    <x v="3"/>
    <d v="2023-07-25T00:00:00"/>
    <x v="4"/>
    <s v="Austin"/>
    <x v="2"/>
    <x v="0"/>
  </r>
  <r>
    <s v="B-26573"/>
    <x v="576"/>
    <n v="6783"/>
    <n v="3306"/>
    <n v="0.48739495798319299"/>
    <n v="8"/>
    <x v="2"/>
    <x v="7"/>
    <x v="1"/>
    <d v="2020-04-16T00:00:00"/>
    <x v="5"/>
    <s v="Columbus"/>
    <x v="11"/>
    <x v="4"/>
  </r>
  <r>
    <s v="B-25138"/>
    <x v="577"/>
    <n v="1778"/>
    <n v="285"/>
    <n v="0.16029246344206999"/>
    <n v="4"/>
    <x v="1"/>
    <x v="2"/>
    <x v="3"/>
    <d v="2020-07-04T00:00:00"/>
    <x v="2"/>
    <s v="New York City"/>
    <x v="2"/>
    <x v="4"/>
  </r>
  <r>
    <s v="B-26803"/>
    <x v="578"/>
    <n v="9399"/>
    <n v="1949"/>
    <n v="0.207362485370784"/>
    <n v="12"/>
    <x v="0"/>
    <x v="1"/>
    <x v="0"/>
    <d v="2022-05-16T00:00:00"/>
    <x v="2"/>
    <s v="Rochester"/>
    <x v="3"/>
    <x v="3"/>
  </r>
  <r>
    <s v="B-26803"/>
    <x v="578"/>
    <n v="7957"/>
    <n v="965"/>
    <n v="0.121276863139374"/>
    <n v="4"/>
    <x v="2"/>
    <x v="7"/>
    <x v="3"/>
    <d v="2022-05-16T00:00:00"/>
    <x v="2"/>
    <s v="Rochester"/>
    <x v="3"/>
    <x v="3"/>
  </r>
  <r>
    <s v="B-25101"/>
    <x v="579"/>
    <n v="1638"/>
    <n v="661"/>
    <n v="0.40354090354090399"/>
    <n v="13"/>
    <x v="2"/>
    <x v="5"/>
    <x v="2"/>
    <d v="2023-11-25T00:00:00"/>
    <x v="1"/>
    <s v="Springfield"/>
    <x v="5"/>
    <x v="0"/>
  </r>
  <r>
    <s v="B-25827"/>
    <x v="580"/>
    <n v="1786"/>
    <n v="224"/>
    <n v="0.12541993281075001"/>
    <n v="4"/>
    <x v="2"/>
    <x v="4"/>
    <x v="4"/>
    <d v="2021-08-17T00:00:00"/>
    <x v="4"/>
    <s v="Dallas"/>
    <x v="9"/>
    <x v="2"/>
  </r>
  <r>
    <s v="B-25792"/>
    <x v="581"/>
    <n v="4751"/>
    <n v="781"/>
    <n v="0.16438644495895599"/>
    <n v="9"/>
    <x v="1"/>
    <x v="8"/>
    <x v="2"/>
    <d v="2023-07-02T00:00:00"/>
    <x v="2"/>
    <s v="Buffalo"/>
    <x v="2"/>
    <x v="0"/>
  </r>
  <r>
    <s v="B-25646"/>
    <x v="582"/>
    <n v="8979"/>
    <n v="4477"/>
    <n v="0.49860786279095698"/>
    <n v="4"/>
    <x v="1"/>
    <x v="8"/>
    <x v="3"/>
    <d v="2020-08-24T00:00:00"/>
    <x v="1"/>
    <s v="Chicago"/>
    <x v="9"/>
    <x v="4"/>
  </r>
  <r>
    <s v="B-25043"/>
    <x v="583"/>
    <n v="2727"/>
    <n v="663"/>
    <n v="0.24312431243124299"/>
    <n v="8"/>
    <x v="0"/>
    <x v="10"/>
    <x v="3"/>
    <d v="2022-11-07T00:00:00"/>
    <x v="0"/>
    <s v="Miami"/>
    <x v="5"/>
    <x v="3"/>
  </r>
  <r>
    <s v="B-26598"/>
    <x v="584"/>
    <n v="1093"/>
    <n v="397"/>
    <n v="0.363220494053065"/>
    <n v="17"/>
    <x v="0"/>
    <x v="1"/>
    <x v="3"/>
    <d v="2024-03-27T00:00:00"/>
    <x v="1"/>
    <s v="Peoria"/>
    <x v="6"/>
    <x v="1"/>
  </r>
  <r>
    <s v="B-26598"/>
    <x v="585"/>
    <n v="1093"/>
    <n v="397"/>
    <n v="0.363220494053065"/>
    <n v="17"/>
    <x v="0"/>
    <x v="1"/>
    <x v="3"/>
    <d v="2024-09-01T00:00:00"/>
    <x v="2"/>
    <s v="Buffalo"/>
    <x v="10"/>
    <x v="1"/>
  </r>
  <r>
    <s v="B-26598"/>
    <x v="586"/>
    <n v="1093"/>
    <n v="397"/>
    <n v="0.363220494053065"/>
    <n v="17"/>
    <x v="0"/>
    <x v="1"/>
    <x v="3"/>
    <d v="2022-02-22T00:00:00"/>
    <x v="5"/>
    <s v="Columbus"/>
    <x v="7"/>
    <x v="3"/>
  </r>
  <r>
    <s v="B-26598"/>
    <x v="584"/>
    <n v="2636"/>
    <n v="88"/>
    <n v="3.33839150227618E-2"/>
    <n v="11"/>
    <x v="1"/>
    <x v="8"/>
    <x v="1"/>
    <d v="2024-03-27T00:00:00"/>
    <x v="1"/>
    <s v="Peoria"/>
    <x v="6"/>
    <x v="1"/>
  </r>
  <r>
    <s v="B-26598"/>
    <x v="585"/>
    <n v="2636"/>
    <n v="88"/>
    <n v="3.33839150227618E-2"/>
    <n v="11"/>
    <x v="1"/>
    <x v="8"/>
    <x v="1"/>
    <d v="2024-09-01T00:00:00"/>
    <x v="2"/>
    <s v="Buffalo"/>
    <x v="10"/>
    <x v="1"/>
  </r>
  <r>
    <s v="B-26598"/>
    <x v="586"/>
    <n v="2636"/>
    <n v="88"/>
    <n v="3.33839150227618E-2"/>
    <n v="11"/>
    <x v="1"/>
    <x v="8"/>
    <x v="1"/>
    <d v="2022-02-22T00:00:00"/>
    <x v="5"/>
    <s v="Columbus"/>
    <x v="7"/>
    <x v="3"/>
  </r>
  <r>
    <s v="B-26643"/>
    <x v="587"/>
    <n v="7344"/>
    <n v="2251"/>
    <n v="0.30650871459695"/>
    <n v="7"/>
    <x v="0"/>
    <x v="0"/>
    <x v="1"/>
    <d v="2022-02-11T00:00:00"/>
    <x v="0"/>
    <s v="Miami"/>
    <x v="7"/>
    <x v="3"/>
  </r>
  <r>
    <s v="B-26643"/>
    <x v="587"/>
    <n v="7306"/>
    <n v="1547"/>
    <n v="0.21174377224199301"/>
    <n v="3"/>
    <x v="1"/>
    <x v="8"/>
    <x v="4"/>
    <d v="2022-02-11T00:00:00"/>
    <x v="0"/>
    <s v="Miami"/>
    <x v="7"/>
    <x v="3"/>
  </r>
  <r>
    <s v="B-26643"/>
    <x v="587"/>
    <n v="5832"/>
    <n v="2588"/>
    <n v="0.44375857338820301"/>
    <n v="10"/>
    <x v="0"/>
    <x v="1"/>
    <x v="4"/>
    <d v="2022-02-11T00:00:00"/>
    <x v="0"/>
    <s v="Miami"/>
    <x v="7"/>
    <x v="3"/>
  </r>
  <r>
    <s v="B-25992"/>
    <x v="588"/>
    <n v="8572"/>
    <n v="2041"/>
    <n v="0.238100793280448"/>
    <n v="8"/>
    <x v="2"/>
    <x v="4"/>
    <x v="2"/>
    <d v="2021-05-27T00:00:00"/>
    <x v="1"/>
    <s v="Springfield"/>
    <x v="3"/>
    <x v="2"/>
  </r>
  <r>
    <s v="B-25992"/>
    <x v="589"/>
    <n v="8572"/>
    <n v="2041"/>
    <n v="0.238100793280448"/>
    <n v="8"/>
    <x v="2"/>
    <x v="4"/>
    <x v="2"/>
    <d v="2023-07-05T00:00:00"/>
    <x v="1"/>
    <s v="Springfield"/>
    <x v="2"/>
    <x v="0"/>
  </r>
  <r>
    <s v="B-25992"/>
    <x v="590"/>
    <n v="8572"/>
    <n v="2041"/>
    <n v="0.238100793280448"/>
    <n v="8"/>
    <x v="2"/>
    <x v="4"/>
    <x v="2"/>
    <d v="2020-10-27T00:00:00"/>
    <x v="3"/>
    <s v="San Diego"/>
    <x v="4"/>
    <x v="4"/>
  </r>
  <r>
    <s v="B-25992"/>
    <x v="588"/>
    <n v="8059"/>
    <n v="1834"/>
    <n v="0.227571659014766"/>
    <n v="10"/>
    <x v="0"/>
    <x v="1"/>
    <x v="3"/>
    <d v="2021-05-27T00:00:00"/>
    <x v="1"/>
    <s v="Springfield"/>
    <x v="3"/>
    <x v="2"/>
  </r>
  <r>
    <s v="B-25992"/>
    <x v="589"/>
    <n v="8059"/>
    <n v="1834"/>
    <n v="0.227571659014766"/>
    <n v="10"/>
    <x v="0"/>
    <x v="1"/>
    <x v="3"/>
    <d v="2023-07-05T00:00:00"/>
    <x v="1"/>
    <s v="Springfield"/>
    <x v="2"/>
    <x v="0"/>
  </r>
  <r>
    <s v="B-25992"/>
    <x v="590"/>
    <n v="8059"/>
    <n v="1834"/>
    <n v="0.227571659014766"/>
    <n v="10"/>
    <x v="0"/>
    <x v="1"/>
    <x v="3"/>
    <d v="2020-10-27T00:00:00"/>
    <x v="3"/>
    <s v="San Diego"/>
    <x v="4"/>
    <x v="4"/>
  </r>
  <r>
    <s v="B-25532"/>
    <x v="591"/>
    <n v="3661"/>
    <n v="436"/>
    <n v="0.11909314394973999"/>
    <n v="13"/>
    <x v="2"/>
    <x v="7"/>
    <x v="2"/>
    <d v="2023-01-26T00:00:00"/>
    <x v="4"/>
    <s v="Austin"/>
    <x v="8"/>
    <x v="0"/>
  </r>
  <r>
    <s v="B-25564"/>
    <x v="592"/>
    <n v="2451"/>
    <n v="342"/>
    <n v="0.13953488372093001"/>
    <n v="8"/>
    <x v="1"/>
    <x v="8"/>
    <x v="2"/>
    <d v="2021-09-06T00:00:00"/>
    <x v="3"/>
    <s v="Los Angeles"/>
    <x v="10"/>
    <x v="2"/>
  </r>
  <r>
    <s v="B-25564"/>
    <x v="593"/>
    <n v="2451"/>
    <n v="342"/>
    <n v="0.13953488372093001"/>
    <n v="8"/>
    <x v="1"/>
    <x v="8"/>
    <x v="2"/>
    <d v="2021-11-12T00:00:00"/>
    <x v="5"/>
    <s v="Cincinnati"/>
    <x v="5"/>
    <x v="2"/>
  </r>
  <r>
    <s v="B-25564"/>
    <x v="594"/>
    <n v="2451"/>
    <n v="342"/>
    <n v="0.13953488372093001"/>
    <n v="8"/>
    <x v="1"/>
    <x v="8"/>
    <x v="2"/>
    <d v="2024-07-30T00:00:00"/>
    <x v="4"/>
    <s v="Houston"/>
    <x v="2"/>
    <x v="1"/>
  </r>
  <r>
    <s v="B-26543"/>
    <x v="595"/>
    <n v="7067"/>
    <n v="1943"/>
    <n v="0.27493986132729598"/>
    <n v="16"/>
    <x v="2"/>
    <x v="4"/>
    <x v="3"/>
    <d v="2022-03-15T00:00:00"/>
    <x v="3"/>
    <s v="San Francisco"/>
    <x v="6"/>
    <x v="3"/>
  </r>
  <r>
    <s v="B-25976"/>
    <x v="596"/>
    <n v="4307"/>
    <n v="615"/>
    <n v="0.142790805665196"/>
    <n v="3"/>
    <x v="0"/>
    <x v="0"/>
    <x v="0"/>
    <d v="2024-03-15T00:00:00"/>
    <x v="2"/>
    <s v="New York City"/>
    <x v="6"/>
    <x v="1"/>
  </r>
  <r>
    <s v="B-25976"/>
    <x v="597"/>
    <n v="4307"/>
    <n v="615"/>
    <n v="0.142790805665196"/>
    <n v="3"/>
    <x v="0"/>
    <x v="0"/>
    <x v="0"/>
    <d v="2020-11-10T00:00:00"/>
    <x v="1"/>
    <s v="Springfield"/>
    <x v="5"/>
    <x v="4"/>
  </r>
  <r>
    <s v="B-25976"/>
    <x v="596"/>
    <n v="5694"/>
    <n v="1134"/>
    <n v="0.199157007376185"/>
    <n v="5"/>
    <x v="2"/>
    <x v="5"/>
    <x v="2"/>
    <d v="2024-03-15T00:00:00"/>
    <x v="2"/>
    <s v="New York City"/>
    <x v="6"/>
    <x v="1"/>
  </r>
  <r>
    <s v="B-25976"/>
    <x v="597"/>
    <n v="5694"/>
    <n v="1134"/>
    <n v="0.199157007376185"/>
    <n v="5"/>
    <x v="2"/>
    <x v="5"/>
    <x v="2"/>
    <d v="2020-11-10T00:00:00"/>
    <x v="1"/>
    <s v="Springfield"/>
    <x v="5"/>
    <x v="4"/>
  </r>
  <r>
    <s v="B-25929"/>
    <x v="598"/>
    <n v="962"/>
    <n v="298"/>
    <n v="0.30977130977131001"/>
    <n v="18"/>
    <x v="1"/>
    <x v="9"/>
    <x v="3"/>
    <d v="2022-07-23T00:00:00"/>
    <x v="1"/>
    <s v="Springfield"/>
    <x v="2"/>
    <x v="3"/>
  </r>
  <r>
    <s v="B-25497"/>
    <x v="599"/>
    <n v="2995"/>
    <n v="220"/>
    <n v="7.3455759599332204E-2"/>
    <n v="14"/>
    <x v="2"/>
    <x v="11"/>
    <x v="3"/>
    <d v="2024-09-13T00:00:00"/>
    <x v="2"/>
    <s v="Buffalo"/>
    <x v="10"/>
    <x v="1"/>
  </r>
  <r>
    <s v="B-25497"/>
    <x v="599"/>
    <n v="2047"/>
    <n v="914"/>
    <n v="0.44650708353688301"/>
    <n v="5"/>
    <x v="1"/>
    <x v="6"/>
    <x v="1"/>
    <d v="2024-09-13T00:00:00"/>
    <x v="2"/>
    <s v="Buffalo"/>
    <x v="10"/>
    <x v="1"/>
  </r>
  <r>
    <s v="B-26735"/>
    <x v="600"/>
    <n v="2078"/>
    <n v="612"/>
    <n v="0.29451395572666"/>
    <n v="6"/>
    <x v="0"/>
    <x v="3"/>
    <x v="4"/>
    <d v="2022-01-25T00:00:00"/>
    <x v="4"/>
    <s v="Austin"/>
    <x v="8"/>
    <x v="3"/>
  </r>
  <r>
    <s v="B-25036"/>
    <x v="601"/>
    <n v="2737"/>
    <n v="1253"/>
    <n v="0.45780051150895101"/>
    <n v="3"/>
    <x v="0"/>
    <x v="1"/>
    <x v="2"/>
    <d v="2021-04-19T00:00:00"/>
    <x v="2"/>
    <s v="New York City"/>
    <x v="11"/>
    <x v="2"/>
  </r>
  <r>
    <s v="B-25971"/>
    <x v="602"/>
    <n v="8194"/>
    <n v="2881"/>
    <n v="0.35159873077861797"/>
    <n v="6"/>
    <x v="1"/>
    <x v="8"/>
    <x v="1"/>
    <d v="2021-07-18T00:00:00"/>
    <x v="4"/>
    <s v="Houston"/>
    <x v="2"/>
    <x v="2"/>
  </r>
  <r>
    <s v="B-25441"/>
    <x v="603"/>
    <n v="9914"/>
    <n v="3858"/>
    <n v="0.38914666128706898"/>
    <n v="16"/>
    <x v="2"/>
    <x v="7"/>
    <x v="3"/>
    <d v="2022-06-24T00:00:00"/>
    <x v="2"/>
    <s v="Buffalo"/>
    <x v="0"/>
    <x v="3"/>
  </r>
  <r>
    <s v="B-25441"/>
    <x v="604"/>
    <n v="9914"/>
    <n v="3858"/>
    <n v="0.38914666128706898"/>
    <n v="16"/>
    <x v="2"/>
    <x v="7"/>
    <x v="3"/>
    <d v="2024-06-08T00:00:00"/>
    <x v="2"/>
    <s v="Rochester"/>
    <x v="0"/>
    <x v="1"/>
  </r>
  <r>
    <s v="B-25441"/>
    <x v="603"/>
    <n v="5470"/>
    <n v="292"/>
    <n v="5.3382084095064002E-2"/>
    <n v="7"/>
    <x v="1"/>
    <x v="2"/>
    <x v="1"/>
    <d v="2022-06-24T00:00:00"/>
    <x v="2"/>
    <s v="Buffalo"/>
    <x v="0"/>
    <x v="3"/>
  </r>
  <r>
    <s v="B-25441"/>
    <x v="604"/>
    <n v="5470"/>
    <n v="292"/>
    <n v="5.3382084095064002E-2"/>
    <n v="7"/>
    <x v="1"/>
    <x v="2"/>
    <x v="1"/>
    <d v="2024-06-08T00:00:00"/>
    <x v="2"/>
    <s v="Rochester"/>
    <x v="0"/>
    <x v="1"/>
  </r>
  <r>
    <s v="B-25441"/>
    <x v="603"/>
    <n v="1496"/>
    <n v="662"/>
    <n v="0.44251336898395699"/>
    <n v="17"/>
    <x v="2"/>
    <x v="11"/>
    <x v="0"/>
    <d v="2022-06-24T00:00:00"/>
    <x v="2"/>
    <s v="Buffalo"/>
    <x v="0"/>
    <x v="3"/>
  </r>
  <r>
    <s v="B-25441"/>
    <x v="604"/>
    <n v="1496"/>
    <n v="662"/>
    <n v="0.44251336898395699"/>
    <n v="17"/>
    <x v="2"/>
    <x v="11"/>
    <x v="0"/>
    <d v="2024-06-08T00:00:00"/>
    <x v="2"/>
    <s v="Rochester"/>
    <x v="0"/>
    <x v="1"/>
  </r>
  <r>
    <s v="B-25823"/>
    <x v="605"/>
    <n v="3228"/>
    <n v="476"/>
    <n v="0.14745972738537799"/>
    <n v="9"/>
    <x v="1"/>
    <x v="8"/>
    <x v="4"/>
    <d v="2022-09-29T00:00:00"/>
    <x v="2"/>
    <s v="New York City"/>
    <x v="10"/>
    <x v="3"/>
  </r>
  <r>
    <s v="B-25363"/>
    <x v="606"/>
    <n v="3918"/>
    <n v="749"/>
    <n v="0.191168963757019"/>
    <n v="8"/>
    <x v="0"/>
    <x v="3"/>
    <x v="3"/>
    <d v="2023-05-10T00:00:00"/>
    <x v="3"/>
    <s v="San Diego"/>
    <x v="3"/>
    <x v="0"/>
  </r>
  <r>
    <s v="B-25363"/>
    <x v="607"/>
    <n v="3918"/>
    <n v="749"/>
    <n v="0.191168963757019"/>
    <n v="8"/>
    <x v="0"/>
    <x v="3"/>
    <x v="3"/>
    <d v="2020-05-02T00:00:00"/>
    <x v="4"/>
    <s v="Houston"/>
    <x v="3"/>
    <x v="4"/>
  </r>
  <r>
    <s v="B-26445"/>
    <x v="608"/>
    <n v="9921"/>
    <n v="1451"/>
    <n v="0.14625541780062501"/>
    <n v="15"/>
    <x v="2"/>
    <x v="7"/>
    <x v="2"/>
    <d v="2021-04-12T00:00:00"/>
    <x v="1"/>
    <s v="Chicago"/>
    <x v="11"/>
    <x v="2"/>
  </r>
  <r>
    <s v="B-26724"/>
    <x v="609"/>
    <n v="9694"/>
    <n v="4361"/>
    <n v="0.44986589643078201"/>
    <n v="1"/>
    <x v="2"/>
    <x v="5"/>
    <x v="2"/>
    <d v="2023-11-04T00:00:00"/>
    <x v="1"/>
    <s v="Springfield"/>
    <x v="5"/>
    <x v="0"/>
  </r>
  <r>
    <s v="B-25447"/>
    <x v="610"/>
    <n v="5028"/>
    <n v="1553"/>
    <n v="0.30887032617342902"/>
    <n v="13"/>
    <x v="1"/>
    <x v="8"/>
    <x v="2"/>
    <d v="2020-05-04T00:00:00"/>
    <x v="0"/>
    <s v="Tampa"/>
    <x v="3"/>
    <x v="4"/>
  </r>
  <r>
    <s v="B-26904"/>
    <x v="611"/>
    <n v="594"/>
    <n v="67"/>
    <n v="0.112794612794613"/>
    <n v="19"/>
    <x v="1"/>
    <x v="8"/>
    <x v="1"/>
    <d v="2023-09-10T00:00:00"/>
    <x v="2"/>
    <s v="Buffalo"/>
    <x v="10"/>
    <x v="0"/>
  </r>
  <r>
    <s v="B-26904"/>
    <x v="612"/>
    <n v="594"/>
    <n v="67"/>
    <n v="0.112794612794613"/>
    <n v="19"/>
    <x v="1"/>
    <x v="8"/>
    <x v="1"/>
    <d v="2024-01-05T00:00:00"/>
    <x v="0"/>
    <s v="Miami"/>
    <x v="8"/>
    <x v="1"/>
  </r>
  <r>
    <s v="B-26904"/>
    <x v="613"/>
    <n v="594"/>
    <n v="67"/>
    <n v="0.112794612794613"/>
    <n v="19"/>
    <x v="1"/>
    <x v="8"/>
    <x v="1"/>
    <d v="2024-05-08T00:00:00"/>
    <x v="4"/>
    <s v="Austin"/>
    <x v="3"/>
    <x v="1"/>
  </r>
  <r>
    <s v="B-26456"/>
    <x v="614"/>
    <n v="5954"/>
    <n v="2618"/>
    <n v="0.43970440040309"/>
    <n v="11"/>
    <x v="2"/>
    <x v="4"/>
    <x v="4"/>
    <d v="2024-03-30T00:00:00"/>
    <x v="5"/>
    <s v="Cincinnati"/>
    <x v="6"/>
    <x v="1"/>
  </r>
  <r>
    <s v="B-25435"/>
    <x v="615"/>
    <n v="3518"/>
    <n v="1051"/>
    <n v="0.29874928936896"/>
    <n v="3"/>
    <x v="2"/>
    <x v="11"/>
    <x v="0"/>
    <d v="2020-09-10T00:00:00"/>
    <x v="3"/>
    <s v="San Francisco"/>
    <x v="10"/>
    <x v="4"/>
  </r>
  <r>
    <s v="B-25435"/>
    <x v="615"/>
    <n v="4157"/>
    <n v="1874"/>
    <n v="0.45080586961751301"/>
    <n v="8"/>
    <x v="0"/>
    <x v="3"/>
    <x v="2"/>
    <d v="2020-09-10T00:00:00"/>
    <x v="3"/>
    <s v="San Francisco"/>
    <x v="10"/>
    <x v="4"/>
  </r>
  <r>
    <s v="B-26279"/>
    <x v="616"/>
    <n v="3747"/>
    <n v="410"/>
    <n v="0.10942087002935701"/>
    <n v="5"/>
    <x v="1"/>
    <x v="6"/>
    <x v="3"/>
    <d v="2020-07-12T00:00:00"/>
    <x v="1"/>
    <s v="Springfield"/>
    <x v="2"/>
    <x v="4"/>
  </r>
  <r>
    <s v="B-26279"/>
    <x v="617"/>
    <n v="3747"/>
    <n v="410"/>
    <n v="0.10942087002935701"/>
    <n v="5"/>
    <x v="1"/>
    <x v="6"/>
    <x v="3"/>
    <d v="2022-12-08T00:00:00"/>
    <x v="2"/>
    <s v="Buffalo"/>
    <x v="1"/>
    <x v="3"/>
  </r>
  <r>
    <s v="B-26279"/>
    <x v="618"/>
    <n v="3747"/>
    <n v="410"/>
    <n v="0.10942087002935701"/>
    <n v="5"/>
    <x v="1"/>
    <x v="6"/>
    <x v="3"/>
    <d v="2024-03-27T00:00:00"/>
    <x v="5"/>
    <s v="Columbus"/>
    <x v="6"/>
    <x v="1"/>
  </r>
  <r>
    <s v="B-26279"/>
    <x v="619"/>
    <n v="3747"/>
    <n v="410"/>
    <n v="0.10942087002935701"/>
    <n v="5"/>
    <x v="1"/>
    <x v="6"/>
    <x v="3"/>
    <d v="2023-02-17T00:00:00"/>
    <x v="1"/>
    <s v="Chicago"/>
    <x v="7"/>
    <x v="0"/>
  </r>
  <r>
    <s v="B-26279"/>
    <x v="620"/>
    <n v="3747"/>
    <n v="410"/>
    <n v="0.10942087002935701"/>
    <n v="5"/>
    <x v="1"/>
    <x v="6"/>
    <x v="3"/>
    <d v="2021-07-21T00:00:00"/>
    <x v="3"/>
    <s v="Los Angeles"/>
    <x v="2"/>
    <x v="2"/>
  </r>
  <r>
    <s v="B-26279"/>
    <x v="616"/>
    <n v="3194"/>
    <n v="534"/>
    <n v="0.16718847839699399"/>
    <n v="4"/>
    <x v="1"/>
    <x v="9"/>
    <x v="0"/>
    <d v="2020-07-12T00:00:00"/>
    <x v="1"/>
    <s v="Springfield"/>
    <x v="2"/>
    <x v="4"/>
  </r>
  <r>
    <s v="B-26279"/>
    <x v="617"/>
    <n v="3194"/>
    <n v="534"/>
    <n v="0.16718847839699399"/>
    <n v="4"/>
    <x v="1"/>
    <x v="9"/>
    <x v="0"/>
    <d v="2022-12-08T00:00:00"/>
    <x v="2"/>
    <s v="Buffalo"/>
    <x v="1"/>
    <x v="3"/>
  </r>
  <r>
    <s v="B-26279"/>
    <x v="618"/>
    <n v="3194"/>
    <n v="534"/>
    <n v="0.16718847839699399"/>
    <n v="4"/>
    <x v="1"/>
    <x v="9"/>
    <x v="0"/>
    <d v="2024-03-27T00:00:00"/>
    <x v="5"/>
    <s v="Columbus"/>
    <x v="6"/>
    <x v="1"/>
  </r>
  <r>
    <s v="B-26279"/>
    <x v="619"/>
    <n v="3194"/>
    <n v="534"/>
    <n v="0.16718847839699399"/>
    <n v="4"/>
    <x v="1"/>
    <x v="9"/>
    <x v="0"/>
    <d v="2023-02-17T00:00:00"/>
    <x v="1"/>
    <s v="Chicago"/>
    <x v="7"/>
    <x v="0"/>
  </r>
  <r>
    <s v="B-26279"/>
    <x v="620"/>
    <n v="3194"/>
    <n v="534"/>
    <n v="0.16718847839699399"/>
    <n v="4"/>
    <x v="1"/>
    <x v="9"/>
    <x v="0"/>
    <d v="2021-07-21T00:00:00"/>
    <x v="3"/>
    <s v="Los Angeles"/>
    <x v="2"/>
    <x v="2"/>
  </r>
  <r>
    <s v="B-25770"/>
    <x v="621"/>
    <n v="8548"/>
    <n v="2305"/>
    <n v="0.26965372016846001"/>
    <n v="1"/>
    <x v="1"/>
    <x v="9"/>
    <x v="4"/>
    <d v="2022-10-30T00:00:00"/>
    <x v="0"/>
    <s v="Tampa"/>
    <x v="4"/>
    <x v="3"/>
  </r>
  <r>
    <s v="B-25715"/>
    <x v="622"/>
    <n v="6089"/>
    <n v="139"/>
    <n v="2.2828050583018601E-2"/>
    <n v="19"/>
    <x v="2"/>
    <x v="4"/>
    <x v="1"/>
    <d v="2020-12-31T00:00:00"/>
    <x v="5"/>
    <s v="Cincinnati"/>
    <x v="1"/>
    <x v="4"/>
  </r>
  <r>
    <s v="B-25715"/>
    <x v="623"/>
    <n v="6089"/>
    <n v="139"/>
    <n v="2.2828050583018601E-2"/>
    <n v="19"/>
    <x v="2"/>
    <x v="4"/>
    <x v="1"/>
    <d v="2022-04-15T00:00:00"/>
    <x v="5"/>
    <s v="Cleveland"/>
    <x v="11"/>
    <x v="3"/>
  </r>
  <r>
    <s v="B-25715"/>
    <x v="624"/>
    <n v="6089"/>
    <n v="139"/>
    <n v="2.2828050583018601E-2"/>
    <n v="19"/>
    <x v="2"/>
    <x v="4"/>
    <x v="1"/>
    <d v="2023-04-05T00:00:00"/>
    <x v="1"/>
    <s v="Chicago"/>
    <x v="11"/>
    <x v="0"/>
  </r>
  <r>
    <s v="B-25715"/>
    <x v="622"/>
    <n v="2586"/>
    <n v="800"/>
    <n v="0.30935808197989201"/>
    <n v="16"/>
    <x v="2"/>
    <x v="4"/>
    <x v="0"/>
    <d v="2020-12-31T00:00:00"/>
    <x v="5"/>
    <s v="Cincinnati"/>
    <x v="1"/>
    <x v="4"/>
  </r>
  <r>
    <s v="B-25715"/>
    <x v="623"/>
    <n v="2586"/>
    <n v="800"/>
    <n v="0.30935808197989201"/>
    <n v="16"/>
    <x v="2"/>
    <x v="4"/>
    <x v="0"/>
    <d v="2022-04-15T00:00:00"/>
    <x v="5"/>
    <s v="Cleveland"/>
    <x v="11"/>
    <x v="3"/>
  </r>
  <r>
    <s v="B-25715"/>
    <x v="624"/>
    <n v="2586"/>
    <n v="800"/>
    <n v="0.30935808197989201"/>
    <n v="16"/>
    <x v="2"/>
    <x v="4"/>
    <x v="0"/>
    <d v="2023-04-05T00:00:00"/>
    <x v="1"/>
    <s v="Chicago"/>
    <x v="11"/>
    <x v="0"/>
  </r>
  <r>
    <s v="B-25715"/>
    <x v="622"/>
    <n v="3757"/>
    <n v="1626"/>
    <n v="0.43279212137343598"/>
    <n v="9"/>
    <x v="1"/>
    <x v="8"/>
    <x v="0"/>
    <d v="2020-12-31T00:00:00"/>
    <x v="5"/>
    <s v="Cincinnati"/>
    <x v="1"/>
    <x v="4"/>
  </r>
  <r>
    <s v="B-25715"/>
    <x v="623"/>
    <n v="3757"/>
    <n v="1626"/>
    <n v="0.43279212137343598"/>
    <n v="9"/>
    <x v="1"/>
    <x v="8"/>
    <x v="0"/>
    <d v="2022-04-15T00:00:00"/>
    <x v="5"/>
    <s v="Cleveland"/>
    <x v="11"/>
    <x v="3"/>
  </r>
  <r>
    <s v="B-25715"/>
    <x v="624"/>
    <n v="3757"/>
    <n v="1626"/>
    <n v="0.43279212137343598"/>
    <n v="9"/>
    <x v="1"/>
    <x v="8"/>
    <x v="0"/>
    <d v="2023-04-05T00:00:00"/>
    <x v="1"/>
    <s v="Chicago"/>
    <x v="11"/>
    <x v="0"/>
  </r>
  <r>
    <s v="B-26961"/>
    <x v="625"/>
    <n v="5193"/>
    <n v="2530"/>
    <n v="0.48719430001925701"/>
    <n v="5"/>
    <x v="2"/>
    <x v="7"/>
    <x v="1"/>
    <d v="2021-10-29T00:00:00"/>
    <x v="3"/>
    <s v="San Diego"/>
    <x v="4"/>
    <x v="2"/>
  </r>
  <r>
    <s v="B-26961"/>
    <x v="626"/>
    <n v="5193"/>
    <n v="2530"/>
    <n v="0.48719430001925701"/>
    <n v="5"/>
    <x v="2"/>
    <x v="7"/>
    <x v="1"/>
    <d v="2024-12-29T00:00:00"/>
    <x v="0"/>
    <s v="Miami"/>
    <x v="1"/>
    <x v="1"/>
  </r>
  <r>
    <s v="B-25902"/>
    <x v="627"/>
    <n v="7493"/>
    <n v="96"/>
    <n v="1.2811957827305501E-2"/>
    <n v="3"/>
    <x v="0"/>
    <x v="0"/>
    <x v="0"/>
    <d v="2020-08-11T00:00:00"/>
    <x v="5"/>
    <s v="Cleveland"/>
    <x v="9"/>
    <x v="4"/>
  </r>
  <r>
    <s v="B-26321"/>
    <x v="628"/>
    <n v="2062"/>
    <n v="848"/>
    <n v="0.41125121241513102"/>
    <n v="6"/>
    <x v="1"/>
    <x v="6"/>
    <x v="3"/>
    <d v="2024-03-04T00:00:00"/>
    <x v="0"/>
    <s v="Tampa"/>
    <x v="6"/>
    <x v="1"/>
  </r>
  <r>
    <s v="B-25612"/>
    <x v="629"/>
    <n v="7163"/>
    <n v="1536"/>
    <n v="0.21443529247522"/>
    <n v="1"/>
    <x v="0"/>
    <x v="10"/>
    <x v="2"/>
    <d v="2023-10-17T00:00:00"/>
    <x v="3"/>
    <s v="San Diego"/>
    <x v="4"/>
    <x v="0"/>
  </r>
  <r>
    <s v="B-25605"/>
    <x v="630"/>
    <n v="4026"/>
    <n v="163"/>
    <n v="4.0486835568802802E-2"/>
    <n v="6"/>
    <x v="0"/>
    <x v="10"/>
    <x v="4"/>
    <d v="2023-07-28T00:00:00"/>
    <x v="2"/>
    <s v="New York City"/>
    <x v="2"/>
    <x v="0"/>
  </r>
  <r>
    <s v="B-25810"/>
    <x v="631"/>
    <n v="1894"/>
    <n v="275"/>
    <n v="0.14519535374868001"/>
    <n v="5"/>
    <x v="2"/>
    <x v="5"/>
    <x v="3"/>
    <d v="2021-11-27T00:00:00"/>
    <x v="0"/>
    <s v="Miami"/>
    <x v="5"/>
    <x v="2"/>
  </r>
  <r>
    <s v="B-25810"/>
    <x v="631"/>
    <n v="7144"/>
    <n v="192"/>
    <n v="2.6875699888017902E-2"/>
    <n v="13"/>
    <x v="0"/>
    <x v="0"/>
    <x v="3"/>
    <d v="2021-11-27T00:00:00"/>
    <x v="0"/>
    <s v="Miami"/>
    <x v="5"/>
    <x v="2"/>
  </r>
  <r>
    <s v="B-25935"/>
    <x v="632"/>
    <n v="3482"/>
    <n v="1554"/>
    <n v="0.44629523262492798"/>
    <n v="15"/>
    <x v="0"/>
    <x v="3"/>
    <x v="1"/>
    <d v="2020-09-09T00:00:00"/>
    <x v="5"/>
    <s v="Columbus"/>
    <x v="10"/>
    <x v="4"/>
  </r>
  <r>
    <s v="B-26245"/>
    <x v="633"/>
    <n v="4172"/>
    <n v="235"/>
    <n v="5.6327900287631801E-2"/>
    <n v="5"/>
    <x v="1"/>
    <x v="8"/>
    <x v="2"/>
    <d v="2021-06-02T00:00:00"/>
    <x v="5"/>
    <s v="Cleveland"/>
    <x v="0"/>
    <x v="2"/>
  </r>
  <r>
    <s v="B-26245"/>
    <x v="634"/>
    <n v="4172"/>
    <n v="235"/>
    <n v="5.6327900287631801E-2"/>
    <n v="5"/>
    <x v="1"/>
    <x v="8"/>
    <x v="2"/>
    <d v="2022-08-22T00:00:00"/>
    <x v="0"/>
    <s v="Orlando"/>
    <x v="9"/>
    <x v="3"/>
  </r>
  <r>
    <s v="B-26245"/>
    <x v="635"/>
    <n v="4172"/>
    <n v="235"/>
    <n v="5.6327900287631801E-2"/>
    <n v="5"/>
    <x v="1"/>
    <x v="8"/>
    <x v="2"/>
    <d v="2024-04-16T00:00:00"/>
    <x v="1"/>
    <s v="Springfield"/>
    <x v="11"/>
    <x v="1"/>
  </r>
  <r>
    <s v="B-25346"/>
    <x v="636"/>
    <n v="6265"/>
    <n v="155"/>
    <n v="2.4740622505985601E-2"/>
    <n v="8"/>
    <x v="2"/>
    <x v="7"/>
    <x v="4"/>
    <d v="2022-08-23T00:00:00"/>
    <x v="5"/>
    <s v="Cincinnati"/>
    <x v="9"/>
    <x v="3"/>
  </r>
  <r>
    <s v="B-25346"/>
    <x v="637"/>
    <n v="6265"/>
    <n v="155"/>
    <n v="2.4740622505985601E-2"/>
    <n v="8"/>
    <x v="2"/>
    <x v="7"/>
    <x v="4"/>
    <d v="2021-03-12T00:00:00"/>
    <x v="5"/>
    <s v="Cleveland"/>
    <x v="6"/>
    <x v="2"/>
  </r>
  <r>
    <s v="B-25594"/>
    <x v="638"/>
    <n v="2931"/>
    <n v="212"/>
    <n v="7.2330262708972998E-2"/>
    <n v="7"/>
    <x v="0"/>
    <x v="0"/>
    <x v="3"/>
    <d v="2024-06-26T00:00:00"/>
    <x v="1"/>
    <s v="Peoria"/>
    <x v="0"/>
    <x v="1"/>
  </r>
  <r>
    <s v="B-25594"/>
    <x v="639"/>
    <n v="2931"/>
    <n v="212"/>
    <n v="7.2330262708972998E-2"/>
    <n v="7"/>
    <x v="0"/>
    <x v="0"/>
    <x v="3"/>
    <d v="2023-12-08T00:00:00"/>
    <x v="0"/>
    <s v="Tampa"/>
    <x v="1"/>
    <x v="0"/>
  </r>
  <r>
    <s v="B-25471"/>
    <x v="640"/>
    <n v="1146"/>
    <n v="188"/>
    <n v="0.16404886561954601"/>
    <n v="9"/>
    <x v="2"/>
    <x v="5"/>
    <x v="1"/>
    <d v="2024-11-27T00:00:00"/>
    <x v="0"/>
    <s v="Tampa"/>
    <x v="5"/>
    <x v="1"/>
  </r>
  <r>
    <s v="B-25398"/>
    <x v="641"/>
    <n v="9215"/>
    <n v="767"/>
    <n v="8.3233857840477501E-2"/>
    <n v="13"/>
    <x v="0"/>
    <x v="1"/>
    <x v="4"/>
    <d v="2022-01-10T00:00:00"/>
    <x v="0"/>
    <s v="Tampa"/>
    <x v="8"/>
    <x v="3"/>
  </r>
  <r>
    <s v="B-25398"/>
    <x v="642"/>
    <n v="9215"/>
    <n v="767"/>
    <n v="8.3233857840477501E-2"/>
    <n v="13"/>
    <x v="0"/>
    <x v="1"/>
    <x v="4"/>
    <d v="2021-11-01T00:00:00"/>
    <x v="3"/>
    <s v="San Francisco"/>
    <x v="5"/>
    <x v="2"/>
  </r>
  <r>
    <s v="B-25999"/>
    <x v="643"/>
    <n v="7895"/>
    <n v="1005"/>
    <n v="0.12729575680810601"/>
    <n v="1"/>
    <x v="2"/>
    <x v="5"/>
    <x v="3"/>
    <d v="2023-10-28T00:00:00"/>
    <x v="5"/>
    <s v="Cincinnati"/>
    <x v="4"/>
    <x v="0"/>
  </r>
  <r>
    <s v="B-25999"/>
    <x v="644"/>
    <n v="7895"/>
    <n v="1005"/>
    <n v="0.12729575680810601"/>
    <n v="1"/>
    <x v="2"/>
    <x v="5"/>
    <x v="3"/>
    <d v="2025-03-01T00:00:00"/>
    <x v="3"/>
    <s v="San Diego"/>
    <x v="6"/>
    <x v="5"/>
  </r>
  <r>
    <s v="B-25999"/>
    <x v="643"/>
    <n v="2740"/>
    <n v="558"/>
    <n v="0.203649635036496"/>
    <n v="8"/>
    <x v="1"/>
    <x v="2"/>
    <x v="0"/>
    <d v="2023-10-28T00:00:00"/>
    <x v="5"/>
    <s v="Cincinnati"/>
    <x v="4"/>
    <x v="0"/>
  </r>
  <r>
    <s v="B-25999"/>
    <x v="644"/>
    <n v="2740"/>
    <n v="558"/>
    <n v="0.203649635036496"/>
    <n v="8"/>
    <x v="1"/>
    <x v="2"/>
    <x v="0"/>
    <d v="2025-03-01T00:00:00"/>
    <x v="3"/>
    <s v="San Diego"/>
    <x v="6"/>
    <x v="5"/>
  </r>
  <r>
    <s v="B-25159"/>
    <x v="645"/>
    <n v="5338"/>
    <n v="1354"/>
    <n v="0.25365305357811901"/>
    <n v="16"/>
    <x v="1"/>
    <x v="6"/>
    <x v="0"/>
    <d v="2024-08-01T00:00:00"/>
    <x v="1"/>
    <s v="Peoria"/>
    <x v="9"/>
    <x v="1"/>
  </r>
  <r>
    <s v="B-25159"/>
    <x v="646"/>
    <n v="5338"/>
    <n v="1354"/>
    <n v="0.25365305357811901"/>
    <n v="16"/>
    <x v="1"/>
    <x v="6"/>
    <x v="0"/>
    <d v="2023-06-07T00:00:00"/>
    <x v="2"/>
    <s v="Buffalo"/>
    <x v="0"/>
    <x v="0"/>
  </r>
  <r>
    <s v="B-25159"/>
    <x v="647"/>
    <n v="5338"/>
    <n v="1354"/>
    <n v="0.25365305357811901"/>
    <n v="16"/>
    <x v="1"/>
    <x v="6"/>
    <x v="0"/>
    <d v="2024-10-21T00:00:00"/>
    <x v="0"/>
    <s v="Orlando"/>
    <x v="4"/>
    <x v="1"/>
  </r>
  <r>
    <s v="B-25159"/>
    <x v="648"/>
    <n v="5338"/>
    <n v="1354"/>
    <n v="0.25365305357811901"/>
    <n v="16"/>
    <x v="1"/>
    <x v="6"/>
    <x v="0"/>
    <d v="2021-01-04T00:00:00"/>
    <x v="2"/>
    <s v="Buffalo"/>
    <x v="8"/>
    <x v="2"/>
  </r>
  <r>
    <s v="B-25496"/>
    <x v="649"/>
    <n v="3095"/>
    <n v="941"/>
    <n v="0.30403877221324699"/>
    <n v="2"/>
    <x v="1"/>
    <x v="2"/>
    <x v="2"/>
    <d v="2022-04-19T00:00:00"/>
    <x v="5"/>
    <s v="Cleveland"/>
    <x v="11"/>
    <x v="3"/>
  </r>
  <r>
    <s v="B-25496"/>
    <x v="650"/>
    <n v="3095"/>
    <n v="941"/>
    <n v="0.30403877221324699"/>
    <n v="2"/>
    <x v="1"/>
    <x v="2"/>
    <x v="2"/>
    <d v="2022-08-11T00:00:00"/>
    <x v="4"/>
    <s v="Austin"/>
    <x v="9"/>
    <x v="3"/>
  </r>
  <r>
    <s v="B-25401"/>
    <x v="651"/>
    <n v="6017"/>
    <n v="2230"/>
    <n v="0.37061658633870698"/>
    <n v="13"/>
    <x v="0"/>
    <x v="1"/>
    <x v="1"/>
    <d v="2023-08-04T00:00:00"/>
    <x v="1"/>
    <s v="Peoria"/>
    <x v="9"/>
    <x v="0"/>
  </r>
  <r>
    <s v="B-25707"/>
    <x v="652"/>
    <n v="4904"/>
    <n v="469"/>
    <n v="9.5636215334420904E-2"/>
    <n v="2"/>
    <x v="1"/>
    <x v="2"/>
    <x v="1"/>
    <d v="2020-04-25T00:00:00"/>
    <x v="4"/>
    <s v="Dallas"/>
    <x v="11"/>
    <x v="4"/>
  </r>
  <r>
    <s v="B-25707"/>
    <x v="652"/>
    <n v="3080"/>
    <n v="737"/>
    <n v="0.23928571428571399"/>
    <n v="6"/>
    <x v="1"/>
    <x v="9"/>
    <x v="0"/>
    <d v="2020-04-25T00:00:00"/>
    <x v="4"/>
    <s v="Dallas"/>
    <x v="11"/>
    <x v="4"/>
  </r>
  <r>
    <s v="B-26225"/>
    <x v="653"/>
    <n v="1992"/>
    <n v="355"/>
    <n v="0.17821285140562201"/>
    <n v="2"/>
    <x v="0"/>
    <x v="10"/>
    <x v="4"/>
    <d v="2024-12-14T00:00:00"/>
    <x v="0"/>
    <s v="Tampa"/>
    <x v="1"/>
    <x v="1"/>
  </r>
  <r>
    <s v="B-25662"/>
    <x v="654"/>
    <n v="5346"/>
    <n v="1246"/>
    <n v="0.23307145529367801"/>
    <n v="17"/>
    <x v="2"/>
    <x v="7"/>
    <x v="2"/>
    <d v="2022-07-25T00:00:00"/>
    <x v="0"/>
    <s v="Orlando"/>
    <x v="2"/>
    <x v="3"/>
  </r>
  <r>
    <s v="B-25662"/>
    <x v="655"/>
    <n v="5346"/>
    <n v="1246"/>
    <n v="0.23307145529367801"/>
    <n v="17"/>
    <x v="2"/>
    <x v="7"/>
    <x v="2"/>
    <d v="2022-05-07T00:00:00"/>
    <x v="0"/>
    <s v="Miami"/>
    <x v="3"/>
    <x v="3"/>
  </r>
  <r>
    <s v="B-26752"/>
    <x v="656"/>
    <n v="8422"/>
    <n v="893"/>
    <n v="0.10603182142009"/>
    <n v="18"/>
    <x v="0"/>
    <x v="1"/>
    <x v="1"/>
    <d v="2022-08-11T00:00:00"/>
    <x v="3"/>
    <s v="San Francisco"/>
    <x v="9"/>
    <x v="3"/>
  </r>
  <r>
    <s v="B-26752"/>
    <x v="657"/>
    <n v="8422"/>
    <n v="893"/>
    <n v="0.10603182142009"/>
    <n v="18"/>
    <x v="0"/>
    <x v="1"/>
    <x v="1"/>
    <d v="2022-08-12T00:00:00"/>
    <x v="5"/>
    <s v="Columbus"/>
    <x v="9"/>
    <x v="3"/>
  </r>
  <r>
    <s v="B-26752"/>
    <x v="656"/>
    <n v="6105"/>
    <n v="1447"/>
    <n v="0.237018837018837"/>
    <n v="8"/>
    <x v="2"/>
    <x v="11"/>
    <x v="3"/>
    <d v="2022-08-11T00:00:00"/>
    <x v="3"/>
    <s v="San Francisco"/>
    <x v="9"/>
    <x v="3"/>
  </r>
  <r>
    <s v="B-26752"/>
    <x v="657"/>
    <n v="6105"/>
    <n v="1447"/>
    <n v="0.237018837018837"/>
    <n v="8"/>
    <x v="2"/>
    <x v="11"/>
    <x v="3"/>
    <d v="2022-08-12T00:00:00"/>
    <x v="5"/>
    <s v="Columbus"/>
    <x v="9"/>
    <x v="3"/>
  </r>
  <r>
    <s v="B-25640"/>
    <x v="658"/>
    <n v="670"/>
    <n v="85"/>
    <n v="0.12686567164179099"/>
    <n v="9"/>
    <x v="1"/>
    <x v="2"/>
    <x v="2"/>
    <d v="2023-08-21T00:00:00"/>
    <x v="4"/>
    <s v="Houston"/>
    <x v="9"/>
    <x v="0"/>
  </r>
  <r>
    <s v="B-25030"/>
    <x v="659"/>
    <n v="4057"/>
    <n v="1012"/>
    <n v="0.24944540300714799"/>
    <n v="6"/>
    <x v="0"/>
    <x v="3"/>
    <x v="3"/>
    <d v="2022-09-12T00:00:00"/>
    <x v="3"/>
    <s v="San Diego"/>
    <x v="10"/>
    <x v="3"/>
  </r>
  <r>
    <s v="B-25504"/>
    <x v="660"/>
    <n v="8178"/>
    <n v="2462"/>
    <n v="0.30105160185864499"/>
    <n v="10"/>
    <x v="1"/>
    <x v="2"/>
    <x v="0"/>
    <d v="2023-08-20T00:00:00"/>
    <x v="3"/>
    <s v="Los Angeles"/>
    <x v="9"/>
    <x v="0"/>
  </r>
  <r>
    <s v="B-26912"/>
    <x v="661"/>
    <n v="8752"/>
    <n v="1686"/>
    <n v="0.19264168190128"/>
    <n v="9"/>
    <x v="2"/>
    <x v="4"/>
    <x v="1"/>
    <d v="2020-12-27T00:00:00"/>
    <x v="5"/>
    <s v="Cincinnati"/>
    <x v="1"/>
    <x v="4"/>
  </r>
  <r>
    <s v="B-26912"/>
    <x v="662"/>
    <n v="8752"/>
    <n v="1686"/>
    <n v="0.19264168190128"/>
    <n v="9"/>
    <x v="2"/>
    <x v="4"/>
    <x v="1"/>
    <d v="2023-09-04T00:00:00"/>
    <x v="1"/>
    <s v="Peoria"/>
    <x v="10"/>
    <x v="0"/>
  </r>
  <r>
    <s v="B-26912"/>
    <x v="663"/>
    <n v="8752"/>
    <n v="1686"/>
    <n v="0.19264168190128"/>
    <n v="9"/>
    <x v="2"/>
    <x v="4"/>
    <x v="1"/>
    <d v="2022-01-08T00:00:00"/>
    <x v="1"/>
    <s v="Chicago"/>
    <x v="8"/>
    <x v="3"/>
  </r>
  <r>
    <s v="B-25193"/>
    <x v="664"/>
    <n v="8974"/>
    <n v="4441"/>
    <n v="0.49487408067751298"/>
    <n v="16"/>
    <x v="0"/>
    <x v="1"/>
    <x v="2"/>
    <d v="2023-06-05T00:00:00"/>
    <x v="2"/>
    <s v="New York City"/>
    <x v="0"/>
    <x v="0"/>
  </r>
  <r>
    <s v="B-25106"/>
    <x v="665"/>
    <n v="9090"/>
    <n v="3098"/>
    <n v="0.34081408140814101"/>
    <n v="16"/>
    <x v="0"/>
    <x v="10"/>
    <x v="3"/>
    <d v="2021-04-01T00:00:00"/>
    <x v="4"/>
    <s v="Dallas"/>
    <x v="11"/>
    <x v="2"/>
  </r>
  <r>
    <s v="B-25106"/>
    <x v="666"/>
    <n v="9090"/>
    <n v="3098"/>
    <n v="0.34081408140814101"/>
    <n v="16"/>
    <x v="0"/>
    <x v="10"/>
    <x v="3"/>
    <d v="2024-05-28T00:00:00"/>
    <x v="1"/>
    <s v="Springfield"/>
    <x v="3"/>
    <x v="1"/>
  </r>
  <r>
    <s v="B-25106"/>
    <x v="665"/>
    <n v="851"/>
    <n v="356"/>
    <n v="0.418331374853114"/>
    <n v="11"/>
    <x v="0"/>
    <x v="0"/>
    <x v="3"/>
    <d v="2021-04-01T00:00:00"/>
    <x v="4"/>
    <s v="Dallas"/>
    <x v="11"/>
    <x v="2"/>
  </r>
  <r>
    <s v="B-25106"/>
    <x v="666"/>
    <n v="851"/>
    <n v="356"/>
    <n v="0.418331374853114"/>
    <n v="11"/>
    <x v="0"/>
    <x v="0"/>
    <x v="3"/>
    <d v="2024-05-28T00:00:00"/>
    <x v="1"/>
    <s v="Springfield"/>
    <x v="3"/>
    <x v="1"/>
  </r>
  <r>
    <s v="B-26835"/>
    <x v="667"/>
    <n v="5427"/>
    <n v="728"/>
    <n v="0.13414409434309901"/>
    <n v="3"/>
    <x v="0"/>
    <x v="10"/>
    <x v="0"/>
    <d v="2023-03-09T00:00:00"/>
    <x v="0"/>
    <s v="Miami"/>
    <x v="6"/>
    <x v="0"/>
  </r>
  <r>
    <s v="B-25836"/>
    <x v="668"/>
    <n v="2695"/>
    <n v="914"/>
    <n v="0.33914656771799601"/>
    <n v="15"/>
    <x v="2"/>
    <x v="11"/>
    <x v="1"/>
    <d v="2022-07-28T00:00:00"/>
    <x v="1"/>
    <s v="Peoria"/>
    <x v="2"/>
    <x v="3"/>
  </r>
  <r>
    <s v="B-25836"/>
    <x v="669"/>
    <n v="2695"/>
    <n v="914"/>
    <n v="0.33914656771799601"/>
    <n v="15"/>
    <x v="2"/>
    <x v="11"/>
    <x v="1"/>
    <d v="2021-06-17T00:00:00"/>
    <x v="3"/>
    <s v="Los Angeles"/>
    <x v="0"/>
    <x v="2"/>
  </r>
  <r>
    <s v="B-26661"/>
    <x v="670"/>
    <n v="2386"/>
    <n v="999"/>
    <n v="0.41869237217099797"/>
    <n v="3"/>
    <x v="1"/>
    <x v="2"/>
    <x v="4"/>
    <d v="2024-02-13T00:00:00"/>
    <x v="0"/>
    <s v="Miami"/>
    <x v="7"/>
    <x v="1"/>
  </r>
  <r>
    <s v="B-26317"/>
    <x v="671"/>
    <n v="2284"/>
    <n v="149"/>
    <n v="6.5236427320490398E-2"/>
    <n v="20"/>
    <x v="1"/>
    <x v="2"/>
    <x v="1"/>
    <d v="2021-08-06T00:00:00"/>
    <x v="2"/>
    <s v="Rochester"/>
    <x v="9"/>
    <x v="2"/>
  </r>
  <r>
    <s v="B-26839"/>
    <x v="672"/>
    <n v="6034"/>
    <n v="608"/>
    <n v="0.100762346702022"/>
    <n v="8"/>
    <x v="0"/>
    <x v="10"/>
    <x v="2"/>
    <d v="2022-05-01T00:00:00"/>
    <x v="4"/>
    <s v="Houston"/>
    <x v="3"/>
    <x v="3"/>
  </r>
  <r>
    <s v="B-26839"/>
    <x v="672"/>
    <n v="8956"/>
    <n v="3359"/>
    <n v="0.37505582849486402"/>
    <n v="13"/>
    <x v="2"/>
    <x v="11"/>
    <x v="3"/>
    <d v="2022-05-01T00:00:00"/>
    <x v="4"/>
    <s v="Houston"/>
    <x v="3"/>
    <x v="3"/>
  </r>
  <r>
    <s v="B-25735"/>
    <x v="673"/>
    <n v="7122"/>
    <n v="1982"/>
    <n v="0.27829261443414799"/>
    <n v="7"/>
    <x v="1"/>
    <x v="6"/>
    <x v="2"/>
    <d v="2024-03-11T00:00:00"/>
    <x v="1"/>
    <s v="Peoria"/>
    <x v="6"/>
    <x v="1"/>
  </r>
  <r>
    <s v="B-25387"/>
    <x v="674"/>
    <n v="9775"/>
    <n v="4507"/>
    <n v="0.46107416879795399"/>
    <n v="5"/>
    <x v="1"/>
    <x v="6"/>
    <x v="0"/>
    <d v="2020-07-06T00:00:00"/>
    <x v="5"/>
    <s v="Cincinnati"/>
    <x v="2"/>
    <x v="4"/>
  </r>
  <r>
    <s v="B-25192"/>
    <x v="675"/>
    <n v="3309"/>
    <n v="177"/>
    <n v="5.3490480507706301E-2"/>
    <n v="13"/>
    <x v="2"/>
    <x v="11"/>
    <x v="2"/>
    <d v="2020-12-17T00:00:00"/>
    <x v="5"/>
    <s v="Cleveland"/>
    <x v="1"/>
    <x v="4"/>
  </r>
  <r>
    <s v="B-26844"/>
    <x v="676"/>
    <n v="4163"/>
    <n v="897"/>
    <n v="0.21546961325966801"/>
    <n v="14"/>
    <x v="0"/>
    <x v="0"/>
    <x v="4"/>
    <d v="2022-08-30T00:00:00"/>
    <x v="1"/>
    <s v="Springfield"/>
    <x v="9"/>
    <x v="3"/>
  </r>
  <r>
    <s v="B-26844"/>
    <x v="677"/>
    <n v="4163"/>
    <n v="897"/>
    <n v="0.21546961325966801"/>
    <n v="14"/>
    <x v="0"/>
    <x v="0"/>
    <x v="4"/>
    <d v="2025-02-27T00:00:00"/>
    <x v="5"/>
    <s v="Cleveland"/>
    <x v="7"/>
    <x v="5"/>
  </r>
  <r>
    <s v="B-26844"/>
    <x v="678"/>
    <n v="4163"/>
    <n v="897"/>
    <n v="0.21546961325966801"/>
    <n v="14"/>
    <x v="0"/>
    <x v="0"/>
    <x v="4"/>
    <d v="2021-06-05T00:00:00"/>
    <x v="0"/>
    <s v="Orlando"/>
    <x v="0"/>
    <x v="2"/>
  </r>
  <r>
    <s v="B-25236"/>
    <x v="679"/>
    <n v="5518"/>
    <n v="867"/>
    <n v="0.15712214570496599"/>
    <n v="7"/>
    <x v="2"/>
    <x v="7"/>
    <x v="0"/>
    <d v="2022-12-22T00:00:00"/>
    <x v="4"/>
    <s v="Houston"/>
    <x v="1"/>
    <x v="3"/>
  </r>
  <r>
    <s v="B-25940"/>
    <x v="680"/>
    <n v="7566"/>
    <n v="606"/>
    <n v="8.0095162569389394E-2"/>
    <n v="6"/>
    <x v="0"/>
    <x v="10"/>
    <x v="1"/>
    <d v="2025-01-25T00:00:00"/>
    <x v="5"/>
    <s v="Columbus"/>
    <x v="8"/>
    <x v="5"/>
  </r>
  <r>
    <s v="B-25940"/>
    <x v="681"/>
    <n v="7566"/>
    <n v="606"/>
    <n v="8.0095162569389394E-2"/>
    <n v="6"/>
    <x v="0"/>
    <x v="10"/>
    <x v="1"/>
    <d v="2025-02-14T00:00:00"/>
    <x v="3"/>
    <s v="San Diego"/>
    <x v="7"/>
    <x v="5"/>
  </r>
  <r>
    <s v="B-26765"/>
    <x v="682"/>
    <n v="762"/>
    <n v="92"/>
    <n v="0.12073490813648299"/>
    <n v="11"/>
    <x v="0"/>
    <x v="1"/>
    <x v="4"/>
    <d v="2023-01-06T00:00:00"/>
    <x v="1"/>
    <s v="Springfield"/>
    <x v="8"/>
    <x v="0"/>
  </r>
  <r>
    <s v="B-26817"/>
    <x v="683"/>
    <n v="3316"/>
    <n v="126"/>
    <n v="3.7997587454764802E-2"/>
    <n v="6"/>
    <x v="0"/>
    <x v="3"/>
    <x v="4"/>
    <d v="2020-10-11T00:00:00"/>
    <x v="5"/>
    <s v="Cincinnati"/>
    <x v="4"/>
    <x v="4"/>
  </r>
  <r>
    <s v="B-26522"/>
    <x v="684"/>
    <n v="5994"/>
    <n v="2826"/>
    <n v="0.471471471471471"/>
    <n v="9"/>
    <x v="2"/>
    <x v="11"/>
    <x v="2"/>
    <d v="2023-05-24T00:00:00"/>
    <x v="3"/>
    <s v="San Francisco"/>
    <x v="3"/>
    <x v="0"/>
  </r>
  <r>
    <s v="B-26522"/>
    <x v="685"/>
    <n v="5994"/>
    <n v="2826"/>
    <n v="0.471471471471471"/>
    <n v="9"/>
    <x v="2"/>
    <x v="11"/>
    <x v="2"/>
    <d v="2024-03-12T00:00:00"/>
    <x v="3"/>
    <s v="Los Angeles"/>
    <x v="6"/>
    <x v="1"/>
  </r>
  <r>
    <s v="B-26522"/>
    <x v="686"/>
    <n v="5994"/>
    <n v="2826"/>
    <n v="0.471471471471471"/>
    <n v="9"/>
    <x v="2"/>
    <x v="11"/>
    <x v="2"/>
    <d v="2024-03-17T00:00:00"/>
    <x v="2"/>
    <s v="New York City"/>
    <x v="6"/>
    <x v="1"/>
  </r>
  <r>
    <s v="B-25681"/>
    <x v="687"/>
    <n v="3854"/>
    <n v="245"/>
    <n v="6.35703165542294E-2"/>
    <n v="19"/>
    <x v="0"/>
    <x v="3"/>
    <x v="4"/>
    <d v="2022-05-17T00:00:00"/>
    <x v="5"/>
    <s v="Columbus"/>
    <x v="3"/>
    <x v="3"/>
  </r>
  <r>
    <s v="B-25382"/>
    <x v="688"/>
    <n v="7019"/>
    <n v="2677"/>
    <n v="0.38139336087761799"/>
    <n v="15"/>
    <x v="1"/>
    <x v="6"/>
    <x v="0"/>
    <d v="2020-12-21T00:00:00"/>
    <x v="0"/>
    <s v="Miami"/>
    <x v="1"/>
    <x v="4"/>
  </r>
  <r>
    <s v="B-25944"/>
    <x v="689"/>
    <n v="5954"/>
    <n v="2640"/>
    <n v="0.44339939536446099"/>
    <n v="14"/>
    <x v="0"/>
    <x v="3"/>
    <x v="3"/>
    <d v="2021-08-24T00:00:00"/>
    <x v="2"/>
    <s v="New York City"/>
    <x v="9"/>
    <x v="2"/>
  </r>
  <r>
    <s v="B-25944"/>
    <x v="690"/>
    <n v="5954"/>
    <n v="2640"/>
    <n v="0.44339939536446099"/>
    <n v="14"/>
    <x v="0"/>
    <x v="3"/>
    <x v="3"/>
    <d v="2022-10-22T00:00:00"/>
    <x v="4"/>
    <s v="Dallas"/>
    <x v="4"/>
    <x v="3"/>
  </r>
  <r>
    <s v="B-26980"/>
    <x v="691"/>
    <n v="9752"/>
    <n v="3618"/>
    <n v="0.37100082034454501"/>
    <n v="5"/>
    <x v="2"/>
    <x v="11"/>
    <x v="1"/>
    <d v="2024-02-21T00:00:00"/>
    <x v="2"/>
    <s v="Rochester"/>
    <x v="7"/>
    <x v="1"/>
  </r>
  <r>
    <s v="B-26980"/>
    <x v="692"/>
    <n v="9752"/>
    <n v="3618"/>
    <n v="0.37100082034454501"/>
    <n v="5"/>
    <x v="2"/>
    <x v="11"/>
    <x v="1"/>
    <d v="2022-10-31T00:00:00"/>
    <x v="1"/>
    <s v="Peoria"/>
    <x v="4"/>
    <x v="3"/>
  </r>
  <r>
    <s v="B-25780"/>
    <x v="693"/>
    <n v="5335"/>
    <n v="322"/>
    <n v="6.0356138706654197E-2"/>
    <n v="15"/>
    <x v="0"/>
    <x v="0"/>
    <x v="4"/>
    <d v="2022-05-15T00:00:00"/>
    <x v="2"/>
    <s v="New York City"/>
    <x v="3"/>
    <x v="3"/>
  </r>
  <r>
    <s v="B-25964"/>
    <x v="694"/>
    <n v="1454"/>
    <n v="80"/>
    <n v="5.5020632737276497E-2"/>
    <n v="20"/>
    <x v="0"/>
    <x v="0"/>
    <x v="3"/>
    <d v="2022-07-22T00:00:00"/>
    <x v="2"/>
    <s v="Rochester"/>
    <x v="2"/>
    <x v="3"/>
  </r>
  <r>
    <s v="B-26767"/>
    <x v="695"/>
    <n v="6724"/>
    <n v="1539"/>
    <n v="0.22888161808447399"/>
    <n v="19"/>
    <x v="2"/>
    <x v="11"/>
    <x v="4"/>
    <d v="2021-12-13T00:00:00"/>
    <x v="3"/>
    <s v="San Francisco"/>
    <x v="1"/>
    <x v="2"/>
  </r>
  <r>
    <s v="B-26767"/>
    <x v="696"/>
    <n v="6724"/>
    <n v="1539"/>
    <n v="0.22888161808447399"/>
    <n v="19"/>
    <x v="2"/>
    <x v="11"/>
    <x v="4"/>
    <d v="2021-06-03T00:00:00"/>
    <x v="4"/>
    <s v="Dallas"/>
    <x v="0"/>
    <x v="2"/>
  </r>
  <r>
    <s v="B-25501"/>
    <x v="697"/>
    <n v="9874"/>
    <n v="3895"/>
    <n v="0.39447032610897298"/>
    <n v="4"/>
    <x v="1"/>
    <x v="9"/>
    <x v="2"/>
    <d v="2025-02-24T00:00:00"/>
    <x v="5"/>
    <s v="Cleveland"/>
    <x v="7"/>
    <x v="5"/>
  </r>
  <r>
    <s v="B-26029"/>
    <x v="698"/>
    <n v="4918"/>
    <n v="1485"/>
    <n v="0.30195201301342001"/>
    <n v="7"/>
    <x v="0"/>
    <x v="10"/>
    <x v="0"/>
    <d v="2023-02-02T00:00:00"/>
    <x v="0"/>
    <s v="Tampa"/>
    <x v="7"/>
    <x v="0"/>
  </r>
  <r>
    <s v="B-25292"/>
    <x v="699"/>
    <n v="3189"/>
    <n v="1180"/>
    <n v="0.370021950454688"/>
    <n v="19"/>
    <x v="1"/>
    <x v="8"/>
    <x v="3"/>
    <d v="2021-12-31T00:00:00"/>
    <x v="2"/>
    <s v="New York City"/>
    <x v="1"/>
    <x v="2"/>
  </r>
  <r>
    <s v="B-25873"/>
    <x v="700"/>
    <n v="2684"/>
    <n v="713"/>
    <n v="0.26564828614008901"/>
    <n v="2"/>
    <x v="0"/>
    <x v="0"/>
    <x v="0"/>
    <d v="2024-06-15T00:00:00"/>
    <x v="2"/>
    <s v="New York City"/>
    <x v="0"/>
    <x v="1"/>
  </r>
  <r>
    <s v="B-25873"/>
    <x v="701"/>
    <n v="2684"/>
    <n v="713"/>
    <n v="0.26564828614008901"/>
    <n v="2"/>
    <x v="0"/>
    <x v="0"/>
    <x v="0"/>
    <d v="2022-06-05T00:00:00"/>
    <x v="2"/>
    <s v="Buffalo"/>
    <x v="0"/>
    <x v="3"/>
  </r>
  <r>
    <s v="B-25873"/>
    <x v="702"/>
    <n v="2684"/>
    <n v="713"/>
    <n v="0.26564828614008901"/>
    <n v="2"/>
    <x v="0"/>
    <x v="0"/>
    <x v="0"/>
    <d v="2020-05-11T00:00:00"/>
    <x v="4"/>
    <s v="Dallas"/>
    <x v="3"/>
    <x v="4"/>
  </r>
  <r>
    <s v="B-25444"/>
    <x v="703"/>
    <n v="7626"/>
    <n v="229"/>
    <n v="3.0028848675583499E-2"/>
    <n v="5"/>
    <x v="1"/>
    <x v="2"/>
    <x v="2"/>
    <d v="2024-02-11T00:00:00"/>
    <x v="1"/>
    <s v="Springfield"/>
    <x v="7"/>
    <x v="1"/>
  </r>
  <r>
    <s v="B-25444"/>
    <x v="704"/>
    <n v="7626"/>
    <n v="229"/>
    <n v="3.0028848675583499E-2"/>
    <n v="5"/>
    <x v="1"/>
    <x v="2"/>
    <x v="2"/>
    <d v="2020-11-25T00:00:00"/>
    <x v="5"/>
    <s v="Columbus"/>
    <x v="5"/>
    <x v="4"/>
  </r>
  <r>
    <s v="B-26796"/>
    <x v="705"/>
    <n v="6669"/>
    <n v="3063"/>
    <n v="0.45928924876293298"/>
    <n v="19"/>
    <x v="0"/>
    <x v="1"/>
    <x v="0"/>
    <d v="2023-08-12T00:00:00"/>
    <x v="5"/>
    <s v="Cincinnati"/>
    <x v="9"/>
    <x v="0"/>
  </r>
  <r>
    <s v="B-25537"/>
    <x v="706"/>
    <n v="6123"/>
    <n v="1686"/>
    <n v="0.27535521803037699"/>
    <n v="3"/>
    <x v="1"/>
    <x v="6"/>
    <x v="3"/>
    <d v="2022-05-06T00:00:00"/>
    <x v="5"/>
    <s v="Cincinnati"/>
    <x v="3"/>
    <x v="3"/>
  </r>
  <r>
    <s v="B-26083"/>
    <x v="707"/>
    <n v="3265"/>
    <n v="1390"/>
    <n v="0.42572741194487002"/>
    <n v="16"/>
    <x v="1"/>
    <x v="8"/>
    <x v="3"/>
    <d v="2024-01-17T00:00:00"/>
    <x v="3"/>
    <s v="Los Angeles"/>
    <x v="8"/>
    <x v="1"/>
  </r>
  <r>
    <s v="B-25298"/>
    <x v="708"/>
    <n v="8104"/>
    <n v="1039"/>
    <n v="0.128208292201382"/>
    <n v="6"/>
    <x v="1"/>
    <x v="6"/>
    <x v="4"/>
    <d v="2021-11-24T00:00:00"/>
    <x v="0"/>
    <s v="Orlando"/>
    <x v="5"/>
    <x v="2"/>
  </r>
  <r>
    <s v="B-25298"/>
    <x v="709"/>
    <n v="8104"/>
    <n v="1039"/>
    <n v="0.128208292201382"/>
    <n v="6"/>
    <x v="1"/>
    <x v="6"/>
    <x v="4"/>
    <d v="2021-10-06T00:00:00"/>
    <x v="0"/>
    <s v="Miami"/>
    <x v="4"/>
    <x v="2"/>
  </r>
  <r>
    <s v="B-25298"/>
    <x v="710"/>
    <n v="8104"/>
    <n v="1039"/>
    <n v="0.128208292201382"/>
    <n v="6"/>
    <x v="1"/>
    <x v="6"/>
    <x v="4"/>
    <d v="2025-01-27T00:00:00"/>
    <x v="3"/>
    <s v="San Francisco"/>
    <x v="8"/>
    <x v="5"/>
  </r>
  <r>
    <s v="B-26734"/>
    <x v="711"/>
    <n v="847"/>
    <n v="355"/>
    <n v="0.419126328217237"/>
    <n v="17"/>
    <x v="2"/>
    <x v="4"/>
    <x v="4"/>
    <d v="2022-05-23T00:00:00"/>
    <x v="2"/>
    <s v="Buffalo"/>
    <x v="3"/>
    <x v="3"/>
  </r>
  <r>
    <s v="B-26734"/>
    <x v="712"/>
    <n v="847"/>
    <n v="355"/>
    <n v="0.419126328217237"/>
    <n v="17"/>
    <x v="2"/>
    <x v="4"/>
    <x v="4"/>
    <d v="2023-11-28T00:00:00"/>
    <x v="4"/>
    <s v="Austin"/>
    <x v="5"/>
    <x v="0"/>
  </r>
  <r>
    <s v="B-26734"/>
    <x v="713"/>
    <n v="847"/>
    <n v="355"/>
    <n v="0.419126328217237"/>
    <n v="17"/>
    <x v="2"/>
    <x v="4"/>
    <x v="4"/>
    <d v="2023-01-18T00:00:00"/>
    <x v="3"/>
    <s v="San Francisco"/>
    <x v="8"/>
    <x v="0"/>
  </r>
  <r>
    <s v="B-25483"/>
    <x v="714"/>
    <n v="3129"/>
    <n v="55"/>
    <n v="1.75775007989773E-2"/>
    <n v="9"/>
    <x v="2"/>
    <x v="11"/>
    <x v="1"/>
    <d v="2021-09-06T00:00:00"/>
    <x v="1"/>
    <s v="Peoria"/>
    <x v="10"/>
    <x v="2"/>
  </r>
  <r>
    <s v="B-25483"/>
    <x v="714"/>
    <n v="7821"/>
    <n v="3821"/>
    <n v="0.488556450581767"/>
    <n v="13"/>
    <x v="0"/>
    <x v="3"/>
    <x v="2"/>
    <d v="2021-09-06T00:00:00"/>
    <x v="1"/>
    <s v="Peoria"/>
    <x v="10"/>
    <x v="2"/>
  </r>
  <r>
    <s v="B-26041"/>
    <x v="715"/>
    <n v="9498"/>
    <n v="256"/>
    <n v="2.6953042745841201E-2"/>
    <n v="12"/>
    <x v="0"/>
    <x v="10"/>
    <x v="4"/>
    <d v="2021-02-22T00:00:00"/>
    <x v="1"/>
    <s v="Peoria"/>
    <x v="7"/>
    <x v="2"/>
  </r>
  <r>
    <s v="B-26041"/>
    <x v="716"/>
    <n v="9498"/>
    <n v="256"/>
    <n v="2.6953042745841201E-2"/>
    <n v="12"/>
    <x v="0"/>
    <x v="10"/>
    <x v="4"/>
    <d v="2021-10-06T00:00:00"/>
    <x v="2"/>
    <s v="New York City"/>
    <x v="4"/>
    <x v="2"/>
  </r>
  <r>
    <s v="B-26750"/>
    <x v="717"/>
    <n v="5461"/>
    <n v="1214"/>
    <n v="0.222303607397912"/>
    <n v="7"/>
    <x v="2"/>
    <x v="7"/>
    <x v="3"/>
    <d v="2020-06-07T00:00:00"/>
    <x v="2"/>
    <s v="Rochester"/>
    <x v="0"/>
    <x v="4"/>
  </r>
  <r>
    <s v="B-26138"/>
    <x v="718"/>
    <n v="3084"/>
    <n v="611"/>
    <n v="0.19811932555123199"/>
    <n v="19"/>
    <x v="2"/>
    <x v="11"/>
    <x v="0"/>
    <d v="2024-05-21T00:00:00"/>
    <x v="4"/>
    <s v="Dallas"/>
    <x v="3"/>
    <x v="1"/>
  </r>
  <r>
    <s v="B-26929"/>
    <x v="719"/>
    <n v="6087"/>
    <n v="3043"/>
    <n v="0.49991785772958802"/>
    <n v="1"/>
    <x v="2"/>
    <x v="7"/>
    <x v="4"/>
    <d v="2020-08-05T00:00:00"/>
    <x v="2"/>
    <s v="Buffalo"/>
    <x v="9"/>
    <x v="4"/>
  </r>
  <r>
    <s v="B-25359"/>
    <x v="720"/>
    <n v="611"/>
    <n v="300"/>
    <n v="0.49099836333878899"/>
    <n v="3"/>
    <x v="2"/>
    <x v="11"/>
    <x v="3"/>
    <d v="2020-10-15T00:00:00"/>
    <x v="1"/>
    <s v="Peoria"/>
    <x v="4"/>
    <x v="4"/>
  </r>
  <r>
    <s v="B-25738"/>
    <x v="721"/>
    <n v="9909"/>
    <n v="2999"/>
    <n v="0.30265415279039298"/>
    <n v="18"/>
    <x v="1"/>
    <x v="6"/>
    <x v="4"/>
    <d v="2021-05-15T00:00:00"/>
    <x v="5"/>
    <s v="Cleveland"/>
    <x v="3"/>
    <x v="2"/>
  </r>
  <r>
    <s v="B-25738"/>
    <x v="722"/>
    <n v="9909"/>
    <n v="2999"/>
    <n v="0.30265415279039298"/>
    <n v="18"/>
    <x v="1"/>
    <x v="6"/>
    <x v="4"/>
    <d v="2022-01-13T00:00:00"/>
    <x v="4"/>
    <s v="Austin"/>
    <x v="8"/>
    <x v="3"/>
  </r>
  <r>
    <s v="B-25931"/>
    <x v="723"/>
    <n v="6485"/>
    <n v="3178"/>
    <n v="0.49005397070161899"/>
    <n v="18"/>
    <x v="2"/>
    <x v="7"/>
    <x v="0"/>
    <d v="2023-07-18T00:00:00"/>
    <x v="5"/>
    <s v="Columbus"/>
    <x v="2"/>
    <x v="0"/>
  </r>
  <r>
    <s v="B-25706"/>
    <x v="724"/>
    <n v="7259"/>
    <n v="1969"/>
    <n v="0.271249483399917"/>
    <n v="10"/>
    <x v="0"/>
    <x v="3"/>
    <x v="3"/>
    <d v="2022-12-08T00:00:00"/>
    <x v="1"/>
    <s v="Springfield"/>
    <x v="1"/>
    <x v="3"/>
  </r>
  <r>
    <s v="B-25352"/>
    <x v="725"/>
    <n v="3333"/>
    <n v="700"/>
    <n v="0.21002100210020999"/>
    <n v="18"/>
    <x v="0"/>
    <x v="1"/>
    <x v="4"/>
    <d v="2023-04-17T00:00:00"/>
    <x v="0"/>
    <s v="Miami"/>
    <x v="11"/>
    <x v="0"/>
  </r>
  <r>
    <s v="B-26909"/>
    <x v="726"/>
    <n v="7786"/>
    <n v="1202"/>
    <n v="0.154379655792448"/>
    <n v="4"/>
    <x v="2"/>
    <x v="7"/>
    <x v="2"/>
    <d v="2020-06-23T00:00:00"/>
    <x v="1"/>
    <s v="Peoria"/>
    <x v="0"/>
    <x v="4"/>
  </r>
  <r>
    <s v="B-26296"/>
    <x v="727"/>
    <n v="7644"/>
    <n v="2428"/>
    <n v="0.31763474620617499"/>
    <n v="6"/>
    <x v="0"/>
    <x v="10"/>
    <x v="1"/>
    <d v="2022-01-20T00:00:00"/>
    <x v="1"/>
    <s v="Springfield"/>
    <x v="8"/>
    <x v="3"/>
  </r>
  <r>
    <s v="B-26112"/>
    <x v="728"/>
    <n v="1476"/>
    <n v="247"/>
    <n v="0.167344173441734"/>
    <n v="5"/>
    <x v="2"/>
    <x v="11"/>
    <x v="4"/>
    <d v="2023-11-18T00:00:00"/>
    <x v="3"/>
    <s v="Los Angeles"/>
    <x v="5"/>
    <x v="0"/>
  </r>
  <r>
    <s v="B-26112"/>
    <x v="729"/>
    <n v="1476"/>
    <n v="247"/>
    <n v="0.167344173441734"/>
    <n v="5"/>
    <x v="2"/>
    <x v="11"/>
    <x v="4"/>
    <d v="2022-01-19T00:00:00"/>
    <x v="3"/>
    <s v="San Diego"/>
    <x v="8"/>
    <x v="3"/>
  </r>
  <r>
    <s v="B-26790"/>
    <x v="730"/>
    <n v="3445"/>
    <n v="1405"/>
    <n v="0.40783744557329499"/>
    <n v="16"/>
    <x v="2"/>
    <x v="7"/>
    <x v="2"/>
    <d v="2020-09-21T00:00:00"/>
    <x v="3"/>
    <s v="San Francisco"/>
    <x v="10"/>
    <x v="4"/>
  </r>
  <r>
    <s v="B-26790"/>
    <x v="730"/>
    <n v="9837"/>
    <n v="384"/>
    <n v="3.9036291552302503E-2"/>
    <n v="1"/>
    <x v="0"/>
    <x v="3"/>
    <x v="0"/>
    <d v="2020-09-21T00:00:00"/>
    <x v="3"/>
    <s v="San Francisco"/>
    <x v="10"/>
    <x v="4"/>
  </r>
  <r>
    <s v="B-25986"/>
    <x v="731"/>
    <n v="1314"/>
    <n v="457"/>
    <n v="0.34779299847792999"/>
    <n v="8"/>
    <x v="2"/>
    <x v="7"/>
    <x v="2"/>
    <d v="2021-06-11T00:00:00"/>
    <x v="3"/>
    <s v="San Diego"/>
    <x v="0"/>
    <x v="2"/>
  </r>
  <r>
    <s v="B-25630"/>
    <x v="732"/>
    <n v="5951"/>
    <n v="936"/>
    <n v="0.15728449000167999"/>
    <n v="6"/>
    <x v="0"/>
    <x v="3"/>
    <x v="1"/>
    <d v="2024-08-07T00:00:00"/>
    <x v="4"/>
    <s v="Dallas"/>
    <x v="9"/>
    <x v="1"/>
  </r>
  <r>
    <s v="B-25630"/>
    <x v="733"/>
    <n v="5951"/>
    <n v="936"/>
    <n v="0.15728449000167999"/>
    <n v="6"/>
    <x v="0"/>
    <x v="3"/>
    <x v="1"/>
    <d v="2022-07-26T00:00:00"/>
    <x v="5"/>
    <s v="Columbus"/>
    <x v="2"/>
    <x v="3"/>
  </r>
  <r>
    <s v="B-26872"/>
    <x v="734"/>
    <n v="992"/>
    <n v="177"/>
    <n v="0.178427419354839"/>
    <n v="6"/>
    <x v="0"/>
    <x v="10"/>
    <x v="0"/>
    <d v="2024-01-13T00:00:00"/>
    <x v="3"/>
    <s v="Los Angeles"/>
    <x v="8"/>
    <x v="1"/>
  </r>
  <r>
    <s v="B-26872"/>
    <x v="734"/>
    <n v="4699"/>
    <n v="625"/>
    <n v="0.13300702277080201"/>
    <n v="18"/>
    <x v="1"/>
    <x v="6"/>
    <x v="2"/>
    <d v="2024-01-13T00:00:00"/>
    <x v="3"/>
    <s v="Los Angeles"/>
    <x v="8"/>
    <x v="1"/>
  </r>
  <r>
    <s v="B-25870"/>
    <x v="735"/>
    <n v="5557"/>
    <n v="2114"/>
    <n v="0.380421090516466"/>
    <n v="17"/>
    <x v="0"/>
    <x v="3"/>
    <x v="2"/>
    <d v="2021-05-28T00:00:00"/>
    <x v="5"/>
    <s v="Cleveland"/>
    <x v="3"/>
    <x v="2"/>
  </r>
  <r>
    <s v="B-25991"/>
    <x v="736"/>
    <n v="3436"/>
    <n v="933"/>
    <n v="0.27153667054714797"/>
    <n v="3"/>
    <x v="0"/>
    <x v="0"/>
    <x v="3"/>
    <d v="2021-06-13T00:00:00"/>
    <x v="4"/>
    <s v="Dallas"/>
    <x v="0"/>
    <x v="2"/>
  </r>
  <r>
    <s v="B-25198"/>
    <x v="737"/>
    <n v="9840"/>
    <n v="3870"/>
    <n v="0.39329268292682901"/>
    <n v="11"/>
    <x v="0"/>
    <x v="1"/>
    <x v="1"/>
    <d v="2023-04-25T00:00:00"/>
    <x v="4"/>
    <s v="Austin"/>
    <x v="11"/>
    <x v="0"/>
  </r>
  <r>
    <s v="B-25189"/>
    <x v="738"/>
    <n v="7620"/>
    <n v="125"/>
    <n v="1.6404199475065599E-2"/>
    <n v="4"/>
    <x v="1"/>
    <x v="8"/>
    <x v="2"/>
    <d v="2021-07-05T00:00:00"/>
    <x v="3"/>
    <s v="San Francisco"/>
    <x v="2"/>
    <x v="2"/>
  </r>
  <r>
    <s v="B-25189"/>
    <x v="739"/>
    <n v="7620"/>
    <n v="125"/>
    <n v="1.6404199475065599E-2"/>
    <n v="4"/>
    <x v="1"/>
    <x v="8"/>
    <x v="2"/>
    <d v="2024-10-12T00:00:00"/>
    <x v="3"/>
    <s v="San Francisco"/>
    <x v="4"/>
    <x v="1"/>
  </r>
  <r>
    <s v="B-26563"/>
    <x v="740"/>
    <n v="4314"/>
    <n v="1591"/>
    <n v="0.36879925822902199"/>
    <n v="5"/>
    <x v="2"/>
    <x v="4"/>
    <x v="1"/>
    <d v="2021-10-04T00:00:00"/>
    <x v="2"/>
    <s v="Buffalo"/>
    <x v="4"/>
    <x v="2"/>
  </r>
  <r>
    <s v="B-25548"/>
    <x v="741"/>
    <n v="8851"/>
    <n v="999"/>
    <n v="0.112868602417806"/>
    <n v="12"/>
    <x v="0"/>
    <x v="3"/>
    <x v="0"/>
    <d v="2024-02-07T00:00:00"/>
    <x v="5"/>
    <s v="Cincinnati"/>
    <x v="7"/>
    <x v="1"/>
  </r>
  <r>
    <s v="B-25965"/>
    <x v="742"/>
    <n v="544"/>
    <n v="272"/>
    <n v="0.5"/>
    <n v="2"/>
    <x v="0"/>
    <x v="3"/>
    <x v="1"/>
    <d v="2021-03-05T00:00:00"/>
    <x v="4"/>
    <s v="Houston"/>
    <x v="6"/>
    <x v="2"/>
  </r>
  <r>
    <s v="B-25965"/>
    <x v="743"/>
    <n v="544"/>
    <n v="272"/>
    <n v="0.5"/>
    <n v="2"/>
    <x v="0"/>
    <x v="3"/>
    <x v="1"/>
    <d v="2023-06-25T00:00:00"/>
    <x v="2"/>
    <s v="Buffalo"/>
    <x v="0"/>
    <x v="0"/>
  </r>
  <r>
    <s v="B-26545"/>
    <x v="744"/>
    <n v="537"/>
    <n v="142"/>
    <n v="0.26443202979515801"/>
    <n v="20"/>
    <x v="1"/>
    <x v="6"/>
    <x v="2"/>
    <d v="2021-08-02T00:00:00"/>
    <x v="1"/>
    <s v="Peoria"/>
    <x v="9"/>
    <x v="2"/>
  </r>
  <r>
    <s v="B-26603"/>
    <x v="745"/>
    <n v="5944"/>
    <n v="2661"/>
    <n v="0.44767833109017502"/>
    <n v="7"/>
    <x v="0"/>
    <x v="3"/>
    <x v="2"/>
    <d v="2022-03-17T00:00:00"/>
    <x v="4"/>
    <s v="Austin"/>
    <x v="6"/>
    <x v="3"/>
  </r>
  <r>
    <s v="B-26393"/>
    <x v="746"/>
    <n v="2258"/>
    <n v="135"/>
    <n v="5.9787422497785597E-2"/>
    <n v="18"/>
    <x v="0"/>
    <x v="1"/>
    <x v="3"/>
    <d v="2024-02-07T00:00:00"/>
    <x v="0"/>
    <s v="Miami"/>
    <x v="7"/>
    <x v="1"/>
  </r>
  <r>
    <s v="B-26393"/>
    <x v="747"/>
    <n v="2258"/>
    <n v="135"/>
    <n v="5.9787422497785597E-2"/>
    <n v="18"/>
    <x v="0"/>
    <x v="1"/>
    <x v="3"/>
    <d v="2022-08-19T00:00:00"/>
    <x v="3"/>
    <s v="San Diego"/>
    <x v="9"/>
    <x v="3"/>
  </r>
  <r>
    <s v="B-26628"/>
    <x v="748"/>
    <n v="9609"/>
    <n v="4339"/>
    <n v="0.45155583307316099"/>
    <n v="3"/>
    <x v="2"/>
    <x v="7"/>
    <x v="1"/>
    <d v="2024-09-19T00:00:00"/>
    <x v="4"/>
    <s v="Houston"/>
    <x v="10"/>
    <x v="1"/>
  </r>
  <r>
    <s v="B-26628"/>
    <x v="749"/>
    <n v="9609"/>
    <n v="4339"/>
    <n v="0.45155583307316099"/>
    <n v="3"/>
    <x v="2"/>
    <x v="7"/>
    <x v="1"/>
    <d v="2020-04-05T00:00:00"/>
    <x v="5"/>
    <s v="Cincinnati"/>
    <x v="11"/>
    <x v="4"/>
  </r>
  <r>
    <s v="B-25945"/>
    <x v="750"/>
    <n v="9952"/>
    <n v="3301"/>
    <n v="0.33169212218649502"/>
    <n v="15"/>
    <x v="0"/>
    <x v="0"/>
    <x v="1"/>
    <d v="2023-03-10T00:00:00"/>
    <x v="4"/>
    <s v="Dallas"/>
    <x v="6"/>
    <x v="0"/>
  </r>
  <r>
    <s v="B-26565"/>
    <x v="751"/>
    <n v="9873"/>
    <n v="4585"/>
    <n v="0.46439785272966699"/>
    <n v="7"/>
    <x v="1"/>
    <x v="8"/>
    <x v="3"/>
    <d v="2020-08-10T00:00:00"/>
    <x v="5"/>
    <s v="Columbus"/>
    <x v="9"/>
    <x v="4"/>
  </r>
  <r>
    <s v="B-25684"/>
    <x v="752"/>
    <n v="3560"/>
    <n v="1335"/>
    <n v="0.375"/>
    <n v="15"/>
    <x v="0"/>
    <x v="0"/>
    <x v="4"/>
    <d v="2020-04-29T00:00:00"/>
    <x v="2"/>
    <s v="New York City"/>
    <x v="11"/>
    <x v="4"/>
  </r>
  <r>
    <s v="B-25684"/>
    <x v="753"/>
    <n v="3560"/>
    <n v="1335"/>
    <n v="0.375"/>
    <n v="15"/>
    <x v="0"/>
    <x v="0"/>
    <x v="4"/>
    <d v="2023-03-16T00:00:00"/>
    <x v="1"/>
    <s v="Springfield"/>
    <x v="6"/>
    <x v="0"/>
  </r>
  <r>
    <s v="B-26612"/>
    <x v="754"/>
    <n v="6528"/>
    <n v="76"/>
    <n v="1.16421568627451E-2"/>
    <n v="9"/>
    <x v="0"/>
    <x v="10"/>
    <x v="1"/>
    <d v="2020-05-04T00:00:00"/>
    <x v="2"/>
    <s v="Buffalo"/>
    <x v="3"/>
    <x v="4"/>
  </r>
  <r>
    <s v="B-26612"/>
    <x v="754"/>
    <n v="8930"/>
    <n v="3374"/>
    <n v="0.37782754759238502"/>
    <n v="12"/>
    <x v="2"/>
    <x v="7"/>
    <x v="1"/>
    <d v="2020-05-04T00:00:00"/>
    <x v="2"/>
    <s v="Buffalo"/>
    <x v="3"/>
    <x v="4"/>
  </r>
  <r>
    <s v="B-25839"/>
    <x v="755"/>
    <n v="4521"/>
    <n v="1778"/>
    <n v="0.39327582393275801"/>
    <n v="9"/>
    <x v="1"/>
    <x v="8"/>
    <x v="1"/>
    <d v="2024-10-15T00:00:00"/>
    <x v="0"/>
    <s v="Tampa"/>
    <x v="4"/>
    <x v="1"/>
  </r>
  <r>
    <s v="B-25898"/>
    <x v="756"/>
    <n v="7091"/>
    <n v="2317"/>
    <n v="0.32675222112537"/>
    <n v="10"/>
    <x v="2"/>
    <x v="7"/>
    <x v="3"/>
    <d v="2022-06-09T00:00:00"/>
    <x v="3"/>
    <s v="San Diego"/>
    <x v="0"/>
    <x v="3"/>
  </r>
  <r>
    <s v="B-26120"/>
    <x v="349"/>
    <n v="2101"/>
    <n v="287"/>
    <n v="0.13660161827701101"/>
    <n v="8"/>
    <x v="1"/>
    <x v="2"/>
    <x v="4"/>
    <d v="2020-07-04T00:00:00"/>
    <x v="5"/>
    <s v="Cleveland"/>
    <x v="2"/>
    <x v="4"/>
  </r>
  <r>
    <s v="B-26120"/>
    <x v="757"/>
    <n v="2101"/>
    <n v="287"/>
    <n v="0.13660161827701101"/>
    <n v="8"/>
    <x v="1"/>
    <x v="2"/>
    <x v="4"/>
    <d v="2023-04-09T00:00:00"/>
    <x v="1"/>
    <s v="Chicago"/>
    <x v="11"/>
    <x v="0"/>
  </r>
  <r>
    <s v="B-26426"/>
    <x v="758"/>
    <n v="8644"/>
    <n v="1968"/>
    <n v="0.227672373900972"/>
    <n v="9"/>
    <x v="1"/>
    <x v="8"/>
    <x v="1"/>
    <d v="2023-11-24T00:00:00"/>
    <x v="1"/>
    <s v="Chicago"/>
    <x v="5"/>
    <x v="0"/>
  </r>
  <r>
    <s v="B-26309"/>
    <x v="759"/>
    <n v="6672"/>
    <n v="3319"/>
    <n v="0.49745203836930502"/>
    <n v="4"/>
    <x v="2"/>
    <x v="4"/>
    <x v="0"/>
    <d v="2023-11-29T00:00:00"/>
    <x v="4"/>
    <s v="Dallas"/>
    <x v="5"/>
    <x v="0"/>
  </r>
  <r>
    <s v="B-26309"/>
    <x v="760"/>
    <n v="6672"/>
    <n v="3319"/>
    <n v="0.49745203836930502"/>
    <n v="4"/>
    <x v="2"/>
    <x v="4"/>
    <x v="0"/>
    <d v="2024-05-20T00:00:00"/>
    <x v="3"/>
    <s v="San Diego"/>
    <x v="3"/>
    <x v="1"/>
  </r>
  <r>
    <s v="B-26789"/>
    <x v="761"/>
    <n v="4699"/>
    <n v="103"/>
    <n v="2.19195573526282E-2"/>
    <n v="12"/>
    <x v="1"/>
    <x v="9"/>
    <x v="0"/>
    <d v="2024-05-21T00:00:00"/>
    <x v="5"/>
    <s v="Cincinnati"/>
    <x v="3"/>
    <x v="1"/>
  </r>
  <r>
    <s v="B-26420"/>
    <x v="762"/>
    <n v="4897"/>
    <n v="1001"/>
    <n v="0.20441086379416001"/>
    <n v="14"/>
    <x v="2"/>
    <x v="7"/>
    <x v="1"/>
    <d v="2021-12-07T00:00:00"/>
    <x v="4"/>
    <s v="Houston"/>
    <x v="1"/>
    <x v="2"/>
  </r>
  <r>
    <s v="B-26420"/>
    <x v="763"/>
    <n v="4897"/>
    <n v="1001"/>
    <n v="0.20441086379416001"/>
    <n v="14"/>
    <x v="2"/>
    <x v="7"/>
    <x v="1"/>
    <d v="2025-01-06T00:00:00"/>
    <x v="5"/>
    <s v="Cincinnati"/>
    <x v="8"/>
    <x v="5"/>
  </r>
  <r>
    <s v="B-26257"/>
    <x v="764"/>
    <n v="5460"/>
    <n v="2088"/>
    <n v="0.382417582417582"/>
    <n v="14"/>
    <x v="2"/>
    <x v="4"/>
    <x v="1"/>
    <d v="2022-07-13T00:00:00"/>
    <x v="2"/>
    <s v="Buffalo"/>
    <x v="2"/>
    <x v="3"/>
  </r>
  <r>
    <s v="B-26257"/>
    <x v="765"/>
    <n v="5460"/>
    <n v="2088"/>
    <n v="0.382417582417582"/>
    <n v="14"/>
    <x v="2"/>
    <x v="4"/>
    <x v="1"/>
    <d v="2020-04-19T00:00:00"/>
    <x v="5"/>
    <s v="Cincinnati"/>
    <x v="11"/>
    <x v="4"/>
  </r>
  <r>
    <s v="B-25603"/>
    <x v="766"/>
    <n v="9272"/>
    <n v="1771"/>
    <n v="0.191005176876618"/>
    <n v="19"/>
    <x v="1"/>
    <x v="6"/>
    <x v="0"/>
    <d v="2024-11-14T00:00:00"/>
    <x v="1"/>
    <s v="Springfield"/>
    <x v="5"/>
    <x v="1"/>
  </r>
  <r>
    <s v="B-25603"/>
    <x v="767"/>
    <n v="9272"/>
    <n v="1771"/>
    <n v="0.191005176876618"/>
    <n v="19"/>
    <x v="1"/>
    <x v="6"/>
    <x v="0"/>
    <d v="2020-04-18T00:00:00"/>
    <x v="4"/>
    <s v="Dallas"/>
    <x v="11"/>
    <x v="4"/>
  </r>
  <r>
    <s v="B-25010"/>
    <x v="768"/>
    <n v="7870"/>
    <n v="1057"/>
    <n v="0.13430749682338"/>
    <n v="15"/>
    <x v="1"/>
    <x v="2"/>
    <x v="3"/>
    <d v="2023-10-18T00:00:00"/>
    <x v="4"/>
    <s v="Houston"/>
    <x v="4"/>
    <x v="0"/>
  </r>
  <r>
    <s v="B-25010"/>
    <x v="769"/>
    <n v="7870"/>
    <n v="1057"/>
    <n v="0.13430749682338"/>
    <n v="15"/>
    <x v="1"/>
    <x v="2"/>
    <x v="3"/>
    <d v="2021-03-21T00:00:00"/>
    <x v="5"/>
    <s v="Cleveland"/>
    <x v="6"/>
    <x v="2"/>
  </r>
  <r>
    <s v="B-25889"/>
    <x v="770"/>
    <n v="7992"/>
    <n v="893"/>
    <n v="0.11173673673673699"/>
    <n v="12"/>
    <x v="0"/>
    <x v="3"/>
    <x v="3"/>
    <d v="2024-09-13T00:00:00"/>
    <x v="5"/>
    <s v="Cleveland"/>
    <x v="10"/>
    <x v="1"/>
  </r>
  <r>
    <s v="B-25889"/>
    <x v="771"/>
    <n v="7992"/>
    <n v="893"/>
    <n v="0.11173673673673699"/>
    <n v="12"/>
    <x v="0"/>
    <x v="3"/>
    <x v="3"/>
    <d v="2023-05-04T00:00:00"/>
    <x v="2"/>
    <s v="New York City"/>
    <x v="3"/>
    <x v="0"/>
  </r>
  <r>
    <s v="B-25889"/>
    <x v="772"/>
    <n v="7992"/>
    <n v="893"/>
    <n v="0.11173673673673699"/>
    <n v="12"/>
    <x v="0"/>
    <x v="3"/>
    <x v="3"/>
    <d v="2023-05-31T00:00:00"/>
    <x v="1"/>
    <s v="Chicago"/>
    <x v="3"/>
    <x v="0"/>
  </r>
  <r>
    <s v="B-26675"/>
    <x v="773"/>
    <n v="6499"/>
    <n v="2189"/>
    <n v="0.33682104939221402"/>
    <n v="18"/>
    <x v="0"/>
    <x v="0"/>
    <x v="2"/>
    <d v="2024-06-15T00:00:00"/>
    <x v="2"/>
    <s v="New York City"/>
    <x v="0"/>
    <x v="1"/>
  </r>
  <r>
    <s v="B-26675"/>
    <x v="774"/>
    <n v="6499"/>
    <n v="2189"/>
    <n v="0.33682104939221402"/>
    <n v="18"/>
    <x v="0"/>
    <x v="0"/>
    <x v="2"/>
    <d v="2021-04-03T00:00:00"/>
    <x v="0"/>
    <s v="Orlando"/>
    <x v="11"/>
    <x v="2"/>
  </r>
  <r>
    <s v="B-26168"/>
    <x v="775"/>
    <n v="8848"/>
    <n v="2090"/>
    <n v="0.23621157323688999"/>
    <n v="9"/>
    <x v="1"/>
    <x v="2"/>
    <x v="1"/>
    <d v="2025-01-14T00:00:00"/>
    <x v="3"/>
    <s v="San Diego"/>
    <x v="8"/>
    <x v="5"/>
  </r>
  <r>
    <s v="B-25436"/>
    <x v="776"/>
    <n v="8044"/>
    <n v="3634"/>
    <n v="0.45176529090005002"/>
    <n v="3"/>
    <x v="1"/>
    <x v="6"/>
    <x v="4"/>
    <d v="2020-12-24T00:00:00"/>
    <x v="0"/>
    <s v="Orlando"/>
    <x v="1"/>
    <x v="4"/>
  </r>
  <r>
    <s v="B-25436"/>
    <x v="777"/>
    <n v="8044"/>
    <n v="3634"/>
    <n v="0.45176529090005002"/>
    <n v="3"/>
    <x v="1"/>
    <x v="6"/>
    <x v="4"/>
    <d v="2022-10-07T00:00:00"/>
    <x v="3"/>
    <s v="San Diego"/>
    <x v="4"/>
    <x v="3"/>
  </r>
  <r>
    <s v="B-25794"/>
    <x v="778"/>
    <n v="7417"/>
    <n v="1334"/>
    <n v="0.179857085074828"/>
    <n v="16"/>
    <x v="2"/>
    <x v="11"/>
    <x v="4"/>
    <d v="2021-10-05T00:00:00"/>
    <x v="0"/>
    <s v="Tampa"/>
    <x v="4"/>
    <x v="2"/>
  </r>
  <r>
    <s v="B-26495"/>
    <x v="779"/>
    <n v="3451"/>
    <n v="658"/>
    <n v="0.19066937119675501"/>
    <n v="3"/>
    <x v="1"/>
    <x v="6"/>
    <x v="0"/>
    <d v="2024-12-28T00:00:00"/>
    <x v="1"/>
    <s v="Chicago"/>
    <x v="1"/>
    <x v="1"/>
  </r>
  <r>
    <s v="B-25815"/>
    <x v="780"/>
    <n v="8531"/>
    <n v="2555"/>
    <n v="0.29949595592544798"/>
    <n v="4"/>
    <x v="0"/>
    <x v="3"/>
    <x v="2"/>
    <d v="2022-05-14T00:00:00"/>
    <x v="4"/>
    <s v="Austin"/>
    <x v="3"/>
    <x v="3"/>
  </r>
  <r>
    <s v="B-25022"/>
    <x v="781"/>
    <n v="6646"/>
    <n v="848"/>
    <n v="0.12759554619319899"/>
    <n v="15"/>
    <x v="2"/>
    <x v="7"/>
    <x v="1"/>
    <d v="2023-08-19T00:00:00"/>
    <x v="2"/>
    <s v="New York City"/>
    <x v="9"/>
    <x v="0"/>
  </r>
  <r>
    <s v="B-25022"/>
    <x v="782"/>
    <n v="6646"/>
    <n v="848"/>
    <n v="0.12759554619319899"/>
    <n v="15"/>
    <x v="2"/>
    <x v="7"/>
    <x v="1"/>
    <d v="2023-07-14T00:00:00"/>
    <x v="2"/>
    <s v="Buffalo"/>
    <x v="2"/>
    <x v="0"/>
  </r>
  <r>
    <s v="B-26928"/>
    <x v="783"/>
    <n v="2553"/>
    <n v="907"/>
    <n v="0.35526831179005097"/>
    <n v="6"/>
    <x v="0"/>
    <x v="3"/>
    <x v="3"/>
    <d v="2023-06-22T00:00:00"/>
    <x v="4"/>
    <s v="Dallas"/>
    <x v="0"/>
    <x v="0"/>
  </r>
  <r>
    <s v="B-25905"/>
    <x v="784"/>
    <n v="8490"/>
    <n v="3485"/>
    <n v="0.41048292108362799"/>
    <n v="3"/>
    <x v="0"/>
    <x v="10"/>
    <x v="3"/>
    <d v="2023-03-21T00:00:00"/>
    <x v="2"/>
    <s v="New York City"/>
    <x v="6"/>
    <x v="0"/>
  </r>
  <r>
    <s v="B-26739"/>
    <x v="785"/>
    <n v="2689"/>
    <n v="1330"/>
    <n v="0.49460766084046098"/>
    <n v="3"/>
    <x v="2"/>
    <x v="4"/>
    <x v="0"/>
    <d v="2020-12-13T00:00:00"/>
    <x v="3"/>
    <s v="Los Angeles"/>
    <x v="1"/>
    <x v="4"/>
  </r>
  <r>
    <s v="B-26739"/>
    <x v="786"/>
    <n v="2689"/>
    <n v="1330"/>
    <n v="0.49460766084046098"/>
    <n v="3"/>
    <x v="2"/>
    <x v="4"/>
    <x v="0"/>
    <d v="2024-05-29T00:00:00"/>
    <x v="0"/>
    <s v="Miami"/>
    <x v="3"/>
    <x v="1"/>
  </r>
  <r>
    <s v="B-25697"/>
    <x v="787"/>
    <n v="815"/>
    <n v="54"/>
    <n v="6.6257668711656406E-2"/>
    <n v="14"/>
    <x v="2"/>
    <x v="4"/>
    <x v="1"/>
    <d v="2021-05-25T00:00:00"/>
    <x v="3"/>
    <s v="San Francisco"/>
    <x v="3"/>
    <x v="2"/>
  </r>
  <r>
    <s v="B-25234"/>
    <x v="788"/>
    <n v="5024"/>
    <n v="379"/>
    <n v="7.5437898089172006E-2"/>
    <n v="2"/>
    <x v="1"/>
    <x v="8"/>
    <x v="0"/>
    <d v="2024-04-02T00:00:00"/>
    <x v="4"/>
    <s v="Dallas"/>
    <x v="11"/>
    <x v="1"/>
  </r>
  <r>
    <s v="B-25234"/>
    <x v="789"/>
    <n v="5024"/>
    <n v="379"/>
    <n v="7.5437898089172006E-2"/>
    <n v="2"/>
    <x v="1"/>
    <x v="8"/>
    <x v="0"/>
    <d v="2022-12-03T00:00:00"/>
    <x v="1"/>
    <s v="Peoria"/>
    <x v="1"/>
    <x v="3"/>
  </r>
  <r>
    <s v="B-25665"/>
    <x v="790"/>
    <n v="8962"/>
    <n v="2444"/>
    <n v="0.27270698504798002"/>
    <n v="18"/>
    <x v="0"/>
    <x v="0"/>
    <x v="1"/>
    <d v="2021-07-12T00:00:00"/>
    <x v="5"/>
    <s v="Cleveland"/>
    <x v="2"/>
    <x v="2"/>
  </r>
  <r>
    <s v="B-25665"/>
    <x v="791"/>
    <n v="8962"/>
    <n v="2444"/>
    <n v="0.27270698504798002"/>
    <n v="18"/>
    <x v="0"/>
    <x v="0"/>
    <x v="1"/>
    <d v="2020-03-22T00:00:00"/>
    <x v="1"/>
    <s v="Peoria"/>
    <x v="6"/>
    <x v="4"/>
  </r>
  <r>
    <s v="B-25028"/>
    <x v="792"/>
    <n v="1961"/>
    <n v="59"/>
    <n v="3.0086690464049E-2"/>
    <n v="12"/>
    <x v="1"/>
    <x v="9"/>
    <x v="0"/>
    <d v="2020-08-09T00:00:00"/>
    <x v="0"/>
    <s v="Orlando"/>
    <x v="9"/>
    <x v="4"/>
  </r>
  <r>
    <s v="B-26659"/>
    <x v="793"/>
    <n v="526"/>
    <n v="83"/>
    <n v="0.157794676806084"/>
    <n v="4"/>
    <x v="2"/>
    <x v="7"/>
    <x v="3"/>
    <d v="2022-02-18T00:00:00"/>
    <x v="1"/>
    <s v="Chicago"/>
    <x v="7"/>
    <x v="3"/>
  </r>
  <r>
    <s v="B-25966"/>
    <x v="794"/>
    <n v="6093"/>
    <n v="3042"/>
    <n v="0.49926144756277702"/>
    <n v="9"/>
    <x v="2"/>
    <x v="11"/>
    <x v="1"/>
    <d v="2021-06-14T00:00:00"/>
    <x v="3"/>
    <s v="San Francisco"/>
    <x v="0"/>
    <x v="2"/>
  </r>
  <r>
    <s v="B-25966"/>
    <x v="795"/>
    <n v="6093"/>
    <n v="3042"/>
    <n v="0.49926144756277702"/>
    <n v="9"/>
    <x v="2"/>
    <x v="11"/>
    <x v="1"/>
    <d v="2021-03-01T00:00:00"/>
    <x v="3"/>
    <s v="San Diego"/>
    <x v="6"/>
    <x v="2"/>
  </r>
  <r>
    <s v="B-25350"/>
    <x v="796"/>
    <n v="7699"/>
    <n v="246"/>
    <n v="3.1952201584621399E-2"/>
    <n v="5"/>
    <x v="0"/>
    <x v="0"/>
    <x v="1"/>
    <d v="2023-09-23T00:00:00"/>
    <x v="4"/>
    <s v="Austin"/>
    <x v="10"/>
    <x v="0"/>
  </r>
  <r>
    <s v="B-26370"/>
    <x v="797"/>
    <n v="8825"/>
    <n v="3594"/>
    <n v="0.407252124645892"/>
    <n v="15"/>
    <x v="2"/>
    <x v="4"/>
    <x v="1"/>
    <d v="2024-07-31T00:00:00"/>
    <x v="2"/>
    <s v="New York City"/>
    <x v="2"/>
    <x v="1"/>
  </r>
  <r>
    <s v="B-26298"/>
    <x v="798"/>
    <n v="2082"/>
    <n v="642"/>
    <n v="0.30835734870317"/>
    <n v="8"/>
    <x v="0"/>
    <x v="10"/>
    <x v="2"/>
    <d v="2020-06-02T00:00:00"/>
    <x v="2"/>
    <s v="Rochester"/>
    <x v="0"/>
    <x v="4"/>
  </r>
  <r>
    <s v="B-26298"/>
    <x v="799"/>
    <n v="2082"/>
    <n v="642"/>
    <n v="0.30835734870317"/>
    <n v="8"/>
    <x v="0"/>
    <x v="10"/>
    <x v="2"/>
    <d v="2022-12-15T00:00:00"/>
    <x v="4"/>
    <s v="Austin"/>
    <x v="1"/>
    <x v="3"/>
  </r>
  <r>
    <s v="B-26298"/>
    <x v="800"/>
    <n v="2082"/>
    <n v="642"/>
    <n v="0.30835734870317"/>
    <n v="8"/>
    <x v="0"/>
    <x v="10"/>
    <x v="2"/>
    <d v="2020-08-07T00:00:00"/>
    <x v="2"/>
    <s v="Buffalo"/>
    <x v="9"/>
    <x v="4"/>
  </r>
  <r>
    <s v="B-25068"/>
    <x v="801"/>
    <n v="914"/>
    <n v="163"/>
    <n v="0.17833698030634601"/>
    <n v="13"/>
    <x v="1"/>
    <x v="6"/>
    <x v="0"/>
    <d v="2024-10-26T00:00:00"/>
    <x v="1"/>
    <s v="Chicago"/>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68BFCE-59C0-431A-BE28-C01B19A440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4">
    <pivotField showAll="0"/>
    <pivotField showAll="0"/>
    <pivotField dataField="1" showAll="0"/>
    <pivotField showAll="0"/>
    <pivotField showAll="0"/>
    <pivotField showAll="0"/>
    <pivotField showAll="0">
      <items count="4">
        <item x="0"/>
        <item x="2"/>
        <item x="1"/>
        <item t="default"/>
      </items>
    </pivotField>
    <pivotField axis="axisRow" showAll="0">
      <items count="13">
        <item x="9"/>
        <item x="11"/>
        <item x="5"/>
        <item x="0"/>
        <item x="3"/>
        <item x="6"/>
        <item x="8"/>
        <item x="2"/>
        <item x="10"/>
        <item x="1"/>
        <item x="7"/>
        <item x="4"/>
        <item t="default"/>
      </items>
    </pivotField>
    <pivotField showAll="0"/>
    <pivotField numFmtId="14" showAll="0"/>
    <pivotField showAll="0">
      <items count="7">
        <item x="3"/>
        <item x="0"/>
        <item x="1"/>
        <item x="2"/>
        <item x="5"/>
        <item x="4"/>
        <item t="default"/>
      </items>
    </pivotField>
    <pivotField showAll="0"/>
    <pivotField showAll="0">
      <items count="13">
        <item x="8"/>
        <item x="7"/>
        <item x="6"/>
        <item x="11"/>
        <item x="3"/>
        <item x="0"/>
        <item x="2"/>
        <item x="9"/>
        <item x="10"/>
        <item x="4"/>
        <item x="5"/>
        <item x="1"/>
        <item t="default"/>
      </items>
    </pivotField>
    <pivotField showAll="0">
      <items count="7">
        <item x="4"/>
        <item x="2"/>
        <item x="3"/>
        <item x="0"/>
        <item x="1"/>
        <item x="5"/>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Sum of Amount" fld="2" baseField="0" baseItem="0"/>
  </dataFields>
  <formats count="8">
    <format dxfId="19">
      <pivotArea collapsedLevelsAreSubtotals="1" fieldPosition="0">
        <references count="1">
          <reference field="7" count="0"/>
        </references>
      </pivotArea>
    </format>
    <format dxfId="18">
      <pivotArea grandRow="1" outline="0" collapsedLevelsAreSubtotals="1" fieldPosition="0"/>
    </format>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grandRow="1" outline="0" fieldPosition="0"/>
    </format>
    <format dxfId="1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97BA9C-B264-4DDA-AA48-89EE7AC5D66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20:L26" firstHeaderRow="1" firstDataRow="1" firstDataCol="1"/>
  <pivotFields count="14">
    <pivotField dataField="1" showAll="0"/>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pivotField showAll="0"/>
    <pivotField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axis="axisRow" showAll="0">
      <items count="6">
        <item x="4"/>
        <item x="3"/>
        <item x="1"/>
        <item x="2"/>
        <item x="0"/>
        <item t="default"/>
      </items>
    </pivotField>
    <pivotField numFmtId="14" showAll="0"/>
    <pivotField showAll="0">
      <items count="7">
        <item x="3"/>
        <item x="0"/>
        <item x="1"/>
        <item x="2"/>
        <item x="5"/>
        <item x="4"/>
        <item t="default"/>
      </items>
    </pivotField>
    <pivotField showAll="0"/>
    <pivotField showAll="0">
      <items count="13">
        <item x="8"/>
        <item x="7"/>
        <item x="6"/>
        <item x="11"/>
        <item x="3"/>
        <item x="0"/>
        <item x="2"/>
        <item x="9"/>
        <item x="10"/>
        <item x="4"/>
        <item x="5"/>
        <item x="1"/>
        <item t="default"/>
      </items>
    </pivotField>
    <pivotField showAll="0">
      <items count="7">
        <item x="4"/>
        <item x="2"/>
        <item x="3"/>
        <item x="0"/>
        <item x="1"/>
        <item x="5"/>
        <item t="default"/>
      </items>
    </pivotField>
  </pivotFields>
  <rowFields count="1">
    <field x="8"/>
  </rowFields>
  <rowItems count="6">
    <i>
      <x/>
    </i>
    <i>
      <x v="1"/>
    </i>
    <i>
      <x v="2"/>
    </i>
    <i>
      <x v="3"/>
    </i>
    <i>
      <x v="4"/>
    </i>
    <i t="grand">
      <x/>
    </i>
  </rowItems>
  <colItems count="1">
    <i/>
  </colItems>
  <dataFields count="1">
    <dataField name="Count of Order ID" fld="0" subtotal="count" showDataAs="percentOfTotal" baseField="0" baseItem="0" numFmtId="10"/>
  </dataFields>
  <formats count="8">
    <format dxfId="27">
      <pivotArea grandRow="1" outline="0" collapsedLevelsAreSubtotals="1" fieldPosition="0"/>
    </format>
    <format dxfId="26">
      <pivotArea outline="0" fieldPosition="0">
        <references count="1">
          <reference field="4294967294" count="1">
            <x v="0"/>
          </reference>
        </references>
      </pivotArea>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grandRow="1" outline="0" fieldPosition="0"/>
    </format>
    <format dxfId="20">
      <pivotArea dataOnly="0" labelOnly="1" outline="0" axis="axisValues" fieldPosition="0"/>
    </format>
  </formats>
  <chartFormats count="24">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8" count="1" selected="0">
            <x v="0"/>
          </reference>
        </references>
      </pivotArea>
    </chartFormat>
    <chartFormat chart="7" format="9">
      <pivotArea type="data" outline="0" fieldPosition="0">
        <references count="2">
          <reference field="4294967294" count="1" selected="0">
            <x v="0"/>
          </reference>
          <reference field="8" count="1" selected="0">
            <x v="1"/>
          </reference>
        </references>
      </pivotArea>
    </chartFormat>
    <chartFormat chart="7" format="10">
      <pivotArea type="data" outline="0" fieldPosition="0">
        <references count="2">
          <reference field="4294967294" count="1" selected="0">
            <x v="0"/>
          </reference>
          <reference field="8" count="1" selected="0">
            <x v="2"/>
          </reference>
        </references>
      </pivotArea>
    </chartFormat>
    <chartFormat chart="7" format="11">
      <pivotArea type="data" outline="0" fieldPosition="0">
        <references count="2">
          <reference field="4294967294" count="1" selected="0">
            <x v="0"/>
          </reference>
          <reference field="8" count="1" selected="0">
            <x v="3"/>
          </reference>
        </references>
      </pivotArea>
    </chartFormat>
    <chartFormat chart="7" format="12">
      <pivotArea type="data" outline="0" fieldPosition="0">
        <references count="2">
          <reference field="4294967294" count="1" selected="0">
            <x v="0"/>
          </reference>
          <reference field="8"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8" count="1" selected="0">
            <x v="0"/>
          </reference>
        </references>
      </pivotArea>
    </chartFormat>
    <chartFormat chart="9" format="15">
      <pivotArea type="data" outline="0" fieldPosition="0">
        <references count="2">
          <reference field="4294967294" count="1" selected="0">
            <x v="0"/>
          </reference>
          <reference field="8" count="1" selected="0">
            <x v="1"/>
          </reference>
        </references>
      </pivotArea>
    </chartFormat>
    <chartFormat chart="9" format="16">
      <pivotArea type="data" outline="0" fieldPosition="0">
        <references count="2">
          <reference field="4294967294" count="1" selected="0">
            <x v="0"/>
          </reference>
          <reference field="8" count="1" selected="0">
            <x v="2"/>
          </reference>
        </references>
      </pivotArea>
    </chartFormat>
    <chartFormat chart="9" format="17">
      <pivotArea type="data" outline="0" fieldPosition="0">
        <references count="2">
          <reference field="4294967294" count="1" selected="0">
            <x v="0"/>
          </reference>
          <reference field="8" count="1" selected="0">
            <x v="3"/>
          </reference>
        </references>
      </pivotArea>
    </chartFormat>
    <chartFormat chart="9" format="18">
      <pivotArea type="data" outline="0" fieldPosition="0">
        <references count="2">
          <reference field="4294967294" count="1" selected="0">
            <x v="0"/>
          </reference>
          <reference field="8"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8" count="1" selected="0">
            <x v="0"/>
          </reference>
        </references>
      </pivotArea>
    </chartFormat>
    <chartFormat chart="10" format="21">
      <pivotArea type="data" outline="0" fieldPosition="0">
        <references count="2">
          <reference field="4294967294" count="1" selected="0">
            <x v="0"/>
          </reference>
          <reference field="8" count="1" selected="0">
            <x v="1"/>
          </reference>
        </references>
      </pivotArea>
    </chartFormat>
    <chartFormat chart="10" format="22">
      <pivotArea type="data" outline="0" fieldPosition="0">
        <references count="2">
          <reference field="4294967294" count="1" selected="0">
            <x v="0"/>
          </reference>
          <reference field="8" count="1" selected="0">
            <x v="2"/>
          </reference>
        </references>
      </pivotArea>
    </chartFormat>
    <chartFormat chart="10" format="23">
      <pivotArea type="data" outline="0" fieldPosition="0">
        <references count="2">
          <reference field="4294967294" count="1" selected="0">
            <x v="0"/>
          </reference>
          <reference field="8" count="1" selected="0">
            <x v="3"/>
          </reference>
        </references>
      </pivotArea>
    </chartFormat>
    <chartFormat chart="10" format="24">
      <pivotArea type="data" outline="0" fieldPosition="0">
        <references count="2">
          <reference field="4294967294" count="1" selected="0">
            <x v="0"/>
          </reference>
          <reference field="8" count="1" selected="0">
            <x v="4"/>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8" count="1" selected="0">
            <x v="0"/>
          </reference>
        </references>
      </pivotArea>
    </chartFormat>
    <chartFormat chart="11" format="21">
      <pivotArea type="data" outline="0" fieldPosition="0">
        <references count="2">
          <reference field="4294967294" count="1" selected="0">
            <x v="0"/>
          </reference>
          <reference field="8" count="1" selected="0">
            <x v="1"/>
          </reference>
        </references>
      </pivotArea>
    </chartFormat>
    <chartFormat chart="11" format="22">
      <pivotArea type="data" outline="0" fieldPosition="0">
        <references count="2">
          <reference field="4294967294" count="1" selected="0">
            <x v="0"/>
          </reference>
          <reference field="8" count="1" selected="0">
            <x v="2"/>
          </reference>
        </references>
      </pivotArea>
    </chartFormat>
    <chartFormat chart="11" format="23">
      <pivotArea type="data" outline="0" fieldPosition="0">
        <references count="2">
          <reference field="4294967294" count="1" selected="0">
            <x v="0"/>
          </reference>
          <reference field="8" count="1" selected="0">
            <x v="3"/>
          </reference>
        </references>
      </pivotArea>
    </chartFormat>
    <chartFormat chart="11" format="2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DC11AA-189A-4EAC-8CBE-6237463C58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0:H31" firstHeaderRow="1" firstDataRow="1" firstDataCol="1"/>
  <pivotFields count="14">
    <pivotField showAll="0"/>
    <pivotField axis="axisRow" showAll="0" measureFilter="1" sortType="a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pivotField showAll="0">
      <items count="7">
        <item x="3"/>
        <item x="0"/>
        <item x="1"/>
        <item x="2"/>
        <item x="5"/>
        <item x="4"/>
        <item t="default"/>
      </items>
    </pivotField>
    <pivotField showAll="0"/>
    <pivotField showAll="0">
      <items count="13">
        <item x="8"/>
        <item x="7"/>
        <item x="6"/>
        <item x="11"/>
        <item x="3"/>
        <item x="0"/>
        <item x="2"/>
        <item x="9"/>
        <item x="10"/>
        <item x="4"/>
        <item x="5"/>
        <item x="1"/>
        <item t="default"/>
      </items>
    </pivotField>
    <pivotField showAll="0">
      <items count="7">
        <item x="4"/>
        <item x="2"/>
        <item x="3"/>
        <item x="0"/>
        <item x="1"/>
        <item x="5"/>
        <item t="default"/>
      </items>
    </pivotField>
  </pivotFields>
  <rowFields count="1">
    <field x="1"/>
  </rowFields>
  <rowItems count="11">
    <i>
      <x v="96"/>
    </i>
    <i>
      <x v="800"/>
    </i>
    <i>
      <x v="739"/>
    </i>
    <i>
      <x v="617"/>
    </i>
    <i>
      <x v="278"/>
    </i>
    <i>
      <x v="400"/>
    </i>
    <i>
      <x v="234"/>
    </i>
    <i>
      <x v="256"/>
    </i>
    <i>
      <x v="584"/>
    </i>
    <i>
      <x v="163"/>
    </i>
    <i t="grand">
      <x/>
    </i>
  </rowItems>
  <colItems count="1">
    <i/>
  </colItems>
  <dataFields count="1">
    <dataField name="Sum of Amount" fld="2" baseField="0" baseItem="0"/>
  </dataFields>
  <formats count="7">
    <format dxfId="34">
      <pivotArea grandRow="1" outline="0" collapsedLevelsAreSubtotals="1"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10">
            <x v="96"/>
            <x v="163"/>
            <x v="234"/>
            <x v="256"/>
            <x v="278"/>
            <x v="400"/>
            <x v="584"/>
            <x v="617"/>
            <x v="739"/>
            <x v="800"/>
          </reference>
        </references>
      </pivotArea>
    </format>
    <format dxfId="29">
      <pivotArea dataOnly="0" labelOnly="1" grandRow="1" outline="0" fieldPosition="0"/>
    </format>
    <format dxfId="28">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B8F19B-A496-462B-902C-8F5CBA2E88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32" firstHeaderRow="1" firstDataRow="1" firstDataCol="1"/>
  <pivotFields count="14">
    <pivotField showAll="0"/>
    <pivotField showAll="0"/>
    <pivotField showAll="0"/>
    <pivotField dataField="1" showAll="0"/>
    <pivotField showAll="0"/>
    <pivotField showAll="0"/>
    <pivotField showAll="0">
      <items count="4">
        <item x="0"/>
        <item x="2"/>
        <item x="1"/>
        <item t="default"/>
      </items>
    </pivotField>
    <pivotField axis="axisRow" showAll="0"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7">
        <item x="3"/>
        <item x="0"/>
        <item x="1"/>
        <item x="2"/>
        <item x="5"/>
        <item x="4"/>
        <item t="default"/>
      </items>
    </pivotField>
    <pivotField showAll="0"/>
    <pivotField showAll="0">
      <items count="13">
        <item x="8"/>
        <item x="7"/>
        <item x="6"/>
        <item x="11"/>
        <item x="3"/>
        <item x="0"/>
        <item x="2"/>
        <item x="9"/>
        <item x="10"/>
        <item x="4"/>
        <item x="5"/>
        <item x="1"/>
        <item t="default"/>
      </items>
    </pivotField>
    <pivotField showAll="0">
      <items count="7">
        <item x="4"/>
        <item x="2"/>
        <item x="3"/>
        <item x="0"/>
        <item x="1"/>
        <item x="5"/>
        <item t="default"/>
      </items>
    </pivotField>
  </pivotFields>
  <rowFields count="1">
    <field x="7"/>
  </rowFields>
  <rowItems count="13">
    <i>
      <x v="5"/>
    </i>
    <i>
      <x v="11"/>
    </i>
    <i>
      <x v="6"/>
    </i>
    <i>
      <x v="3"/>
    </i>
    <i>
      <x v="9"/>
    </i>
    <i>
      <x v="10"/>
    </i>
    <i>
      <x v="7"/>
    </i>
    <i>
      <x v="2"/>
    </i>
    <i>
      <x v="1"/>
    </i>
    <i>
      <x v="8"/>
    </i>
    <i>
      <x v="4"/>
    </i>
    <i>
      <x/>
    </i>
    <i t="grand">
      <x/>
    </i>
  </rowItems>
  <colItems count="1">
    <i/>
  </colItems>
  <dataFields count="1">
    <dataField name="Sum of Profit" fld="3" baseField="0" baseItem="0"/>
  </dataFields>
  <formats count="8">
    <format dxfId="42">
      <pivotArea collapsedLevelsAreSubtotals="1" fieldPosition="0">
        <references count="1">
          <reference field="7" count="0"/>
        </references>
      </pivotArea>
    </format>
    <format dxfId="41">
      <pivotArea grandRow="1" outline="0" collapsedLevelsAreSubtotals="1" fieldPosition="0"/>
    </format>
    <format dxfId="40">
      <pivotArea type="all" dataOnly="0" outline="0" fieldPosition="0"/>
    </format>
    <format dxfId="39">
      <pivotArea outline="0" collapsedLevelsAreSubtotals="1" fieldPosition="0"/>
    </format>
    <format dxfId="38">
      <pivotArea field="7" type="button" dataOnly="0" labelOnly="1" outline="0" axis="axisRow" fieldPosition="0"/>
    </format>
    <format dxfId="37">
      <pivotArea dataOnly="0" labelOnly="1" fieldPosition="0">
        <references count="1">
          <reference field="7" count="0"/>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A91D3B-686B-4DE6-989A-344209D156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3:S16" firstHeaderRow="1" firstDataRow="1" firstDataCol="1"/>
  <pivotFields count="14">
    <pivotField showAll="0"/>
    <pivotField showAll="0"/>
    <pivotField dataField="1" showAll="0"/>
    <pivotField showAll="0"/>
    <pivotField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pivotField showAll="0">
      <items count="7">
        <item x="3"/>
        <item x="0"/>
        <item x="1"/>
        <item x="2"/>
        <item x="5"/>
        <item x="4"/>
        <item t="default"/>
      </items>
    </pivotField>
    <pivotField showAll="0"/>
    <pivotField axis="axisRow" showAll="0">
      <items count="13">
        <item x="8"/>
        <item x="7"/>
        <item x="6"/>
        <item x="11"/>
        <item x="3"/>
        <item x="0"/>
        <item x="2"/>
        <item x="9"/>
        <item x="10"/>
        <item x="4"/>
        <item x="5"/>
        <item x="1"/>
        <item t="default"/>
      </items>
    </pivotField>
    <pivotField showAll="0">
      <items count="7">
        <item x="4"/>
        <item x="2"/>
        <item x="3"/>
        <item x="0"/>
        <item x="1"/>
        <item x="5"/>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Amount" fld="2" baseField="0" baseItem="0" numFmtId="164"/>
  </dataFields>
  <formats count="8">
    <format dxfId="50">
      <pivotArea grandRow="1" outline="0" collapsedLevelsAreSubtotals="1"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12" type="button" dataOnly="0" labelOnly="1" outline="0" axis="axisRow" fieldPosition="0"/>
    </format>
    <format dxfId="45">
      <pivotArea dataOnly="0" labelOnly="1" fieldPosition="0">
        <references count="1">
          <reference field="12" count="0"/>
        </references>
      </pivotArea>
    </format>
    <format dxfId="44">
      <pivotArea dataOnly="0" labelOnly="1" grandRow="1" outline="0" fieldPosition="0"/>
    </format>
    <format dxfId="4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B8EA3F-4D49-4C41-B758-BC31E5A7C0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3:Q10" firstHeaderRow="0" firstDataRow="1" firstDataCol="1"/>
  <pivotFields count="14">
    <pivotField showAll="0"/>
    <pivotField showAll="0"/>
    <pivotField dataField="1" showAll="0"/>
    <pivotField dataField="1" showAll="0"/>
    <pivotField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pivotField showAll="0">
      <items count="7">
        <item x="3"/>
        <item x="0"/>
        <item x="1"/>
        <item x="2"/>
        <item x="5"/>
        <item x="4"/>
        <item t="default"/>
      </items>
    </pivotField>
    <pivotField showAll="0"/>
    <pivotField showAll="0">
      <items count="13">
        <item x="8"/>
        <item x="7"/>
        <item x="6"/>
        <item x="11"/>
        <item x="3"/>
        <item x="0"/>
        <item x="2"/>
        <item x="9"/>
        <item x="10"/>
        <item x="4"/>
        <item x="5"/>
        <item x="1"/>
        <item t="default"/>
      </items>
    </pivotField>
    <pivotField axis="axisRow" showAll="0">
      <items count="7">
        <item x="4"/>
        <item x="2"/>
        <item x="3"/>
        <item x="0"/>
        <item x="1"/>
        <item x="5"/>
        <item t="default"/>
      </items>
    </pivotField>
  </pivotFields>
  <rowFields count="1">
    <field x="13"/>
  </rowFields>
  <rowItems count="7">
    <i>
      <x/>
    </i>
    <i>
      <x v="1"/>
    </i>
    <i>
      <x v="2"/>
    </i>
    <i>
      <x v="3"/>
    </i>
    <i>
      <x v="4"/>
    </i>
    <i>
      <x v="5"/>
    </i>
    <i t="grand">
      <x/>
    </i>
  </rowItems>
  <colFields count="1">
    <field x="-2"/>
  </colFields>
  <colItems count="2">
    <i>
      <x/>
    </i>
    <i i="1">
      <x v="1"/>
    </i>
  </colItems>
  <dataFields count="2">
    <dataField name="Sum of Amount" fld="2" baseField="0" baseItem="0"/>
    <dataField name="Sum of Profit" fld="3" baseField="0" baseItem="0"/>
  </dataFields>
  <formats count="8">
    <format dxfId="58">
      <pivotArea collapsedLevelsAreSubtotals="1" fieldPosition="0">
        <references count="1">
          <reference field="13" count="0"/>
        </references>
      </pivotArea>
    </format>
    <format dxfId="57">
      <pivotArea grandRow="1" outline="0" collapsedLevelsAreSubtotals="1" fieldPosition="0"/>
    </format>
    <format dxfId="56">
      <pivotArea type="all" dataOnly="0" outline="0" fieldPosition="0"/>
    </format>
    <format dxfId="55">
      <pivotArea outline="0" collapsedLevelsAreSubtotals="1" fieldPosition="0"/>
    </format>
    <format dxfId="54">
      <pivotArea field="13" type="button" dataOnly="0" labelOnly="1" outline="0" axis="axisRow" fieldPosition="0"/>
    </format>
    <format dxfId="53">
      <pivotArea dataOnly="0" labelOnly="1" fieldPosition="0">
        <references count="1">
          <reference field="13"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s>
  <chartFormats count="5">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9C2B46-9361-4A80-A311-1F76A1BBB0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0" firstHeaderRow="1" firstDataRow="1" firstDataCol="1"/>
  <pivotFields count="14">
    <pivotField showAll="0"/>
    <pivotField showAll="0"/>
    <pivotField dataField="1" showAll="0"/>
    <pivotField showAll="0"/>
    <pivotField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pivotField axis="axisRow" showAll="0">
      <items count="7">
        <item x="3"/>
        <item x="0"/>
        <item x="1"/>
        <item x="2"/>
        <item x="5"/>
        <item x="4"/>
        <item t="default"/>
      </items>
    </pivotField>
    <pivotField showAll="0"/>
    <pivotField showAll="0">
      <items count="13">
        <item x="8"/>
        <item x="7"/>
        <item x="6"/>
        <item x="11"/>
        <item x="3"/>
        <item x="0"/>
        <item x="2"/>
        <item x="9"/>
        <item x="10"/>
        <item x="4"/>
        <item x="5"/>
        <item x="1"/>
        <item t="default"/>
      </items>
    </pivotField>
    <pivotField showAll="0">
      <items count="7">
        <item x="4"/>
        <item x="2"/>
        <item x="3"/>
        <item x="0"/>
        <item x="1"/>
        <item x="5"/>
        <item t="default"/>
      </items>
    </pivotField>
  </pivotFields>
  <rowFields count="1">
    <field x="10"/>
  </rowFields>
  <rowItems count="7">
    <i>
      <x/>
    </i>
    <i>
      <x v="1"/>
    </i>
    <i>
      <x v="2"/>
    </i>
    <i>
      <x v="3"/>
    </i>
    <i>
      <x v="4"/>
    </i>
    <i>
      <x v="5"/>
    </i>
    <i t="grand">
      <x/>
    </i>
  </rowItems>
  <colItems count="1">
    <i/>
  </colItems>
  <dataFields count="1">
    <dataField name="Sum of Amount" fld="2" baseField="0" baseItem="0"/>
  </dataFields>
  <formats count="8">
    <format dxfId="66">
      <pivotArea collapsedLevelsAreSubtotals="1" fieldPosition="0">
        <references count="1">
          <reference field="10" count="0"/>
        </references>
      </pivotArea>
    </format>
    <format dxfId="65">
      <pivotArea grandRow="1" outline="0" collapsedLevelsAreSubtotals="1" fieldPosition="0"/>
    </format>
    <format dxfId="64">
      <pivotArea type="all" dataOnly="0" outline="0" fieldPosition="0"/>
    </format>
    <format dxfId="63">
      <pivotArea outline="0" collapsedLevelsAreSubtotals="1" fieldPosition="0"/>
    </format>
    <format dxfId="62">
      <pivotArea field="10" type="button" dataOnly="0" labelOnly="1" outline="0" axis="axisRow" fieldPosition="0"/>
    </format>
    <format dxfId="61">
      <pivotArea dataOnly="0" labelOnly="1" fieldPosition="0">
        <references count="1">
          <reference field="10" count="0"/>
        </references>
      </pivotArea>
    </format>
    <format dxfId="60">
      <pivotArea dataOnly="0" labelOnly="1" grandRow="1" outline="0"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4F1019-6AE0-421D-AF78-0A61A0113B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F7" firstHeaderRow="1" firstDataRow="1" firstDataCol="1"/>
  <pivotFields count="14">
    <pivotField dataField="1" showAll="0"/>
    <pivotField showAll="0"/>
    <pivotField showAll="0"/>
    <pivotField showAll="0"/>
    <pivotField showAll="0"/>
    <pivotField showAll="0"/>
    <pivotField axis="axisRow"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pivotField showAll="0">
      <items count="7">
        <item x="3"/>
        <item x="0"/>
        <item x="1"/>
        <item x="2"/>
        <item x="5"/>
        <item x="4"/>
        <item t="default"/>
      </items>
    </pivotField>
    <pivotField showAll="0"/>
    <pivotField showAll="0">
      <items count="13">
        <item x="8"/>
        <item x="7"/>
        <item x="6"/>
        <item x="11"/>
        <item x="3"/>
        <item x="0"/>
        <item x="2"/>
        <item x="9"/>
        <item x="10"/>
        <item x="4"/>
        <item x="5"/>
        <item x="1"/>
        <item t="default"/>
      </items>
    </pivotField>
    <pivotField showAll="0">
      <items count="7">
        <item x="4"/>
        <item x="2"/>
        <item x="3"/>
        <item x="0"/>
        <item x="1"/>
        <item x="5"/>
        <item t="default"/>
      </items>
    </pivotField>
  </pivotFields>
  <rowFields count="1">
    <field x="6"/>
  </rowFields>
  <rowItems count="4">
    <i>
      <x/>
    </i>
    <i>
      <x v="1"/>
    </i>
    <i>
      <x v="2"/>
    </i>
    <i t="grand">
      <x/>
    </i>
  </rowItems>
  <colItems count="1">
    <i/>
  </colItems>
  <dataFields count="1">
    <dataField name="Count of Order ID" fld="0" subtotal="count" baseField="0" baseItem="0"/>
  </dataFields>
  <formats count="7">
    <format dxfId="73">
      <pivotArea grandRow="1" outline="0" collapsedLevelsAreSubtotals="1" fieldPosition="0"/>
    </format>
    <format dxfId="72">
      <pivotArea type="all" dataOnly="0" outline="0" fieldPosition="0"/>
    </format>
    <format dxfId="71">
      <pivotArea outline="0" collapsedLevelsAreSubtotals="1" fieldPosition="0"/>
    </format>
    <format dxfId="70">
      <pivotArea field="6" type="button" dataOnly="0" labelOnly="1" outline="0" axis="axisRow" fieldPosition="0"/>
    </format>
    <format dxfId="69">
      <pivotArea dataOnly="0" labelOnly="1" fieldPosition="0">
        <references count="1">
          <reference field="6" count="0"/>
        </references>
      </pivotArea>
    </format>
    <format dxfId="68">
      <pivotArea dataOnly="0" labelOnly="1" grandRow="1" outline="0" fieldPosition="0"/>
    </format>
    <format dxfId="67">
      <pivotArea dataOnly="0" labelOnly="1" outline="0" axis="axisValues" fieldPosition="0"/>
    </format>
  </formats>
  <chartFormats count="8">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6" count="1" selected="0">
            <x v="0"/>
          </reference>
        </references>
      </pivotArea>
    </chartFormat>
    <chartFormat chart="15" format="7">
      <pivotArea type="data" outline="0" fieldPosition="0">
        <references count="2">
          <reference field="4294967294" count="1" selected="0">
            <x v="0"/>
          </reference>
          <reference field="6" count="1" selected="0">
            <x v="1"/>
          </reference>
        </references>
      </pivotArea>
    </chartFormat>
    <chartFormat chart="15" format="8">
      <pivotArea type="data" outline="0" fieldPosition="0">
        <references count="2">
          <reference field="4294967294" count="1" selected="0">
            <x v="0"/>
          </reference>
          <reference field="6" count="1" selected="0">
            <x v="2"/>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6" count="1" selected="0">
            <x v="0"/>
          </reference>
        </references>
      </pivotArea>
    </chartFormat>
    <chartFormat chart="18" format="15">
      <pivotArea type="data" outline="0" fieldPosition="0">
        <references count="2">
          <reference field="4294967294" count="1" selected="0">
            <x v="0"/>
          </reference>
          <reference field="6" count="1" selected="0">
            <x v="1"/>
          </reference>
        </references>
      </pivotArea>
    </chartFormat>
    <chartFormat chart="18"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CAC285-4D75-469B-B62E-1CF26E526CCD}" autoFormatId="16" applyNumberFormats="0" applyBorderFormats="0" applyFontFormats="0" applyPatternFormats="0" applyAlignmentFormats="0" applyWidthHeightFormats="0">
  <queryTableRefresh nextId="17">
    <queryTableFields count="14">
      <queryTableField id="1" name="Order ID" tableColumnId="1"/>
      <queryTableField id="9" name="CustomerName" tableColumnId="9"/>
      <queryTableField id="2" name="Amount" tableColumnId="2"/>
      <queryTableField id="3" name="Profit" tableColumnId="3"/>
      <queryTableField id="14" name="Profit Mirging" tableColumnId="14"/>
      <queryTableField id="4" name="Quantity" tableColumnId="4"/>
      <queryTableField id="5" name="Category" tableColumnId="5"/>
      <queryTableField id="6" name="Sub-Category" tableColumnId="6"/>
      <queryTableField id="7" name="PaymentMode" tableColumnId="7"/>
      <queryTableField id="8" name="Order Date" tableColumnId="8"/>
      <queryTableField id="10" name="State" tableColumnId="10"/>
      <queryTableField id="11" name="City" tableColumnId="11"/>
      <queryTableField id="12" name="Month Name" tableColumnId="12"/>
      <queryTableField id="13" name="Yea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165302E-87DB-4354-9E56-58C68CEB4866}" sourceName="State">
  <pivotTables>
    <pivotTable tabId="3" name="PivotTable3"/>
    <pivotTable tabId="3" name="PivotTable1"/>
    <pivotTable tabId="3" name="PivotTable10"/>
    <pivotTable tabId="3" name="PivotTable2"/>
    <pivotTable tabId="3" name="PivotTable4"/>
    <pivotTable tabId="3" name="PivotTable5"/>
    <pivotTable tabId="3" name="PivotTable6"/>
    <pivotTable tabId="3" name="PivotTable9"/>
  </pivotTables>
  <data>
    <tabular pivotCacheId="297658797">
      <items count="6">
        <i x="3" s="1"/>
        <i x="0" s="1"/>
        <i x="1" s="1"/>
        <i x="2"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60DCC94-06D9-4463-B251-A8FD9D2DF519}" sourceName="Month Name">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9"/>
  </pivotTables>
  <data>
    <tabular pivotCacheId="297658797">
      <items count="12">
        <i x="8" s="1"/>
        <i x="7" s="1"/>
        <i x="6" s="1"/>
        <i x="11" s="1"/>
        <i x="3" s="1"/>
        <i x="0" s="1"/>
        <i x="2" s="1"/>
        <i x="9" s="1"/>
        <i x="10" s="1"/>
        <i x="4"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4F2094-1FA3-482F-BDDE-2D1D8C1338A7}" sourceName="Year">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9"/>
  </pivotTables>
  <data>
    <tabular pivotCacheId="297658797">
      <items count="6">
        <i x="4" s="1"/>
        <i x="2" s="1"/>
        <i x="3" s="1"/>
        <i x="0"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78A8664-DF3C-4A96-9F3B-92A7048DFCF5}" sourceName="Sub-Category">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9"/>
  </pivotTables>
  <data>
    <tabular pivotCacheId="297658797">
      <items count="12">
        <i x="9" s="1"/>
        <i x="11" s="1"/>
        <i x="5" s="1"/>
        <i x="0" s="1"/>
        <i x="3" s="1"/>
        <i x="6" s="1"/>
        <i x="8" s="1"/>
        <i x="2" s="1"/>
        <i x="10" s="1"/>
        <i x="1" s="1"/>
        <i x="7"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19A5A0-47CF-4834-A074-FFB53BDC024F}" sourceName="Category">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9"/>
  </pivotTables>
  <data>
    <tabular pivotCacheId="2976587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C5505A3-B6D3-495B-B54F-4346D0755D0A}" cache="Slicer_State" caption="State" style="Slicer Style 1" rowHeight="241300"/>
  <slicer name="Month Name" xr10:uid="{A35CFA9B-0CD2-4B88-84A1-A88EDA39DFC5}" cache="Slicer_Month_Name" caption="Month Name" style="Slicer Style 1" rowHeight="241300"/>
  <slicer name="Year" xr10:uid="{DC6D1B6D-E7DE-44E2-8BFF-40337A6D0461}" cache="Slicer_Year" caption="Year" columnCount="2" style="Slicer Style 1" rowHeight="241300"/>
  <slicer name="Sub-Category" xr10:uid="{D0EEFECB-BCD4-425B-A7F4-1FA1BC0D9649}" cache="Slicer_Sub_Category" caption="Sub-Category" style="Slicer Style 1" rowHeight="241300"/>
  <slicer name="Category" xr10:uid="{54BB2FA4-28E3-46B7-BCDA-31C8B6E218B2}" cache="Slicer_Category" caption="Category"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68C0A9-3680-4749-9FEF-6F29BE4BF17D}" name="Table1_1" displayName="Table1_1" ref="A1:N1195" tableType="queryTable" totalsRowShown="0">
  <autoFilter ref="A1:N1195" xr:uid="{8F68C0A9-3680-4749-9FEF-6F29BE4BF17D}"/>
  <tableColumns count="14">
    <tableColumn id="1" xr3:uid="{8FE83994-7793-4D5C-9420-C24EDFF9A43F}" uniqueName="1" name="Order ID" queryTableFieldId="1" dataDxfId="11"/>
    <tableColumn id="9" xr3:uid="{4DEC7A74-826D-4BF2-B216-9F0610138CBD}" uniqueName="9" name="CustomerName" queryTableFieldId="9" dataDxfId="10"/>
    <tableColumn id="2" xr3:uid="{C4802C6E-A478-49F7-8BE3-77A8B5A1490F}" uniqueName="2" name="Amount" queryTableFieldId="2"/>
    <tableColumn id="3" xr3:uid="{83BBD4D0-84D6-42D9-AA10-51AA49BB9A98}" uniqueName="3" name="Profit" queryTableFieldId="3"/>
    <tableColumn id="14" xr3:uid="{4D21A468-CF7C-4C44-9008-812C13ADEC75}" uniqueName="14" name="Profit Mirging" queryTableFieldId="14" dataCellStyle="Percent"/>
    <tableColumn id="4" xr3:uid="{8CD8D07F-F982-42F4-B514-205C92569465}" uniqueName="4" name="Quantity" queryTableFieldId="4"/>
    <tableColumn id="5" xr3:uid="{842F1F6A-0AE9-440D-A91D-07E891718B35}" uniqueName="5" name="Category" queryTableFieldId="5" dataDxfId="9"/>
    <tableColumn id="6" xr3:uid="{6C3FDA53-2B25-4785-9BDA-C632AC1914DA}" uniqueName="6" name="Sub-Category" queryTableFieldId="6" dataDxfId="8"/>
    <tableColumn id="7" xr3:uid="{738C30C8-AEE5-41E8-838B-33578CB67501}" uniqueName="7" name="PaymentMode" queryTableFieldId="7" dataDxfId="7"/>
    <tableColumn id="8" xr3:uid="{9DA40FBB-E5BF-40B6-B53A-C783A87E1D0D}" uniqueName="8" name="Order Date" queryTableFieldId="8" dataDxfId="6"/>
    <tableColumn id="10" xr3:uid="{518806DB-D8FB-493A-A09B-911187451479}" uniqueName="10" name="State" queryTableFieldId="10" dataDxfId="5"/>
    <tableColumn id="11" xr3:uid="{7C145FA5-B29A-4355-AFBE-E1A9CE4C57D9}" uniqueName="11" name="City" queryTableFieldId="11" dataDxfId="4"/>
    <tableColumn id="12" xr3:uid="{EF2236F8-69F4-409A-9A49-0CAF943E059B}" uniqueName="12" name="Month Name" queryTableFieldId="12" dataDxfId="3"/>
    <tableColumn id="13" xr3:uid="{5C47CC35-7270-4E95-9D82-7814C13B4987}" uniqueName="13" name="Year"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891518-B387-4601-845B-A0CAFF4B1FD9}" name="Table1" displayName="Table1" ref="A1:N1203" totalsRowShown="0">
  <autoFilter ref="A1:N1203" xr:uid="{A4891518-B387-4601-845B-A0CAFF4B1FD9}"/>
  <tableColumns count="14">
    <tableColumn id="1" xr3:uid="{CBB9E883-3E2E-4CD4-B207-B4145BB06D55}" name="Order ID"/>
    <tableColumn id="2" xr3:uid="{7E54464A-6F84-4B95-9737-B6D25DF65C08}" name="Amount"/>
    <tableColumn id="3" xr3:uid="{3AD01E71-166B-4FC9-A3F1-845FB49F9817}" name="Profit"/>
    <tableColumn id="4" xr3:uid="{864F4F8D-884B-4941-801C-3555404DC844}" name="Column1"/>
    <tableColumn id="5" xr3:uid="{3BF59391-522D-4F18-9531-DD73D1D0B04F}" name="Quantity"/>
    <tableColumn id="6" xr3:uid="{FA23A62F-981A-4F13-BF9A-4A02511D3FA9}" name="Category"/>
    <tableColumn id="7" xr3:uid="{7C9FC649-85D0-44E1-B1E2-2C62C9860F4F}" name="Sub-Category"/>
    <tableColumn id="8" xr3:uid="{85CA43F0-8507-413D-9ED2-3815A9F42AE8}" name="PaymentMode"/>
    <tableColumn id="9" xr3:uid="{162CD733-6054-4FC8-973F-EB8319B229B4}" name="Column2"/>
    <tableColumn id="10" xr3:uid="{95AEF121-210F-438C-AC0D-A55339748B5F}" name="Order Date" dataDxfId="2"/>
    <tableColumn id="11" xr3:uid="{A249500F-00A8-4030-93C8-F19069312C9A}" name="CustomerName"/>
    <tableColumn id="12" xr3:uid="{41D823B3-7EFB-47E2-A402-D1601DA8A2D4}" name="State"/>
    <tableColumn id="13" xr3:uid="{E70ED917-9FE8-435D-80D1-E3D2A4CDD86A}" name="City"/>
    <tableColumn id="14" xr3:uid="{26A7B919-09E1-449E-A28F-688D63B5DB82}" name="Year-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97D2-DFF2-4D35-B39A-CE8904D705A4}">
  <dimension ref="A2:S33"/>
  <sheetViews>
    <sheetView workbookViewId="0">
      <selection activeCell="L33" sqref="L33"/>
    </sheetView>
  </sheetViews>
  <sheetFormatPr defaultColWidth="9.140625" defaultRowHeight="15" x14ac:dyDescent="0.25"/>
  <cols>
    <col min="1" max="1" width="16.42578125" bestFit="1" customWidth="1"/>
    <col min="2" max="2" width="12.7109375" bestFit="1" customWidth="1"/>
    <col min="3" max="3" width="13.28515625" bestFit="1" customWidth="1"/>
    <col min="5" max="5" width="14.28515625" bestFit="1" customWidth="1"/>
    <col min="6" max="6" width="17" bestFit="1" customWidth="1"/>
    <col min="7" max="7" width="18.140625" bestFit="1" customWidth="1"/>
    <col min="8" max="8" width="14.85546875" bestFit="1" customWidth="1"/>
    <col min="9" max="9" width="13.42578125" bestFit="1" customWidth="1"/>
    <col min="10" max="10" width="14.85546875" bestFit="1" customWidth="1"/>
    <col min="11" max="11" width="13.42578125" bestFit="1" customWidth="1"/>
    <col min="12" max="12" width="17" bestFit="1" customWidth="1"/>
    <col min="13" max="13" width="14.85546875" customWidth="1"/>
    <col min="14" max="14" width="11.7109375" bestFit="1" customWidth="1"/>
    <col min="15" max="15" width="13.42578125" bestFit="1" customWidth="1"/>
    <col min="16" max="16" width="14.85546875" bestFit="1" customWidth="1"/>
    <col min="17" max="17" width="12.7109375" bestFit="1" customWidth="1"/>
    <col min="18" max="18" width="13.42578125" bestFit="1" customWidth="1"/>
    <col min="19" max="19" width="14.85546875" bestFit="1" customWidth="1"/>
  </cols>
  <sheetData>
    <row r="2" spans="1:19" x14ac:dyDescent="0.25">
      <c r="A2" t="s">
        <v>1489</v>
      </c>
      <c r="E2" t="s">
        <v>1488</v>
      </c>
      <c r="I2" t="s">
        <v>1490</v>
      </c>
      <c r="O2" t="s">
        <v>1491</v>
      </c>
      <c r="R2" t="s">
        <v>1492</v>
      </c>
    </row>
    <row r="3" spans="1:19" x14ac:dyDescent="0.25">
      <c r="A3" s="6" t="s">
        <v>1483</v>
      </c>
      <c r="B3" s="6" t="s">
        <v>1485</v>
      </c>
      <c r="E3" s="6" t="s">
        <v>1483</v>
      </c>
      <c r="F3" s="6" t="s">
        <v>1487</v>
      </c>
      <c r="I3" s="6" t="s">
        <v>1483</v>
      </c>
      <c r="J3" s="6" t="s">
        <v>1485</v>
      </c>
      <c r="O3" s="6" t="s">
        <v>1483</v>
      </c>
      <c r="P3" s="6" t="s">
        <v>1485</v>
      </c>
      <c r="Q3" s="6" t="s">
        <v>1486</v>
      </c>
      <c r="R3" s="6" t="s">
        <v>1483</v>
      </c>
      <c r="S3" s="6" t="s">
        <v>1485</v>
      </c>
    </row>
    <row r="4" spans="1:19" x14ac:dyDescent="0.25">
      <c r="A4" s="7" t="s">
        <v>78</v>
      </c>
      <c r="B4" s="8">
        <v>384611</v>
      </c>
      <c r="E4" s="7" t="s">
        <v>13</v>
      </c>
      <c r="F4" s="10">
        <v>388</v>
      </c>
      <c r="I4" s="7" t="s">
        <v>42</v>
      </c>
      <c r="J4" s="8">
        <v>1086436</v>
      </c>
      <c r="K4" s="2" t="s">
        <v>42</v>
      </c>
      <c r="L4" s="3">
        <f>_xlfn.XLOOKUP(K4,I4:I9,J4:J9)</f>
        <v>1086436</v>
      </c>
      <c r="M4" s="3"/>
      <c r="O4" s="7">
        <v>2020</v>
      </c>
      <c r="P4" s="8">
        <v>859401</v>
      </c>
      <c r="Q4" s="8">
        <v>224103</v>
      </c>
      <c r="R4" s="7" t="s">
        <v>1478</v>
      </c>
      <c r="S4" s="8">
        <v>392678</v>
      </c>
    </row>
    <row r="5" spans="1:19" x14ac:dyDescent="0.25">
      <c r="A5" s="7" t="s">
        <v>109</v>
      </c>
      <c r="B5" s="8">
        <v>413165</v>
      </c>
      <c r="E5" s="7" t="s">
        <v>45</v>
      </c>
      <c r="F5" s="10">
        <v>407</v>
      </c>
      <c r="I5" s="7" t="s">
        <v>17</v>
      </c>
      <c r="J5" s="8">
        <v>1091174</v>
      </c>
      <c r="K5" s="2" t="s">
        <v>17</v>
      </c>
      <c r="L5" s="3">
        <f t="shared" ref="L5:L9" si="0">_xlfn.XLOOKUP(K5,I5:I10,J5:J10)</f>
        <v>1091174</v>
      </c>
      <c r="M5" s="3"/>
      <c r="O5" s="7">
        <v>2021</v>
      </c>
      <c r="P5" s="8">
        <v>1181446</v>
      </c>
      <c r="Q5" s="8">
        <v>283231</v>
      </c>
      <c r="R5" s="7" t="s">
        <v>1477</v>
      </c>
      <c r="S5" s="8">
        <v>450672</v>
      </c>
    </row>
    <row r="6" spans="1:19" x14ac:dyDescent="0.25">
      <c r="A6" s="7" t="s">
        <v>49</v>
      </c>
      <c r="B6" s="8">
        <v>431964</v>
      </c>
      <c r="E6" s="7" t="s">
        <v>30</v>
      </c>
      <c r="F6" s="10">
        <v>399</v>
      </c>
      <c r="I6" s="7" t="s">
        <v>21</v>
      </c>
      <c r="J6" s="8">
        <v>978738</v>
      </c>
      <c r="K6" s="2" t="s">
        <v>21</v>
      </c>
      <c r="L6" s="3">
        <f t="shared" si="0"/>
        <v>978738</v>
      </c>
      <c r="M6" s="3"/>
      <c r="O6" s="7">
        <v>2022</v>
      </c>
      <c r="P6" s="8">
        <v>1459775</v>
      </c>
      <c r="Q6" s="8">
        <v>393113</v>
      </c>
      <c r="R6" s="7" t="s">
        <v>1476</v>
      </c>
      <c r="S6" s="8">
        <v>497247</v>
      </c>
    </row>
    <row r="7" spans="1:19" x14ac:dyDescent="0.25">
      <c r="A7" s="7" t="s">
        <v>14</v>
      </c>
      <c r="B7" s="8">
        <v>565092</v>
      </c>
      <c r="E7" s="7" t="s">
        <v>1484</v>
      </c>
      <c r="F7" s="8">
        <v>1194</v>
      </c>
      <c r="I7" s="7" t="s">
        <v>25</v>
      </c>
      <c r="J7" s="8">
        <v>1130048</v>
      </c>
      <c r="K7" s="2" t="s">
        <v>25</v>
      </c>
      <c r="L7" s="3">
        <f t="shared" si="0"/>
        <v>1130048</v>
      </c>
      <c r="M7" s="3"/>
      <c r="O7" s="7">
        <v>2023</v>
      </c>
      <c r="P7" s="8">
        <v>1229723</v>
      </c>
      <c r="Q7" s="8">
        <v>321671</v>
      </c>
      <c r="R7" s="7" t="s">
        <v>1481</v>
      </c>
      <c r="S7" s="8">
        <v>567882</v>
      </c>
    </row>
    <row r="8" spans="1:19" x14ac:dyDescent="0.25">
      <c r="A8" s="7" t="s">
        <v>39</v>
      </c>
      <c r="B8" s="8">
        <v>419950</v>
      </c>
      <c r="I8" s="7" t="s">
        <v>98</v>
      </c>
      <c r="J8" s="8">
        <v>884768</v>
      </c>
      <c r="K8" s="2" t="s">
        <v>98</v>
      </c>
      <c r="L8" s="3">
        <f t="shared" si="0"/>
        <v>884768</v>
      </c>
      <c r="M8" s="3"/>
      <c r="O8" s="7">
        <v>2024</v>
      </c>
      <c r="P8" s="8">
        <v>1202478</v>
      </c>
      <c r="Q8" s="8">
        <v>308336</v>
      </c>
      <c r="R8" s="7" t="s">
        <v>1473</v>
      </c>
      <c r="S8" s="8">
        <v>581943</v>
      </c>
    </row>
    <row r="9" spans="1:19" x14ac:dyDescent="0.25">
      <c r="A9" s="7" t="s">
        <v>57</v>
      </c>
      <c r="B9" s="8">
        <v>627875</v>
      </c>
      <c r="I9" s="7" t="s">
        <v>71</v>
      </c>
      <c r="J9" s="8">
        <v>1011475</v>
      </c>
      <c r="K9" s="2" t="s">
        <v>71</v>
      </c>
      <c r="L9" s="3">
        <f t="shared" si="0"/>
        <v>1011475</v>
      </c>
      <c r="M9" s="3"/>
      <c r="O9" s="7">
        <v>2025</v>
      </c>
      <c r="P9" s="8">
        <v>249816</v>
      </c>
      <c r="Q9" s="8">
        <v>80243</v>
      </c>
      <c r="R9" s="7" t="s">
        <v>1470</v>
      </c>
      <c r="S9" s="8">
        <v>529028</v>
      </c>
    </row>
    <row r="10" spans="1:19" x14ac:dyDescent="0.25">
      <c r="A10" s="7" t="s">
        <v>64</v>
      </c>
      <c r="B10" s="8">
        <v>524755</v>
      </c>
      <c r="I10" s="7" t="s">
        <v>1484</v>
      </c>
      <c r="J10" s="8">
        <v>6182639</v>
      </c>
      <c r="K10" s="3"/>
      <c r="L10" s="3"/>
      <c r="M10" s="3"/>
      <c r="O10" s="7" t="s">
        <v>1484</v>
      </c>
      <c r="P10" s="8">
        <v>6182639</v>
      </c>
      <c r="Q10" s="8">
        <v>1610697</v>
      </c>
      <c r="R10" s="7" t="s">
        <v>1472</v>
      </c>
      <c r="S10" s="8">
        <v>497410</v>
      </c>
    </row>
    <row r="11" spans="1:19" x14ac:dyDescent="0.25">
      <c r="A11" s="7" t="s">
        <v>31</v>
      </c>
      <c r="B11" s="8">
        <v>552269</v>
      </c>
      <c r="R11" s="7" t="s">
        <v>1479</v>
      </c>
      <c r="S11" s="8">
        <v>517830</v>
      </c>
    </row>
    <row r="12" spans="1:19" x14ac:dyDescent="0.25">
      <c r="A12" s="7" t="s">
        <v>82</v>
      </c>
      <c r="B12" s="8">
        <v>503055</v>
      </c>
      <c r="R12" s="7" t="s">
        <v>1480</v>
      </c>
      <c r="S12" s="8">
        <v>408236</v>
      </c>
    </row>
    <row r="13" spans="1:19" x14ac:dyDescent="0.25">
      <c r="A13" s="7" t="s">
        <v>28</v>
      </c>
      <c r="B13" s="8">
        <v>566359</v>
      </c>
      <c r="R13" s="7" t="s">
        <v>1474</v>
      </c>
      <c r="S13" s="8">
        <v>632521</v>
      </c>
    </row>
    <row r="14" spans="1:19" x14ac:dyDescent="0.25">
      <c r="A14" s="7" t="s">
        <v>60</v>
      </c>
      <c r="B14" s="8">
        <v>568367</v>
      </c>
      <c r="R14" s="7" t="s">
        <v>1475</v>
      </c>
      <c r="S14" s="8">
        <v>451814</v>
      </c>
    </row>
    <row r="15" spans="1:19" x14ac:dyDescent="0.25">
      <c r="A15" s="7" t="s">
        <v>46</v>
      </c>
      <c r="B15" s="8">
        <v>625177</v>
      </c>
      <c r="R15" s="7" t="s">
        <v>1471</v>
      </c>
      <c r="S15" s="8">
        <v>655378</v>
      </c>
    </row>
    <row r="16" spans="1:19" x14ac:dyDescent="0.25">
      <c r="A16" s="7" t="s">
        <v>1484</v>
      </c>
      <c r="B16" s="8">
        <v>6182639</v>
      </c>
      <c r="C16" s="4">
        <f>GETPIVOTDATA("Amount",$A$3)</f>
        <v>6182639</v>
      </c>
      <c r="R16" s="7" t="s">
        <v>1484</v>
      </c>
      <c r="S16" s="8">
        <v>6182639</v>
      </c>
    </row>
    <row r="18" spans="1:12" x14ac:dyDescent="0.25">
      <c r="A18" s="2" t="s">
        <v>1493</v>
      </c>
    </row>
    <row r="19" spans="1:12" x14ac:dyDescent="0.25">
      <c r="A19" s="6" t="s">
        <v>1483</v>
      </c>
      <c r="B19" s="6" t="s">
        <v>1486</v>
      </c>
      <c r="G19" t="s">
        <v>1492</v>
      </c>
    </row>
    <row r="20" spans="1:12" x14ac:dyDescent="0.25">
      <c r="A20" s="7" t="s">
        <v>57</v>
      </c>
      <c r="B20" s="8">
        <v>174749</v>
      </c>
      <c r="C20" s="2" t="s">
        <v>57</v>
      </c>
      <c r="D20" s="3">
        <f>_xlfn.XLOOKUP(C20,A20:A31,B20:B31)</f>
        <v>174749</v>
      </c>
      <c r="G20" s="6" t="s">
        <v>1483</v>
      </c>
      <c r="H20" s="6" t="s">
        <v>1485</v>
      </c>
      <c r="K20" s="6" t="s">
        <v>1483</v>
      </c>
      <c r="L20" s="6" t="s">
        <v>1487</v>
      </c>
    </row>
    <row r="21" spans="1:12" x14ac:dyDescent="0.25">
      <c r="A21" s="7" t="s">
        <v>46</v>
      </c>
      <c r="B21" s="8">
        <v>156796</v>
      </c>
      <c r="C21" s="2" t="s">
        <v>46</v>
      </c>
      <c r="D21" s="3">
        <f t="shared" ref="D21:D31" si="1">_xlfn.XLOOKUP(C21,A21:A32,B21:B32)</f>
        <v>156796</v>
      </c>
      <c r="G21" s="7" t="s">
        <v>194</v>
      </c>
      <c r="H21" s="10">
        <v>23737</v>
      </c>
      <c r="K21" s="7" t="s">
        <v>65</v>
      </c>
      <c r="L21" s="9">
        <v>0.17252931323283083</v>
      </c>
    </row>
    <row r="22" spans="1:12" x14ac:dyDescent="0.25">
      <c r="A22" s="7" t="s">
        <v>64</v>
      </c>
      <c r="B22" s="8">
        <v>149723</v>
      </c>
      <c r="C22" s="2" t="s">
        <v>64</v>
      </c>
      <c r="D22" s="3">
        <f t="shared" si="1"/>
        <v>149723</v>
      </c>
      <c r="G22" s="7" t="s">
        <v>193</v>
      </c>
      <c r="H22" s="10">
        <v>23737</v>
      </c>
      <c r="K22" s="7" t="s">
        <v>47</v>
      </c>
      <c r="L22" s="9">
        <v>0.21608040201005024</v>
      </c>
    </row>
    <row r="23" spans="1:12" x14ac:dyDescent="0.25">
      <c r="A23" s="7" t="s">
        <v>14</v>
      </c>
      <c r="B23" s="8">
        <v>148454</v>
      </c>
      <c r="C23" s="2" t="s">
        <v>14</v>
      </c>
      <c r="D23" s="3">
        <f t="shared" si="1"/>
        <v>148454</v>
      </c>
      <c r="G23" s="7" t="s">
        <v>370</v>
      </c>
      <c r="H23" s="10">
        <v>23895</v>
      </c>
      <c r="K23" s="7" t="s">
        <v>32</v>
      </c>
      <c r="L23" s="9">
        <v>0.21775544388609716</v>
      </c>
    </row>
    <row r="24" spans="1:12" x14ac:dyDescent="0.25">
      <c r="A24" s="7" t="s">
        <v>28</v>
      </c>
      <c r="B24" s="8">
        <v>146259</v>
      </c>
      <c r="C24" s="2" t="s">
        <v>28</v>
      </c>
      <c r="D24" s="3">
        <f t="shared" si="1"/>
        <v>146259</v>
      </c>
      <c r="G24" s="7" t="s">
        <v>615</v>
      </c>
      <c r="H24" s="10">
        <v>24295</v>
      </c>
      <c r="K24" s="7" t="s">
        <v>40</v>
      </c>
      <c r="L24" s="9">
        <v>0.18257956448911222</v>
      </c>
    </row>
    <row r="25" spans="1:12" x14ac:dyDescent="0.25">
      <c r="A25" s="7" t="s">
        <v>60</v>
      </c>
      <c r="B25" s="8">
        <v>142854</v>
      </c>
      <c r="C25" s="2" t="s">
        <v>60</v>
      </c>
      <c r="D25" s="3">
        <f t="shared" si="1"/>
        <v>142854</v>
      </c>
      <c r="G25" s="7" t="s">
        <v>91</v>
      </c>
      <c r="H25" s="10">
        <v>24433</v>
      </c>
      <c r="K25" s="7" t="s">
        <v>15</v>
      </c>
      <c r="L25" s="9">
        <v>0.21105527638190955</v>
      </c>
    </row>
    <row r="26" spans="1:12" x14ac:dyDescent="0.25">
      <c r="A26" s="7" t="s">
        <v>31</v>
      </c>
      <c r="B26" s="8">
        <v>129846</v>
      </c>
      <c r="C26" s="2" t="s">
        <v>31</v>
      </c>
      <c r="D26" s="3">
        <f t="shared" si="1"/>
        <v>129846</v>
      </c>
      <c r="G26" s="7" t="s">
        <v>450</v>
      </c>
      <c r="H26" s="10">
        <v>25121</v>
      </c>
      <c r="K26" s="7" t="s">
        <v>1484</v>
      </c>
      <c r="L26" s="9">
        <v>1</v>
      </c>
    </row>
    <row r="27" spans="1:12" x14ac:dyDescent="0.25">
      <c r="A27" s="7" t="s">
        <v>49</v>
      </c>
      <c r="B27" s="8">
        <v>122892</v>
      </c>
      <c r="C27" s="2" t="s">
        <v>49</v>
      </c>
      <c r="D27" s="3">
        <f t="shared" si="1"/>
        <v>122892</v>
      </c>
      <c r="G27" s="7" t="s">
        <v>241</v>
      </c>
      <c r="H27" s="10">
        <v>27352</v>
      </c>
    </row>
    <row r="28" spans="1:12" x14ac:dyDescent="0.25">
      <c r="A28" s="7" t="s">
        <v>109</v>
      </c>
      <c r="B28" s="8">
        <v>118000</v>
      </c>
      <c r="C28" s="2" t="s">
        <v>109</v>
      </c>
      <c r="D28" s="3">
        <f t="shared" si="1"/>
        <v>118000</v>
      </c>
      <c r="G28" s="7" t="s">
        <v>239</v>
      </c>
      <c r="H28" s="10">
        <v>27352</v>
      </c>
    </row>
    <row r="29" spans="1:12" x14ac:dyDescent="0.25">
      <c r="A29" s="7" t="s">
        <v>82</v>
      </c>
      <c r="B29" s="8">
        <v>113607</v>
      </c>
      <c r="C29" s="2" t="s">
        <v>82</v>
      </c>
      <c r="D29" s="3">
        <f t="shared" si="1"/>
        <v>113607</v>
      </c>
      <c r="G29" s="7" t="s">
        <v>240</v>
      </c>
      <c r="H29" s="10">
        <v>27352</v>
      </c>
    </row>
    <row r="30" spans="1:12" x14ac:dyDescent="0.25">
      <c r="A30" s="7" t="s">
        <v>39</v>
      </c>
      <c r="B30" s="8">
        <v>110260</v>
      </c>
      <c r="C30" s="2" t="s">
        <v>39</v>
      </c>
      <c r="D30" s="3">
        <f t="shared" si="1"/>
        <v>110260</v>
      </c>
      <c r="G30" s="7" t="s">
        <v>452</v>
      </c>
      <c r="H30" s="10">
        <v>28557</v>
      </c>
    </row>
    <row r="31" spans="1:12" x14ac:dyDescent="0.25">
      <c r="A31" s="7" t="s">
        <v>78</v>
      </c>
      <c r="B31" s="8">
        <v>97257</v>
      </c>
      <c r="C31" s="2" t="s">
        <v>78</v>
      </c>
      <c r="D31" s="3">
        <f t="shared" si="1"/>
        <v>97257</v>
      </c>
      <c r="G31" s="7" t="s">
        <v>1484</v>
      </c>
      <c r="H31" s="8">
        <v>255831</v>
      </c>
    </row>
    <row r="32" spans="1:12" x14ac:dyDescent="0.25">
      <c r="A32" s="7" t="s">
        <v>1484</v>
      </c>
      <c r="B32" s="8">
        <v>1610697</v>
      </c>
    </row>
    <row r="33" spans="2:2" x14ac:dyDescent="0.25">
      <c r="B33" s="4">
        <f>GETPIVOTDATA("Profit",$A$19)</f>
        <v>1610697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15A6-E178-4679-A2FE-012109486597}">
  <dimension ref="A1"/>
  <sheetViews>
    <sheetView tabSelected="1" zoomScaleNormal="100" workbookViewId="0">
      <selection activeCell="AE26" sqref="AE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C1C5-B247-4113-B050-5725B620A7DA}">
  <dimension ref="A1"/>
  <sheetViews>
    <sheetView zoomScale="70" zoomScaleNormal="70"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4C53-C507-4AF2-BC38-47C641C5C2FF}">
  <dimension ref="A1:N1195"/>
  <sheetViews>
    <sheetView workbookViewId="0">
      <selection activeCell="H8" sqref="H8"/>
    </sheetView>
  </sheetViews>
  <sheetFormatPr defaultRowHeight="15" x14ac:dyDescent="0.25"/>
  <cols>
    <col min="1" max="1" width="10.85546875" bestFit="1" customWidth="1"/>
    <col min="2" max="2" width="23" bestFit="1" customWidth="1"/>
    <col min="3" max="3" width="10.28515625" bestFit="1" customWidth="1"/>
    <col min="4" max="4" width="8.28515625" bestFit="1" customWidth="1"/>
    <col min="5" max="5" width="15.42578125" style="5" bestFit="1" customWidth="1"/>
    <col min="6" max="6" width="11" bestFit="1" customWidth="1"/>
    <col min="7" max="7" width="14.28515625" bestFit="1" customWidth="1"/>
    <col min="8" max="8" width="16.42578125" bestFit="1" customWidth="1"/>
    <col min="9" max="9" width="16.28515625" bestFit="1" customWidth="1"/>
    <col min="10" max="10" width="13.140625" bestFit="1" customWidth="1"/>
    <col min="11" max="11" width="9.7109375" bestFit="1" customWidth="1"/>
    <col min="12" max="12" width="13.5703125" bestFit="1" customWidth="1"/>
    <col min="13" max="13" width="14.7109375" bestFit="1" customWidth="1"/>
    <col min="14" max="14" width="7.28515625" customWidth="1"/>
  </cols>
  <sheetData>
    <row r="1" spans="1:14" x14ac:dyDescent="0.25">
      <c r="A1" t="s">
        <v>0</v>
      </c>
      <c r="B1" t="s">
        <v>8</v>
      </c>
      <c r="C1" t="s">
        <v>1</v>
      </c>
      <c r="D1" t="s">
        <v>2</v>
      </c>
      <c r="E1" s="5" t="s">
        <v>1482</v>
      </c>
      <c r="F1" t="s">
        <v>3</v>
      </c>
      <c r="G1" t="s">
        <v>4</v>
      </c>
      <c r="H1" t="s">
        <v>5</v>
      </c>
      <c r="I1" t="s">
        <v>6</v>
      </c>
      <c r="J1" t="s">
        <v>7</v>
      </c>
      <c r="K1" t="s">
        <v>9</v>
      </c>
      <c r="L1" t="s">
        <v>10</v>
      </c>
      <c r="M1" t="s">
        <v>1468</v>
      </c>
      <c r="N1" t="s">
        <v>1469</v>
      </c>
    </row>
    <row r="2" spans="1:14" x14ac:dyDescent="0.25">
      <c r="A2" t="s">
        <v>12</v>
      </c>
      <c r="B2" t="s">
        <v>16</v>
      </c>
      <c r="C2">
        <v>9726</v>
      </c>
      <c r="D2">
        <v>1275</v>
      </c>
      <c r="E2" s="5">
        <v>0.13109191856878499</v>
      </c>
      <c r="F2">
        <v>5</v>
      </c>
      <c r="G2" t="s">
        <v>13</v>
      </c>
      <c r="H2" t="s">
        <v>14</v>
      </c>
      <c r="I2" t="s">
        <v>15</v>
      </c>
      <c r="J2" s="1">
        <v>45104</v>
      </c>
      <c r="K2" t="s">
        <v>17</v>
      </c>
      <c r="L2" t="s">
        <v>18</v>
      </c>
      <c r="M2" t="s">
        <v>1470</v>
      </c>
      <c r="N2">
        <v>2023</v>
      </c>
    </row>
    <row r="3" spans="1:14" x14ac:dyDescent="0.25">
      <c r="A3" t="s">
        <v>12</v>
      </c>
      <c r="B3" t="s">
        <v>20</v>
      </c>
      <c r="C3">
        <v>9726</v>
      </c>
      <c r="D3">
        <v>1275</v>
      </c>
      <c r="E3" s="5">
        <v>0.13109191856878499</v>
      </c>
      <c r="F3">
        <v>5</v>
      </c>
      <c r="G3" t="s">
        <v>13</v>
      </c>
      <c r="H3" t="s">
        <v>14</v>
      </c>
      <c r="I3" t="s">
        <v>15</v>
      </c>
      <c r="J3" s="1">
        <v>45653</v>
      </c>
      <c r="K3" t="s">
        <v>21</v>
      </c>
      <c r="L3" t="s">
        <v>22</v>
      </c>
      <c r="M3" t="s">
        <v>1471</v>
      </c>
      <c r="N3">
        <v>2024</v>
      </c>
    </row>
    <row r="4" spans="1:14" x14ac:dyDescent="0.25">
      <c r="A4" t="s">
        <v>12</v>
      </c>
      <c r="B4" t="s">
        <v>24</v>
      </c>
      <c r="C4">
        <v>9726</v>
      </c>
      <c r="D4">
        <v>1275</v>
      </c>
      <c r="E4" s="5">
        <v>0.13109191856878499</v>
      </c>
      <c r="F4">
        <v>5</v>
      </c>
      <c r="G4" t="s">
        <v>13</v>
      </c>
      <c r="H4" t="s">
        <v>14</v>
      </c>
      <c r="I4" t="s">
        <v>15</v>
      </c>
      <c r="J4" s="1">
        <v>44402</v>
      </c>
      <c r="K4" t="s">
        <v>25</v>
      </c>
      <c r="L4" t="s">
        <v>26</v>
      </c>
      <c r="M4" t="s">
        <v>1472</v>
      </c>
      <c r="N4">
        <v>2021</v>
      </c>
    </row>
    <row r="5" spans="1:14" x14ac:dyDescent="0.25">
      <c r="A5" t="s">
        <v>12</v>
      </c>
      <c r="B5" t="s">
        <v>16</v>
      </c>
      <c r="C5">
        <v>4975</v>
      </c>
      <c r="D5">
        <v>1330</v>
      </c>
      <c r="E5" s="5">
        <v>0.267336683417085</v>
      </c>
      <c r="F5">
        <v>14</v>
      </c>
      <c r="G5" t="s">
        <v>13</v>
      </c>
      <c r="H5" t="s">
        <v>28</v>
      </c>
      <c r="I5" t="s">
        <v>15</v>
      </c>
      <c r="J5" s="1">
        <v>45104</v>
      </c>
      <c r="K5" t="s">
        <v>17</v>
      </c>
      <c r="L5" t="s">
        <v>18</v>
      </c>
      <c r="M5" t="s">
        <v>1470</v>
      </c>
      <c r="N5">
        <v>2023</v>
      </c>
    </row>
    <row r="6" spans="1:14" x14ac:dyDescent="0.25">
      <c r="A6" t="s">
        <v>12</v>
      </c>
      <c r="B6" t="s">
        <v>20</v>
      </c>
      <c r="C6">
        <v>4975</v>
      </c>
      <c r="D6">
        <v>1330</v>
      </c>
      <c r="E6" s="5">
        <v>0.267336683417085</v>
      </c>
      <c r="F6">
        <v>14</v>
      </c>
      <c r="G6" t="s">
        <v>13</v>
      </c>
      <c r="H6" t="s">
        <v>28</v>
      </c>
      <c r="I6" t="s">
        <v>15</v>
      </c>
      <c r="J6" s="1">
        <v>45653</v>
      </c>
      <c r="K6" t="s">
        <v>21</v>
      </c>
      <c r="L6" t="s">
        <v>22</v>
      </c>
      <c r="M6" t="s">
        <v>1471</v>
      </c>
      <c r="N6">
        <v>2024</v>
      </c>
    </row>
    <row r="7" spans="1:14" x14ac:dyDescent="0.25">
      <c r="A7" t="s">
        <v>12</v>
      </c>
      <c r="B7" t="s">
        <v>24</v>
      </c>
      <c r="C7">
        <v>4975</v>
      </c>
      <c r="D7">
        <v>1330</v>
      </c>
      <c r="E7" s="5">
        <v>0.267336683417085</v>
      </c>
      <c r="F7">
        <v>14</v>
      </c>
      <c r="G7" t="s">
        <v>13</v>
      </c>
      <c r="H7" t="s">
        <v>28</v>
      </c>
      <c r="I7" t="s">
        <v>15</v>
      </c>
      <c r="J7" s="1">
        <v>44402</v>
      </c>
      <c r="K7" t="s">
        <v>25</v>
      </c>
      <c r="L7" t="s">
        <v>26</v>
      </c>
      <c r="M7" t="s">
        <v>1472</v>
      </c>
      <c r="N7">
        <v>2021</v>
      </c>
    </row>
    <row r="8" spans="1:14" x14ac:dyDescent="0.25">
      <c r="A8" t="s">
        <v>29</v>
      </c>
      <c r="B8" t="s">
        <v>33</v>
      </c>
      <c r="C8">
        <v>1525</v>
      </c>
      <c r="D8">
        <v>185</v>
      </c>
      <c r="E8" s="5">
        <v>0.121311475409836</v>
      </c>
      <c r="F8">
        <v>12</v>
      </c>
      <c r="G8" t="s">
        <v>30</v>
      </c>
      <c r="H8" t="s">
        <v>31</v>
      </c>
      <c r="I8" t="s">
        <v>32</v>
      </c>
      <c r="J8" s="1">
        <v>45423</v>
      </c>
      <c r="K8" t="s">
        <v>17</v>
      </c>
      <c r="L8" t="s">
        <v>34</v>
      </c>
      <c r="M8" t="s">
        <v>1473</v>
      </c>
      <c r="N8">
        <v>2024</v>
      </c>
    </row>
    <row r="9" spans="1:14" x14ac:dyDescent="0.25">
      <c r="A9" t="s">
        <v>29</v>
      </c>
      <c r="B9" t="s">
        <v>36</v>
      </c>
      <c r="C9">
        <v>1525</v>
      </c>
      <c r="D9">
        <v>185</v>
      </c>
      <c r="E9" s="5">
        <v>0.121311475409836</v>
      </c>
      <c r="F9">
        <v>12</v>
      </c>
      <c r="G9" t="s">
        <v>30</v>
      </c>
      <c r="H9" t="s">
        <v>31</v>
      </c>
      <c r="I9" t="s">
        <v>32</v>
      </c>
      <c r="J9" s="1">
        <v>44478</v>
      </c>
      <c r="K9" t="s">
        <v>17</v>
      </c>
      <c r="L9" t="s">
        <v>18</v>
      </c>
      <c r="M9" t="s">
        <v>1474</v>
      </c>
      <c r="N9">
        <v>2021</v>
      </c>
    </row>
    <row r="10" spans="1:14" x14ac:dyDescent="0.25">
      <c r="A10" t="s">
        <v>38</v>
      </c>
      <c r="B10" t="s">
        <v>41</v>
      </c>
      <c r="C10">
        <v>883</v>
      </c>
      <c r="D10">
        <v>117</v>
      </c>
      <c r="E10" s="5">
        <v>0.13250283125707801</v>
      </c>
      <c r="F10">
        <v>10</v>
      </c>
      <c r="G10" t="s">
        <v>13</v>
      </c>
      <c r="H10" t="s">
        <v>39</v>
      </c>
      <c r="I10" t="s">
        <v>40</v>
      </c>
      <c r="J10" s="1">
        <v>44883</v>
      </c>
      <c r="K10" t="s">
        <v>42</v>
      </c>
      <c r="L10" t="s">
        <v>43</v>
      </c>
      <c r="M10" t="s">
        <v>1475</v>
      </c>
      <c r="N10">
        <v>2022</v>
      </c>
    </row>
    <row r="11" spans="1:14" x14ac:dyDescent="0.25">
      <c r="A11" t="s">
        <v>38</v>
      </c>
      <c r="B11" t="s">
        <v>41</v>
      </c>
      <c r="C11">
        <v>8127</v>
      </c>
      <c r="D11">
        <v>3551</v>
      </c>
      <c r="E11" s="5">
        <v>0.43693859972929699</v>
      </c>
      <c r="F11">
        <v>16</v>
      </c>
      <c r="G11" t="s">
        <v>45</v>
      </c>
      <c r="H11" t="s">
        <v>46</v>
      </c>
      <c r="I11" t="s">
        <v>47</v>
      </c>
      <c r="J11" s="1">
        <v>44883</v>
      </c>
      <c r="K11" t="s">
        <v>42</v>
      </c>
      <c r="L11" t="s">
        <v>43</v>
      </c>
      <c r="M11" t="s">
        <v>1475</v>
      </c>
      <c r="N11">
        <v>2022</v>
      </c>
    </row>
    <row r="12" spans="1:14" x14ac:dyDescent="0.25">
      <c r="A12" t="s">
        <v>48</v>
      </c>
      <c r="B12" t="s">
        <v>50</v>
      </c>
      <c r="C12">
        <v>2516</v>
      </c>
      <c r="D12">
        <v>734</v>
      </c>
      <c r="E12" s="5">
        <v>0.29173290937996799</v>
      </c>
      <c r="F12">
        <v>19</v>
      </c>
      <c r="G12" t="s">
        <v>45</v>
      </c>
      <c r="H12" t="s">
        <v>49</v>
      </c>
      <c r="I12" t="s">
        <v>15</v>
      </c>
      <c r="J12" s="1">
        <v>45242</v>
      </c>
      <c r="K12" t="s">
        <v>25</v>
      </c>
      <c r="L12" t="s">
        <v>51</v>
      </c>
      <c r="M12" t="s">
        <v>1475</v>
      </c>
      <c r="N12">
        <v>2023</v>
      </c>
    </row>
    <row r="13" spans="1:14" x14ac:dyDescent="0.25">
      <c r="A13" t="s">
        <v>53</v>
      </c>
      <c r="B13" t="s">
        <v>54</v>
      </c>
      <c r="C13">
        <v>2975</v>
      </c>
      <c r="D13">
        <v>462</v>
      </c>
      <c r="E13" s="5">
        <v>0.155294117647059</v>
      </c>
      <c r="F13">
        <v>14</v>
      </c>
      <c r="G13" t="s">
        <v>30</v>
      </c>
      <c r="H13" t="s">
        <v>31</v>
      </c>
      <c r="I13" t="s">
        <v>47</v>
      </c>
      <c r="J13" s="1">
        <v>43913</v>
      </c>
      <c r="K13" t="s">
        <v>25</v>
      </c>
      <c r="L13" t="s">
        <v>51</v>
      </c>
      <c r="M13" t="s">
        <v>1476</v>
      </c>
      <c r="N13">
        <v>2020</v>
      </c>
    </row>
    <row r="14" spans="1:14" x14ac:dyDescent="0.25">
      <c r="A14" t="s">
        <v>56</v>
      </c>
      <c r="B14" t="s">
        <v>58</v>
      </c>
      <c r="C14">
        <v>6851</v>
      </c>
      <c r="D14">
        <v>2812</v>
      </c>
      <c r="E14" s="5">
        <v>0.41045102904685399</v>
      </c>
      <c r="F14">
        <v>1</v>
      </c>
      <c r="G14" t="s">
        <v>30</v>
      </c>
      <c r="H14" t="s">
        <v>57</v>
      </c>
      <c r="I14" t="s">
        <v>32</v>
      </c>
      <c r="J14" s="1">
        <v>43955</v>
      </c>
      <c r="K14" t="s">
        <v>17</v>
      </c>
      <c r="L14" t="s">
        <v>34</v>
      </c>
      <c r="M14" t="s">
        <v>1473</v>
      </c>
      <c r="N14">
        <v>2020</v>
      </c>
    </row>
    <row r="15" spans="1:14" x14ac:dyDescent="0.25">
      <c r="A15" t="s">
        <v>56</v>
      </c>
      <c r="B15" t="s">
        <v>58</v>
      </c>
      <c r="C15">
        <v>7626</v>
      </c>
      <c r="D15">
        <v>1046</v>
      </c>
      <c r="E15" s="5">
        <v>0.13716233936532901</v>
      </c>
      <c r="F15">
        <v>15</v>
      </c>
      <c r="G15" t="s">
        <v>45</v>
      </c>
      <c r="H15" t="s">
        <v>60</v>
      </c>
      <c r="I15" t="s">
        <v>47</v>
      </c>
      <c r="J15" s="1">
        <v>43955</v>
      </c>
      <c r="K15" t="s">
        <v>17</v>
      </c>
      <c r="L15" t="s">
        <v>34</v>
      </c>
      <c r="M15" t="s">
        <v>1473</v>
      </c>
      <c r="N15">
        <v>2020</v>
      </c>
    </row>
    <row r="16" spans="1:14" x14ac:dyDescent="0.25">
      <c r="A16" t="s">
        <v>56</v>
      </c>
      <c r="B16" t="s">
        <v>58</v>
      </c>
      <c r="C16">
        <v>1023</v>
      </c>
      <c r="D16">
        <v>78</v>
      </c>
      <c r="E16" s="5">
        <v>7.62463343108504E-2</v>
      </c>
      <c r="F16">
        <v>9</v>
      </c>
      <c r="G16" t="s">
        <v>45</v>
      </c>
      <c r="H16" t="s">
        <v>46</v>
      </c>
      <c r="I16" t="s">
        <v>15</v>
      </c>
      <c r="J16" s="1">
        <v>43955</v>
      </c>
      <c r="K16" t="s">
        <v>17</v>
      </c>
      <c r="L16" t="s">
        <v>34</v>
      </c>
      <c r="M16" t="s">
        <v>1473</v>
      </c>
      <c r="N16">
        <v>2020</v>
      </c>
    </row>
    <row r="17" spans="1:14" x14ac:dyDescent="0.25">
      <c r="A17" t="s">
        <v>61</v>
      </c>
      <c r="B17" t="s">
        <v>62</v>
      </c>
      <c r="C17">
        <v>7600</v>
      </c>
      <c r="D17">
        <v>1098</v>
      </c>
      <c r="E17" s="5">
        <v>0.144473684210526</v>
      </c>
      <c r="F17">
        <v>10</v>
      </c>
      <c r="G17" t="s">
        <v>30</v>
      </c>
      <c r="H17" t="s">
        <v>31</v>
      </c>
      <c r="I17" t="s">
        <v>15</v>
      </c>
      <c r="J17" s="1">
        <v>45239</v>
      </c>
      <c r="K17" t="s">
        <v>21</v>
      </c>
      <c r="L17" t="s">
        <v>63</v>
      </c>
      <c r="M17" t="s">
        <v>1475</v>
      </c>
      <c r="N17">
        <v>2023</v>
      </c>
    </row>
    <row r="18" spans="1:14" x14ac:dyDescent="0.25">
      <c r="A18" t="s">
        <v>61</v>
      </c>
      <c r="B18" t="s">
        <v>62</v>
      </c>
      <c r="C18">
        <v>7501</v>
      </c>
      <c r="D18">
        <v>262</v>
      </c>
      <c r="E18" s="5">
        <v>3.4928676176509799E-2</v>
      </c>
      <c r="F18">
        <v>18</v>
      </c>
      <c r="G18" t="s">
        <v>30</v>
      </c>
      <c r="H18" t="s">
        <v>64</v>
      </c>
      <c r="I18" t="s">
        <v>65</v>
      </c>
      <c r="J18" s="1">
        <v>45239</v>
      </c>
      <c r="K18" t="s">
        <v>21</v>
      </c>
      <c r="L18" t="s">
        <v>63</v>
      </c>
      <c r="M18" t="s">
        <v>1475</v>
      </c>
      <c r="N18">
        <v>2023</v>
      </c>
    </row>
    <row r="19" spans="1:14" x14ac:dyDescent="0.25">
      <c r="A19" t="s">
        <v>66</v>
      </c>
      <c r="B19" t="s">
        <v>67</v>
      </c>
      <c r="C19">
        <v>725</v>
      </c>
      <c r="D19">
        <v>133</v>
      </c>
      <c r="E19" s="5">
        <v>0.18344827586206899</v>
      </c>
      <c r="F19">
        <v>6</v>
      </c>
      <c r="G19" t="s">
        <v>30</v>
      </c>
      <c r="H19" t="s">
        <v>64</v>
      </c>
      <c r="I19" t="s">
        <v>47</v>
      </c>
      <c r="J19" s="1">
        <v>45656</v>
      </c>
      <c r="K19" t="s">
        <v>25</v>
      </c>
      <c r="L19" t="s">
        <v>68</v>
      </c>
      <c r="M19" t="s">
        <v>1471</v>
      </c>
      <c r="N19">
        <v>2024</v>
      </c>
    </row>
    <row r="20" spans="1:14" x14ac:dyDescent="0.25">
      <c r="A20" t="s">
        <v>66</v>
      </c>
      <c r="B20" t="s">
        <v>67</v>
      </c>
      <c r="C20">
        <v>7201</v>
      </c>
      <c r="D20">
        <v>2685</v>
      </c>
      <c r="E20" s="5">
        <v>0.37286487987779499</v>
      </c>
      <c r="F20">
        <v>2</v>
      </c>
      <c r="G20" t="s">
        <v>45</v>
      </c>
      <c r="H20" t="s">
        <v>46</v>
      </c>
      <c r="I20" t="s">
        <v>47</v>
      </c>
      <c r="J20" s="1">
        <v>45656</v>
      </c>
      <c r="K20" t="s">
        <v>25</v>
      </c>
      <c r="L20" t="s">
        <v>68</v>
      </c>
      <c r="M20" t="s">
        <v>1471</v>
      </c>
      <c r="N20">
        <v>2024</v>
      </c>
    </row>
    <row r="21" spans="1:14" x14ac:dyDescent="0.25">
      <c r="A21" t="s">
        <v>69</v>
      </c>
      <c r="B21" t="s">
        <v>70</v>
      </c>
      <c r="C21">
        <v>1629</v>
      </c>
      <c r="D21">
        <v>265</v>
      </c>
      <c r="E21" s="5">
        <v>0.162676488643339</v>
      </c>
      <c r="F21">
        <v>1</v>
      </c>
      <c r="G21" t="s">
        <v>30</v>
      </c>
      <c r="H21" t="s">
        <v>64</v>
      </c>
      <c r="I21" t="s">
        <v>15</v>
      </c>
      <c r="J21" s="1">
        <v>45699</v>
      </c>
      <c r="K21" t="s">
        <v>71</v>
      </c>
      <c r="L21" t="s">
        <v>72</v>
      </c>
      <c r="M21" t="s">
        <v>1477</v>
      </c>
      <c r="N21">
        <v>2025</v>
      </c>
    </row>
    <row r="22" spans="1:14" x14ac:dyDescent="0.25">
      <c r="A22" t="s">
        <v>69</v>
      </c>
      <c r="B22" t="s">
        <v>74</v>
      </c>
      <c r="C22">
        <v>1629</v>
      </c>
      <c r="D22">
        <v>265</v>
      </c>
      <c r="E22" s="5">
        <v>0.162676488643339</v>
      </c>
      <c r="F22">
        <v>1</v>
      </c>
      <c r="G22" t="s">
        <v>30</v>
      </c>
      <c r="H22" t="s">
        <v>64</v>
      </c>
      <c r="I22" t="s">
        <v>15</v>
      </c>
      <c r="J22" s="1">
        <v>45314</v>
      </c>
      <c r="K22" t="s">
        <v>42</v>
      </c>
      <c r="L22" t="s">
        <v>75</v>
      </c>
      <c r="M22" t="s">
        <v>1478</v>
      </c>
      <c r="N22">
        <v>2024</v>
      </c>
    </row>
    <row r="23" spans="1:14" x14ac:dyDescent="0.25">
      <c r="A23" t="s">
        <v>77</v>
      </c>
      <c r="B23" t="s">
        <v>79</v>
      </c>
      <c r="C23">
        <v>8971</v>
      </c>
      <c r="D23">
        <v>2971</v>
      </c>
      <c r="E23" s="5">
        <v>0.33117824099877402</v>
      </c>
      <c r="F23">
        <v>19</v>
      </c>
      <c r="G23" t="s">
        <v>30</v>
      </c>
      <c r="H23" t="s">
        <v>78</v>
      </c>
      <c r="I23" t="s">
        <v>32</v>
      </c>
      <c r="J23" s="1">
        <v>44163</v>
      </c>
      <c r="K23" t="s">
        <v>42</v>
      </c>
      <c r="L23" t="s">
        <v>75</v>
      </c>
      <c r="M23" t="s">
        <v>1475</v>
      </c>
      <c r="N23">
        <v>2020</v>
      </c>
    </row>
    <row r="24" spans="1:14" x14ac:dyDescent="0.25">
      <c r="A24" t="s">
        <v>77</v>
      </c>
      <c r="B24" t="s">
        <v>79</v>
      </c>
      <c r="C24">
        <v>2939</v>
      </c>
      <c r="D24">
        <v>894</v>
      </c>
      <c r="E24" s="5">
        <v>0.30418509697175899</v>
      </c>
      <c r="F24">
        <v>20</v>
      </c>
      <c r="G24" t="s">
        <v>30</v>
      </c>
      <c r="H24" t="s">
        <v>78</v>
      </c>
      <c r="I24" t="s">
        <v>65</v>
      </c>
      <c r="J24" s="1">
        <v>44163</v>
      </c>
      <c r="K24" t="s">
        <v>42</v>
      </c>
      <c r="L24" t="s">
        <v>75</v>
      </c>
      <c r="M24" t="s">
        <v>1475</v>
      </c>
      <c r="N24">
        <v>2020</v>
      </c>
    </row>
    <row r="25" spans="1:14" x14ac:dyDescent="0.25">
      <c r="A25" t="s">
        <v>81</v>
      </c>
      <c r="B25" t="s">
        <v>83</v>
      </c>
      <c r="C25">
        <v>9380</v>
      </c>
      <c r="D25">
        <v>414</v>
      </c>
      <c r="E25" s="5">
        <v>4.4136460554371003E-2</v>
      </c>
      <c r="F25">
        <v>11</v>
      </c>
      <c r="G25" t="s">
        <v>13</v>
      </c>
      <c r="H25" t="s">
        <v>82</v>
      </c>
      <c r="I25" t="s">
        <v>15</v>
      </c>
      <c r="J25" s="1">
        <v>45442</v>
      </c>
      <c r="K25" t="s">
        <v>25</v>
      </c>
      <c r="L25" t="s">
        <v>68</v>
      </c>
      <c r="M25" t="s">
        <v>1473</v>
      </c>
      <c r="N25">
        <v>2024</v>
      </c>
    </row>
    <row r="26" spans="1:14" x14ac:dyDescent="0.25">
      <c r="A26" t="s">
        <v>81</v>
      </c>
      <c r="B26" t="s">
        <v>83</v>
      </c>
      <c r="C26">
        <v>8558</v>
      </c>
      <c r="D26">
        <v>1644</v>
      </c>
      <c r="E26" s="5">
        <v>0.19210095816779599</v>
      </c>
      <c r="F26">
        <v>18</v>
      </c>
      <c r="G26" t="s">
        <v>30</v>
      </c>
      <c r="H26" t="s">
        <v>78</v>
      </c>
      <c r="I26" t="s">
        <v>47</v>
      </c>
      <c r="J26" s="1">
        <v>45442</v>
      </c>
      <c r="K26" t="s">
        <v>25</v>
      </c>
      <c r="L26" t="s">
        <v>68</v>
      </c>
      <c r="M26" t="s">
        <v>1473</v>
      </c>
      <c r="N26">
        <v>2024</v>
      </c>
    </row>
    <row r="27" spans="1:14" x14ac:dyDescent="0.25">
      <c r="A27" t="s">
        <v>81</v>
      </c>
      <c r="B27" t="s">
        <v>83</v>
      </c>
      <c r="C27">
        <v>4080</v>
      </c>
      <c r="D27">
        <v>72</v>
      </c>
      <c r="E27" s="5">
        <v>1.7647058823529401E-2</v>
      </c>
      <c r="F27">
        <v>17</v>
      </c>
      <c r="G27" t="s">
        <v>30</v>
      </c>
      <c r="H27" t="s">
        <v>64</v>
      </c>
      <c r="I27" t="s">
        <v>65</v>
      </c>
      <c r="J27" s="1">
        <v>45442</v>
      </c>
      <c r="K27" t="s">
        <v>25</v>
      </c>
      <c r="L27" t="s">
        <v>68</v>
      </c>
      <c r="M27" t="s">
        <v>1473</v>
      </c>
      <c r="N27">
        <v>2024</v>
      </c>
    </row>
    <row r="28" spans="1:14" x14ac:dyDescent="0.25">
      <c r="A28" t="s">
        <v>84</v>
      </c>
      <c r="B28" t="s">
        <v>85</v>
      </c>
      <c r="C28">
        <v>4206</v>
      </c>
      <c r="D28">
        <v>1821</v>
      </c>
      <c r="E28" s="5">
        <v>0.43295292439372302</v>
      </c>
      <c r="F28">
        <v>17</v>
      </c>
      <c r="G28" t="s">
        <v>13</v>
      </c>
      <c r="H28" t="s">
        <v>14</v>
      </c>
      <c r="I28" t="s">
        <v>40</v>
      </c>
      <c r="J28" s="1">
        <v>44584</v>
      </c>
      <c r="K28" t="s">
        <v>71</v>
      </c>
      <c r="L28" t="s">
        <v>86</v>
      </c>
      <c r="M28" t="s">
        <v>1478</v>
      </c>
      <c r="N28">
        <v>2022</v>
      </c>
    </row>
    <row r="29" spans="1:14" x14ac:dyDescent="0.25">
      <c r="A29" t="s">
        <v>88</v>
      </c>
      <c r="B29" t="s">
        <v>89</v>
      </c>
      <c r="C29">
        <v>5219</v>
      </c>
      <c r="D29">
        <v>1180</v>
      </c>
      <c r="E29" s="5">
        <v>0.22609695343935601</v>
      </c>
      <c r="F29">
        <v>20</v>
      </c>
      <c r="G29" t="s">
        <v>30</v>
      </c>
      <c r="H29" t="s">
        <v>78</v>
      </c>
      <c r="I29" t="s">
        <v>65</v>
      </c>
      <c r="J29" s="1">
        <v>44547</v>
      </c>
      <c r="K29" t="s">
        <v>25</v>
      </c>
      <c r="L29" t="s">
        <v>51</v>
      </c>
      <c r="M29" t="s">
        <v>1471</v>
      </c>
      <c r="N29">
        <v>2021</v>
      </c>
    </row>
    <row r="30" spans="1:14" x14ac:dyDescent="0.25">
      <c r="A30" t="s">
        <v>88</v>
      </c>
      <c r="B30" t="s">
        <v>91</v>
      </c>
      <c r="C30">
        <v>5219</v>
      </c>
      <c r="D30">
        <v>1180</v>
      </c>
      <c r="E30" s="5">
        <v>0.22609695343935601</v>
      </c>
      <c r="F30">
        <v>20</v>
      </c>
      <c r="G30" t="s">
        <v>30</v>
      </c>
      <c r="H30" t="s">
        <v>78</v>
      </c>
      <c r="I30" t="s">
        <v>65</v>
      </c>
      <c r="J30" s="1">
        <v>44960</v>
      </c>
      <c r="K30" t="s">
        <v>42</v>
      </c>
      <c r="L30" t="s">
        <v>92</v>
      </c>
      <c r="M30" t="s">
        <v>1477</v>
      </c>
      <c r="N30">
        <v>2023</v>
      </c>
    </row>
    <row r="31" spans="1:14" x14ac:dyDescent="0.25">
      <c r="A31" t="s">
        <v>94</v>
      </c>
      <c r="B31" t="s">
        <v>95</v>
      </c>
      <c r="C31">
        <v>3686</v>
      </c>
      <c r="D31">
        <v>760</v>
      </c>
      <c r="E31" s="5">
        <v>0.20618556701030899</v>
      </c>
      <c r="F31">
        <v>20</v>
      </c>
      <c r="G31" t="s">
        <v>30</v>
      </c>
      <c r="H31" t="s">
        <v>31</v>
      </c>
      <c r="I31" t="s">
        <v>32</v>
      </c>
      <c r="J31" s="1">
        <v>44864</v>
      </c>
      <c r="K31" t="s">
        <v>42</v>
      </c>
      <c r="L31" t="s">
        <v>92</v>
      </c>
      <c r="M31" t="s">
        <v>1474</v>
      </c>
      <c r="N31">
        <v>2022</v>
      </c>
    </row>
    <row r="32" spans="1:14" x14ac:dyDescent="0.25">
      <c r="A32" t="s">
        <v>94</v>
      </c>
      <c r="B32" t="s">
        <v>97</v>
      </c>
      <c r="C32">
        <v>3686</v>
      </c>
      <c r="D32">
        <v>760</v>
      </c>
      <c r="E32" s="5">
        <v>0.20618556701030899</v>
      </c>
      <c r="F32">
        <v>20</v>
      </c>
      <c r="G32" t="s">
        <v>30</v>
      </c>
      <c r="H32" t="s">
        <v>31</v>
      </c>
      <c r="I32" t="s">
        <v>32</v>
      </c>
      <c r="J32" s="1">
        <v>44576</v>
      </c>
      <c r="K32" t="s">
        <v>98</v>
      </c>
      <c r="L32" t="s">
        <v>99</v>
      </c>
      <c r="M32" t="s">
        <v>1478</v>
      </c>
      <c r="N32">
        <v>2022</v>
      </c>
    </row>
    <row r="33" spans="1:14" x14ac:dyDescent="0.25">
      <c r="A33" t="s">
        <v>100</v>
      </c>
      <c r="B33" t="s">
        <v>101</v>
      </c>
      <c r="C33">
        <v>6045</v>
      </c>
      <c r="D33">
        <v>1606</v>
      </c>
      <c r="E33" s="5">
        <v>0.26567411083540099</v>
      </c>
      <c r="F33">
        <v>4</v>
      </c>
      <c r="G33" t="s">
        <v>30</v>
      </c>
      <c r="H33" t="s">
        <v>64</v>
      </c>
      <c r="I33" t="s">
        <v>65</v>
      </c>
      <c r="J33" s="1">
        <v>45274</v>
      </c>
      <c r="K33" t="s">
        <v>17</v>
      </c>
      <c r="L33" t="s">
        <v>34</v>
      </c>
      <c r="M33" t="s">
        <v>1471</v>
      </c>
      <c r="N33">
        <v>2023</v>
      </c>
    </row>
    <row r="34" spans="1:14" x14ac:dyDescent="0.25">
      <c r="A34" t="s">
        <v>100</v>
      </c>
      <c r="B34" t="s">
        <v>101</v>
      </c>
      <c r="C34">
        <v>9337</v>
      </c>
      <c r="D34">
        <v>554</v>
      </c>
      <c r="E34" s="5">
        <v>5.9333833136981901E-2</v>
      </c>
      <c r="F34">
        <v>11</v>
      </c>
      <c r="G34" t="s">
        <v>30</v>
      </c>
      <c r="H34" t="s">
        <v>31</v>
      </c>
      <c r="I34" t="s">
        <v>65</v>
      </c>
      <c r="J34" s="1">
        <v>45274</v>
      </c>
      <c r="K34" t="s">
        <v>17</v>
      </c>
      <c r="L34" t="s">
        <v>34</v>
      </c>
      <c r="M34" t="s">
        <v>1471</v>
      </c>
      <c r="N34">
        <v>2023</v>
      </c>
    </row>
    <row r="35" spans="1:14" x14ac:dyDescent="0.25">
      <c r="A35" t="s">
        <v>103</v>
      </c>
      <c r="B35" t="s">
        <v>104</v>
      </c>
      <c r="C35">
        <v>4051</v>
      </c>
      <c r="D35">
        <v>1848</v>
      </c>
      <c r="E35" s="5">
        <v>0.45618365835596197</v>
      </c>
      <c r="F35">
        <v>12</v>
      </c>
      <c r="G35" t="s">
        <v>13</v>
      </c>
      <c r="H35" t="s">
        <v>82</v>
      </c>
      <c r="I35" t="s">
        <v>47</v>
      </c>
      <c r="J35" s="1">
        <v>45110</v>
      </c>
      <c r="K35" t="s">
        <v>42</v>
      </c>
      <c r="L35" t="s">
        <v>75</v>
      </c>
      <c r="M35" t="s">
        <v>1472</v>
      </c>
      <c r="N35">
        <v>2023</v>
      </c>
    </row>
    <row r="36" spans="1:14" x14ac:dyDescent="0.25">
      <c r="A36" t="s">
        <v>103</v>
      </c>
      <c r="B36" t="s">
        <v>106</v>
      </c>
      <c r="C36">
        <v>4051</v>
      </c>
      <c r="D36">
        <v>1848</v>
      </c>
      <c r="E36" s="5">
        <v>0.45618365835596197</v>
      </c>
      <c r="F36">
        <v>12</v>
      </c>
      <c r="G36" t="s">
        <v>13</v>
      </c>
      <c r="H36" t="s">
        <v>82</v>
      </c>
      <c r="I36" t="s">
        <v>47</v>
      </c>
      <c r="J36" s="1">
        <v>44324</v>
      </c>
      <c r="K36" t="s">
        <v>98</v>
      </c>
      <c r="L36" t="s">
        <v>107</v>
      </c>
      <c r="M36" t="s">
        <v>1473</v>
      </c>
      <c r="N36">
        <v>2021</v>
      </c>
    </row>
    <row r="37" spans="1:14" x14ac:dyDescent="0.25">
      <c r="A37" t="s">
        <v>103</v>
      </c>
      <c r="B37" t="s">
        <v>104</v>
      </c>
      <c r="C37">
        <v>5011</v>
      </c>
      <c r="D37">
        <v>866</v>
      </c>
      <c r="E37" s="5">
        <v>0.17281979644781501</v>
      </c>
      <c r="F37">
        <v>11</v>
      </c>
      <c r="G37" t="s">
        <v>45</v>
      </c>
      <c r="H37" t="s">
        <v>109</v>
      </c>
      <c r="I37" t="s">
        <v>47</v>
      </c>
      <c r="J37" s="1">
        <v>45110</v>
      </c>
      <c r="K37" t="s">
        <v>42</v>
      </c>
      <c r="L37" t="s">
        <v>75</v>
      </c>
      <c r="M37" t="s">
        <v>1472</v>
      </c>
      <c r="N37">
        <v>2023</v>
      </c>
    </row>
    <row r="38" spans="1:14" x14ac:dyDescent="0.25">
      <c r="A38" t="s">
        <v>103</v>
      </c>
      <c r="B38" t="s">
        <v>106</v>
      </c>
      <c r="C38">
        <v>5011</v>
      </c>
      <c r="D38">
        <v>866</v>
      </c>
      <c r="E38" s="5">
        <v>0.17281979644781501</v>
      </c>
      <c r="F38">
        <v>11</v>
      </c>
      <c r="G38" t="s">
        <v>45</v>
      </c>
      <c r="H38" t="s">
        <v>109</v>
      </c>
      <c r="I38" t="s">
        <v>47</v>
      </c>
      <c r="J38" s="1">
        <v>44324</v>
      </c>
      <c r="K38" t="s">
        <v>98</v>
      </c>
      <c r="L38" t="s">
        <v>107</v>
      </c>
      <c r="M38" t="s">
        <v>1473</v>
      </c>
      <c r="N38">
        <v>2021</v>
      </c>
    </row>
    <row r="39" spans="1:14" x14ac:dyDescent="0.25">
      <c r="A39" t="s">
        <v>110</v>
      </c>
      <c r="B39" t="s">
        <v>111</v>
      </c>
      <c r="C39">
        <v>3958</v>
      </c>
      <c r="D39">
        <v>630</v>
      </c>
      <c r="E39" s="5">
        <v>0.159171298635675</v>
      </c>
      <c r="F39">
        <v>15</v>
      </c>
      <c r="G39" t="s">
        <v>45</v>
      </c>
      <c r="H39" t="s">
        <v>60</v>
      </c>
      <c r="I39" t="s">
        <v>40</v>
      </c>
      <c r="J39" s="1">
        <v>44841</v>
      </c>
      <c r="K39" t="s">
        <v>17</v>
      </c>
      <c r="L39" t="s">
        <v>34</v>
      </c>
      <c r="M39" t="s">
        <v>1474</v>
      </c>
      <c r="N39">
        <v>2022</v>
      </c>
    </row>
    <row r="40" spans="1:14" x14ac:dyDescent="0.25">
      <c r="A40" t="s">
        <v>110</v>
      </c>
      <c r="B40" t="s">
        <v>111</v>
      </c>
      <c r="C40">
        <v>3132</v>
      </c>
      <c r="D40">
        <v>963</v>
      </c>
      <c r="E40" s="5">
        <v>0.30747126436781602</v>
      </c>
      <c r="F40">
        <v>1</v>
      </c>
      <c r="G40" t="s">
        <v>45</v>
      </c>
      <c r="H40" t="s">
        <v>46</v>
      </c>
      <c r="I40" t="s">
        <v>32</v>
      </c>
      <c r="J40" s="1">
        <v>44841</v>
      </c>
      <c r="K40" t="s">
        <v>17</v>
      </c>
      <c r="L40" t="s">
        <v>34</v>
      </c>
      <c r="M40" t="s">
        <v>1474</v>
      </c>
      <c r="N40">
        <v>2022</v>
      </c>
    </row>
    <row r="41" spans="1:14" x14ac:dyDescent="0.25">
      <c r="A41" t="s">
        <v>112</v>
      </c>
      <c r="B41" t="s">
        <v>113</v>
      </c>
      <c r="C41">
        <v>7784</v>
      </c>
      <c r="D41">
        <v>2937</v>
      </c>
      <c r="E41" s="5">
        <v>0.37731243576567303</v>
      </c>
      <c r="F41">
        <v>12</v>
      </c>
      <c r="G41" t="s">
        <v>30</v>
      </c>
      <c r="H41" t="s">
        <v>57</v>
      </c>
      <c r="I41" t="s">
        <v>15</v>
      </c>
      <c r="J41" s="1">
        <v>45510</v>
      </c>
      <c r="K41" t="s">
        <v>42</v>
      </c>
      <c r="L41" t="s">
        <v>92</v>
      </c>
      <c r="M41" t="s">
        <v>1479</v>
      </c>
      <c r="N41">
        <v>2024</v>
      </c>
    </row>
    <row r="42" spans="1:14" x14ac:dyDescent="0.25">
      <c r="A42" t="s">
        <v>112</v>
      </c>
      <c r="B42" t="s">
        <v>113</v>
      </c>
      <c r="C42">
        <v>5591</v>
      </c>
      <c r="D42">
        <v>1696</v>
      </c>
      <c r="E42" s="5">
        <v>0.30334466106242203</v>
      </c>
      <c r="F42">
        <v>3</v>
      </c>
      <c r="G42" t="s">
        <v>30</v>
      </c>
      <c r="H42" t="s">
        <v>31</v>
      </c>
      <c r="I42" t="s">
        <v>65</v>
      </c>
      <c r="J42" s="1">
        <v>45510</v>
      </c>
      <c r="K42" t="s">
        <v>42</v>
      </c>
      <c r="L42" t="s">
        <v>92</v>
      </c>
      <c r="M42" t="s">
        <v>1479</v>
      </c>
      <c r="N42">
        <v>2024</v>
      </c>
    </row>
    <row r="43" spans="1:14" x14ac:dyDescent="0.25">
      <c r="A43" t="s">
        <v>112</v>
      </c>
      <c r="B43" t="s">
        <v>113</v>
      </c>
      <c r="C43">
        <v>5122</v>
      </c>
      <c r="D43">
        <v>2413</v>
      </c>
      <c r="E43" s="5">
        <v>0.47110503709488499</v>
      </c>
      <c r="F43">
        <v>12</v>
      </c>
      <c r="G43" t="s">
        <v>13</v>
      </c>
      <c r="H43" t="s">
        <v>14</v>
      </c>
      <c r="I43" t="s">
        <v>65</v>
      </c>
      <c r="J43" s="1">
        <v>45510</v>
      </c>
      <c r="K43" t="s">
        <v>42</v>
      </c>
      <c r="L43" t="s">
        <v>92</v>
      </c>
      <c r="M43" t="s">
        <v>1479</v>
      </c>
      <c r="N43">
        <v>2024</v>
      </c>
    </row>
    <row r="44" spans="1:14" x14ac:dyDescent="0.25">
      <c r="A44" t="s">
        <v>115</v>
      </c>
      <c r="B44" t="s">
        <v>116</v>
      </c>
      <c r="C44">
        <v>8293</v>
      </c>
      <c r="D44">
        <v>2632</v>
      </c>
      <c r="E44" s="5">
        <v>0.317376100325576</v>
      </c>
      <c r="F44">
        <v>8</v>
      </c>
      <c r="G44" t="s">
        <v>30</v>
      </c>
      <c r="H44" t="s">
        <v>78</v>
      </c>
      <c r="I44" t="s">
        <v>65</v>
      </c>
      <c r="J44" s="1">
        <v>44566</v>
      </c>
      <c r="K44" t="s">
        <v>98</v>
      </c>
      <c r="L44" t="s">
        <v>117</v>
      </c>
      <c r="M44" t="s">
        <v>1478</v>
      </c>
      <c r="N44">
        <v>2022</v>
      </c>
    </row>
    <row r="45" spans="1:14" x14ac:dyDescent="0.25">
      <c r="A45" t="s">
        <v>115</v>
      </c>
      <c r="B45" t="s">
        <v>118</v>
      </c>
      <c r="C45">
        <v>8293</v>
      </c>
      <c r="D45">
        <v>2632</v>
      </c>
      <c r="E45" s="5">
        <v>0.317376100325576</v>
      </c>
      <c r="F45">
        <v>8</v>
      </c>
      <c r="G45" t="s">
        <v>30</v>
      </c>
      <c r="H45" t="s">
        <v>78</v>
      </c>
      <c r="I45" t="s">
        <v>65</v>
      </c>
      <c r="J45" s="1">
        <v>44121</v>
      </c>
      <c r="K45" t="s">
        <v>25</v>
      </c>
      <c r="L45" t="s">
        <v>68</v>
      </c>
      <c r="M45" t="s">
        <v>1474</v>
      </c>
      <c r="N45">
        <v>2020</v>
      </c>
    </row>
    <row r="46" spans="1:14" x14ac:dyDescent="0.25">
      <c r="A46" t="s">
        <v>115</v>
      </c>
      <c r="B46" t="s">
        <v>120</v>
      </c>
      <c r="C46">
        <v>8293</v>
      </c>
      <c r="D46">
        <v>2632</v>
      </c>
      <c r="E46" s="5">
        <v>0.317376100325576</v>
      </c>
      <c r="F46">
        <v>8</v>
      </c>
      <c r="G46" t="s">
        <v>30</v>
      </c>
      <c r="H46" t="s">
        <v>78</v>
      </c>
      <c r="I46" t="s">
        <v>65</v>
      </c>
      <c r="J46" s="1">
        <v>45159</v>
      </c>
      <c r="K46" t="s">
        <v>42</v>
      </c>
      <c r="L46" t="s">
        <v>43</v>
      </c>
      <c r="M46" t="s">
        <v>1479</v>
      </c>
      <c r="N46">
        <v>2023</v>
      </c>
    </row>
    <row r="47" spans="1:14" x14ac:dyDescent="0.25">
      <c r="A47" t="s">
        <v>115</v>
      </c>
      <c r="B47" t="s">
        <v>116</v>
      </c>
      <c r="C47">
        <v>2863</v>
      </c>
      <c r="D47">
        <v>205</v>
      </c>
      <c r="E47" s="5">
        <v>7.1603213412504405E-2</v>
      </c>
      <c r="F47">
        <v>17</v>
      </c>
      <c r="G47" t="s">
        <v>13</v>
      </c>
      <c r="H47" t="s">
        <v>82</v>
      </c>
      <c r="I47" t="s">
        <v>15</v>
      </c>
      <c r="J47" s="1">
        <v>44566</v>
      </c>
      <c r="K47" t="s">
        <v>98</v>
      </c>
      <c r="L47" t="s">
        <v>117</v>
      </c>
      <c r="M47" t="s">
        <v>1478</v>
      </c>
      <c r="N47">
        <v>2022</v>
      </c>
    </row>
    <row r="48" spans="1:14" x14ac:dyDescent="0.25">
      <c r="A48" t="s">
        <v>115</v>
      </c>
      <c r="B48" t="s">
        <v>118</v>
      </c>
      <c r="C48">
        <v>2863</v>
      </c>
      <c r="D48">
        <v>205</v>
      </c>
      <c r="E48" s="5">
        <v>7.1603213412504405E-2</v>
      </c>
      <c r="F48">
        <v>17</v>
      </c>
      <c r="G48" t="s">
        <v>13</v>
      </c>
      <c r="H48" t="s">
        <v>82</v>
      </c>
      <c r="I48" t="s">
        <v>15</v>
      </c>
      <c r="J48" s="1">
        <v>44121</v>
      </c>
      <c r="K48" t="s">
        <v>25</v>
      </c>
      <c r="L48" t="s">
        <v>68</v>
      </c>
      <c r="M48" t="s">
        <v>1474</v>
      </c>
      <c r="N48">
        <v>2020</v>
      </c>
    </row>
    <row r="49" spans="1:14" x14ac:dyDescent="0.25">
      <c r="A49" t="s">
        <v>115</v>
      </c>
      <c r="B49" t="s">
        <v>120</v>
      </c>
      <c r="C49">
        <v>2863</v>
      </c>
      <c r="D49">
        <v>205</v>
      </c>
      <c r="E49" s="5">
        <v>7.1603213412504405E-2</v>
      </c>
      <c r="F49">
        <v>17</v>
      </c>
      <c r="G49" t="s">
        <v>13</v>
      </c>
      <c r="H49" t="s">
        <v>82</v>
      </c>
      <c r="I49" t="s">
        <v>15</v>
      </c>
      <c r="J49" s="1">
        <v>45159</v>
      </c>
      <c r="K49" t="s">
        <v>42</v>
      </c>
      <c r="L49" t="s">
        <v>43</v>
      </c>
      <c r="M49" t="s">
        <v>1479</v>
      </c>
      <c r="N49">
        <v>2023</v>
      </c>
    </row>
    <row r="50" spans="1:14" x14ac:dyDescent="0.25">
      <c r="A50" t="s">
        <v>122</v>
      </c>
      <c r="B50" t="s">
        <v>123</v>
      </c>
      <c r="C50">
        <v>3090</v>
      </c>
      <c r="D50">
        <v>573</v>
      </c>
      <c r="E50" s="5">
        <v>0.18543689320388401</v>
      </c>
      <c r="F50">
        <v>6</v>
      </c>
      <c r="G50" t="s">
        <v>45</v>
      </c>
      <c r="H50" t="s">
        <v>46</v>
      </c>
      <c r="I50" t="s">
        <v>40</v>
      </c>
      <c r="J50" s="1">
        <v>45653</v>
      </c>
      <c r="K50" t="s">
        <v>42</v>
      </c>
      <c r="L50" t="s">
        <v>75</v>
      </c>
      <c r="M50" t="s">
        <v>1471</v>
      </c>
      <c r="N50">
        <v>2024</v>
      </c>
    </row>
    <row r="51" spans="1:14" x14ac:dyDescent="0.25">
      <c r="A51" t="s">
        <v>122</v>
      </c>
      <c r="B51" t="s">
        <v>124</v>
      </c>
      <c r="C51">
        <v>3090</v>
      </c>
      <c r="D51">
        <v>573</v>
      </c>
      <c r="E51" s="5">
        <v>0.18543689320388401</v>
      </c>
      <c r="F51">
        <v>6</v>
      </c>
      <c r="G51" t="s">
        <v>45</v>
      </c>
      <c r="H51" t="s">
        <v>46</v>
      </c>
      <c r="I51" t="s">
        <v>40</v>
      </c>
      <c r="J51" s="1">
        <v>44365</v>
      </c>
      <c r="K51" t="s">
        <v>98</v>
      </c>
      <c r="L51" t="s">
        <v>107</v>
      </c>
      <c r="M51" t="s">
        <v>1470</v>
      </c>
      <c r="N51">
        <v>2021</v>
      </c>
    </row>
    <row r="52" spans="1:14" x14ac:dyDescent="0.25">
      <c r="A52" t="s">
        <v>122</v>
      </c>
      <c r="B52" t="s">
        <v>126</v>
      </c>
      <c r="C52">
        <v>3090</v>
      </c>
      <c r="D52">
        <v>573</v>
      </c>
      <c r="E52" s="5">
        <v>0.18543689320388401</v>
      </c>
      <c r="F52">
        <v>6</v>
      </c>
      <c r="G52" t="s">
        <v>45</v>
      </c>
      <c r="H52" t="s">
        <v>46</v>
      </c>
      <c r="I52" t="s">
        <v>40</v>
      </c>
      <c r="J52" s="1">
        <v>45073</v>
      </c>
      <c r="K52" t="s">
        <v>71</v>
      </c>
      <c r="L52" t="s">
        <v>86</v>
      </c>
      <c r="M52" t="s">
        <v>1473</v>
      </c>
      <c r="N52">
        <v>2023</v>
      </c>
    </row>
    <row r="53" spans="1:14" x14ac:dyDescent="0.25">
      <c r="A53" t="s">
        <v>122</v>
      </c>
      <c r="B53" t="s">
        <v>128</v>
      </c>
      <c r="C53">
        <v>3090</v>
      </c>
      <c r="D53">
        <v>573</v>
      </c>
      <c r="E53" s="5">
        <v>0.18543689320388401</v>
      </c>
      <c r="F53">
        <v>6</v>
      </c>
      <c r="G53" t="s">
        <v>45</v>
      </c>
      <c r="H53" t="s">
        <v>46</v>
      </c>
      <c r="I53" t="s">
        <v>40</v>
      </c>
      <c r="J53" s="1">
        <v>44481</v>
      </c>
      <c r="K53" t="s">
        <v>71</v>
      </c>
      <c r="L53" t="s">
        <v>72</v>
      </c>
      <c r="M53" t="s">
        <v>1474</v>
      </c>
      <c r="N53">
        <v>2021</v>
      </c>
    </row>
    <row r="54" spans="1:14" x14ac:dyDescent="0.25">
      <c r="A54" t="s">
        <v>122</v>
      </c>
      <c r="B54" t="s">
        <v>123</v>
      </c>
      <c r="C54">
        <v>9683</v>
      </c>
      <c r="D54">
        <v>1014</v>
      </c>
      <c r="E54" s="5">
        <v>0.104719611690592</v>
      </c>
      <c r="F54">
        <v>5</v>
      </c>
      <c r="G54" t="s">
        <v>13</v>
      </c>
      <c r="H54" t="s">
        <v>28</v>
      </c>
      <c r="I54" t="s">
        <v>15</v>
      </c>
      <c r="J54" s="1">
        <v>45653</v>
      </c>
      <c r="K54" t="s">
        <v>42</v>
      </c>
      <c r="L54" t="s">
        <v>75</v>
      </c>
      <c r="M54" t="s">
        <v>1471</v>
      </c>
      <c r="N54">
        <v>2024</v>
      </c>
    </row>
    <row r="55" spans="1:14" x14ac:dyDescent="0.25">
      <c r="A55" t="s">
        <v>122</v>
      </c>
      <c r="B55" t="s">
        <v>124</v>
      </c>
      <c r="C55">
        <v>9683</v>
      </c>
      <c r="D55">
        <v>1014</v>
      </c>
      <c r="E55" s="5">
        <v>0.104719611690592</v>
      </c>
      <c r="F55">
        <v>5</v>
      </c>
      <c r="G55" t="s">
        <v>13</v>
      </c>
      <c r="H55" t="s">
        <v>28</v>
      </c>
      <c r="I55" t="s">
        <v>15</v>
      </c>
      <c r="J55" s="1">
        <v>44365</v>
      </c>
      <c r="K55" t="s">
        <v>98</v>
      </c>
      <c r="L55" t="s">
        <v>107</v>
      </c>
      <c r="M55" t="s">
        <v>1470</v>
      </c>
      <c r="N55">
        <v>2021</v>
      </c>
    </row>
    <row r="56" spans="1:14" x14ac:dyDescent="0.25">
      <c r="A56" t="s">
        <v>122</v>
      </c>
      <c r="B56" t="s">
        <v>126</v>
      </c>
      <c r="C56">
        <v>9683</v>
      </c>
      <c r="D56">
        <v>1014</v>
      </c>
      <c r="E56" s="5">
        <v>0.104719611690592</v>
      </c>
      <c r="F56">
        <v>5</v>
      </c>
      <c r="G56" t="s">
        <v>13</v>
      </c>
      <c r="H56" t="s">
        <v>28</v>
      </c>
      <c r="I56" t="s">
        <v>15</v>
      </c>
      <c r="J56" s="1">
        <v>45073</v>
      </c>
      <c r="K56" t="s">
        <v>71</v>
      </c>
      <c r="L56" t="s">
        <v>86</v>
      </c>
      <c r="M56" t="s">
        <v>1473</v>
      </c>
      <c r="N56">
        <v>2023</v>
      </c>
    </row>
    <row r="57" spans="1:14" x14ac:dyDescent="0.25">
      <c r="A57" t="s">
        <v>122</v>
      </c>
      <c r="B57" t="s">
        <v>128</v>
      </c>
      <c r="C57">
        <v>9683</v>
      </c>
      <c r="D57">
        <v>1014</v>
      </c>
      <c r="E57" s="5">
        <v>0.104719611690592</v>
      </c>
      <c r="F57">
        <v>5</v>
      </c>
      <c r="G57" t="s">
        <v>13</v>
      </c>
      <c r="H57" t="s">
        <v>28</v>
      </c>
      <c r="I57" t="s">
        <v>15</v>
      </c>
      <c r="J57" s="1">
        <v>44481</v>
      </c>
      <c r="K57" t="s">
        <v>71</v>
      </c>
      <c r="L57" t="s">
        <v>72</v>
      </c>
      <c r="M57" t="s">
        <v>1474</v>
      </c>
      <c r="N57">
        <v>2021</v>
      </c>
    </row>
    <row r="58" spans="1:14" x14ac:dyDescent="0.25">
      <c r="A58" t="s">
        <v>129</v>
      </c>
      <c r="B58" t="s">
        <v>130</v>
      </c>
      <c r="C58">
        <v>2463</v>
      </c>
      <c r="D58">
        <v>648</v>
      </c>
      <c r="E58" s="5">
        <v>0.263093788063337</v>
      </c>
      <c r="F58">
        <v>18</v>
      </c>
      <c r="G58" t="s">
        <v>45</v>
      </c>
      <c r="H58" t="s">
        <v>46</v>
      </c>
      <c r="I58" t="s">
        <v>40</v>
      </c>
      <c r="J58" s="1">
        <v>44823</v>
      </c>
      <c r="K58" t="s">
        <v>98</v>
      </c>
      <c r="L58" t="s">
        <v>107</v>
      </c>
      <c r="M58" t="s">
        <v>1480</v>
      </c>
      <c r="N58">
        <v>2022</v>
      </c>
    </row>
    <row r="59" spans="1:14" x14ac:dyDescent="0.25">
      <c r="A59" t="s">
        <v>132</v>
      </c>
      <c r="B59" t="s">
        <v>133</v>
      </c>
      <c r="C59">
        <v>7811</v>
      </c>
      <c r="D59">
        <v>1538</v>
      </c>
      <c r="E59" s="5">
        <v>0.196901805146588</v>
      </c>
      <c r="F59">
        <v>12</v>
      </c>
      <c r="G59" t="s">
        <v>45</v>
      </c>
      <c r="H59" t="s">
        <v>60</v>
      </c>
      <c r="I59" t="s">
        <v>65</v>
      </c>
      <c r="J59" s="1">
        <v>44645</v>
      </c>
      <c r="K59" t="s">
        <v>17</v>
      </c>
      <c r="L59" t="s">
        <v>18</v>
      </c>
      <c r="M59" t="s">
        <v>1476</v>
      </c>
      <c r="N59">
        <v>2022</v>
      </c>
    </row>
    <row r="60" spans="1:14" x14ac:dyDescent="0.25">
      <c r="A60" t="s">
        <v>135</v>
      </c>
      <c r="B60" t="s">
        <v>136</v>
      </c>
      <c r="C60">
        <v>6139</v>
      </c>
      <c r="D60">
        <v>451</v>
      </c>
      <c r="E60" s="5">
        <v>7.3464733669978799E-2</v>
      </c>
      <c r="F60">
        <v>10</v>
      </c>
      <c r="G60" t="s">
        <v>45</v>
      </c>
      <c r="H60" t="s">
        <v>46</v>
      </c>
      <c r="I60" t="s">
        <v>32</v>
      </c>
      <c r="J60" s="1">
        <v>44618</v>
      </c>
      <c r="K60" t="s">
        <v>17</v>
      </c>
      <c r="L60" t="s">
        <v>34</v>
      </c>
      <c r="M60" t="s">
        <v>1477</v>
      </c>
      <c r="N60">
        <v>2022</v>
      </c>
    </row>
    <row r="61" spans="1:14" x14ac:dyDescent="0.25">
      <c r="A61" t="s">
        <v>135</v>
      </c>
      <c r="B61" t="s">
        <v>91</v>
      </c>
      <c r="C61">
        <v>6139</v>
      </c>
      <c r="D61">
        <v>451</v>
      </c>
      <c r="E61" s="5">
        <v>7.3464733669978799E-2</v>
      </c>
      <c r="F61">
        <v>10</v>
      </c>
      <c r="G61" t="s">
        <v>45</v>
      </c>
      <c r="H61" t="s">
        <v>46</v>
      </c>
      <c r="I61" t="s">
        <v>32</v>
      </c>
      <c r="J61" s="1">
        <v>44291</v>
      </c>
      <c r="K61" t="s">
        <v>71</v>
      </c>
      <c r="L61" t="s">
        <v>138</v>
      </c>
      <c r="M61" t="s">
        <v>1481</v>
      </c>
      <c r="N61">
        <v>2021</v>
      </c>
    </row>
    <row r="62" spans="1:14" x14ac:dyDescent="0.25">
      <c r="A62" t="s">
        <v>135</v>
      </c>
      <c r="B62" t="s">
        <v>136</v>
      </c>
      <c r="C62">
        <v>8636</v>
      </c>
      <c r="D62">
        <v>3192</v>
      </c>
      <c r="E62" s="5">
        <v>0.36961556276053698</v>
      </c>
      <c r="F62">
        <v>3</v>
      </c>
      <c r="G62" t="s">
        <v>45</v>
      </c>
      <c r="H62" t="s">
        <v>49</v>
      </c>
      <c r="I62" t="s">
        <v>65</v>
      </c>
      <c r="J62" s="1">
        <v>44618</v>
      </c>
      <c r="K62" t="s">
        <v>17</v>
      </c>
      <c r="L62" t="s">
        <v>34</v>
      </c>
      <c r="M62" t="s">
        <v>1477</v>
      </c>
      <c r="N62">
        <v>2022</v>
      </c>
    </row>
    <row r="63" spans="1:14" x14ac:dyDescent="0.25">
      <c r="A63" t="s">
        <v>135</v>
      </c>
      <c r="B63" t="s">
        <v>91</v>
      </c>
      <c r="C63">
        <v>8636</v>
      </c>
      <c r="D63">
        <v>3192</v>
      </c>
      <c r="E63" s="5">
        <v>0.36961556276053698</v>
      </c>
      <c r="F63">
        <v>3</v>
      </c>
      <c r="G63" t="s">
        <v>45</v>
      </c>
      <c r="H63" t="s">
        <v>49</v>
      </c>
      <c r="I63" t="s">
        <v>65</v>
      </c>
      <c r="J63" s="1">
        <v>44291</v>
      </c>
      <c r="K63" t="s">
        <v>71</v>
      </c>
      <c r="L63" t="s">
        <v>138</v>
      </c>
      <c r="M63" t="s">
        <v>1481</v>
      </c>
      <c r="N63">
        <v>2021</v>
      </c>
    </row>
    <row r="64" spans="1:14" x14ac:dyDescent="0.25">
      <c r="A64" t="s">
        <v>135</v>
      </c>
      <c r="B64" t="s">
        <v>136</v>
      </c>
      <c r="C64">
        <v>4439</v>
      </c>
      <c r="D64">
        <v>1712</v>
      </c>
      <c r="E64" s="5">
        <v>0.38567244874971801</v>
      </c>
      <c r="F64">
        <v>19</v>
      </c>
      <c r="G64" t="s">
        <v>45</v>
      </c>
      <c r="H64" t="s">
        <v>60</v>
      </c>
      <c r="I64" t="s">
        <v>47</v>
      </c>
      <c r="J64" s="1">
        <v>44618</v>
      </c>
      <c r="K64" t="s">
        <v>17</v>
      </c>
      <c r="L64" t="s">
        <v>34</v>
      </c>
      <c r="M64" t="s">
        <v>1477</v>
      </c>
      <c r="N64">
        <v>2022</v>
      </c>
    </row>
    <row r="65" spans="1:14" x14ac:dyDescent="0.25">
      <c r="A65" t="s">
        <v>135</v>
      </c>
      <c r="B65" t="s">
        <v>91</v>
      </c>
      <c r="C65">
        <v>4439</v>
      </c>
      <c r="D65">
        <v>1712</v>
      </c>
      <c r="E65" s="5">
        <v>0.38567244874971801</v>
      </c>
      <c r="F65">
        <v>19</v>
      </c>
      <c r="G65" t="s">
        <v>45</v>
      </c>
      <c r="H65" t="s">
        <v>60</v>
      </c>
      <c r="I65" t="s">
        <v>47</v>
      </c>
      <c r="J65" s="1">
        <v>44291</v>
      </c>
      <c r="K65" t="s">
        <v>71</v>
      </c>
      <c r="L65" t="s">
        <v>138</v>
      </c>
      <c r="M65" t="s">
        <v>1481</v>
      </c>
      <c r="N65">
        <v>2021</v>
      </c>
    </row>
    <row r="66" spans="1:14" x14ac:dyDescent="0.25">
      <c r="A66" t="s">
        <v>140</v>
      </c>
      <c r="B66" t="s">
        <v>141</v>
      </c>
      <c r="C66">
        <v>1016</v>
      </c>
      <c r="D66">
        <v>172</v>
      </c>
      <c r="E66" s="5">
        <v>0.169291338582677</v>
      </c>
      <c r="F66">
        <v>20</v>
      </c>
      <c r="G66" t="s">
        <v>45</v>
      </c>
      <c r="H66" t="s">
        <v>46</v>
      </c>
      <c r="I66" t="s">
        <v>32</v>
      </c>
      <c r="J66" s="1">
        <v>44151</v>
      </c>
      <c r="K66" t="s">
        <v>25</v>
      </c>
      <c r="L66" t="s">
        <v>26</v>
      </c>
      <c r="M66" t="s">
        <v>1475</v>
      </c>
      <c r="N66">
        <v>2020</v>
      </c>
    </row>
    <row r="67" spans="1:14" x14ac:dyDescent="0.25">
      <c r="A67" t="s">
        <v>140</v>
      </c>
      <c r="B67" t="s">
        <v>141</v>
      </c>
      <c r="C67">
        <v>5768</v>
      </c>
      <c r="D67">
        <v>2059</v>
      </c>
      <c r="E67" s="5">
        <v>0.35696948682385599</v>
      </c>
      <c r="F67">
        <v>14</v>
      </c>
      <c r="G67" t="s">
        <v>45</v>
      </c>
      <c r="H67" t="s">
        <v>46</v>
      </c>
      <c r="I67" t="s">
        <v>15</v>
      </c>
      <c r="J67" s="1">
        <v>44151</v>
      </c>
      <c r="K67" t="s">
        <v>25</v>
      </c>
      <c r="L67" t="s">
        <v>26</v>
      </c>
      <c r="M67" t="s">
        <v>1475</v>
      </c>
      <c r="N67">
        <v>2020</v>
      </c>
    </row>
    <row r="68" spans="1:14" x14ac:dyDescent="0.25">
      <c r="A68" t="s">
        <v>140</v>
      </c>
      <c r="B68" t="s">
        <v>141</v>
      </c>
      <c r="C68">
        <v>1217</v>
      </c>
      <c r="D68">
        <v>151</v>
      </c>
      <c r="E68" s="5">
        <v>0.12407559572719799</v>
      </c>
      <c r="F68">
        <v>3</v>
      </c>
      <c r="G68" t="s">
        <v>45</v>
      </c>
      <c r="H68" t="s">
        <v>46</v>
      </c>
      <c r="I68" t="s">
        <v>47</v>
      </c>
      <c r="J68" s="1">
        <v>44151</v>
      </c>
      <c r="K68" t="s">
        <v>25</v>
      </c>
      <c r="L68" t="s">
        <v>26</v>
      </c>
      <c r="M68" t="s">
        <v>1475</v>
      </c>
      <c r="N68">
        <v>2020</v>
      </c>
    </row>
    <row r="69" spans="1:14" x14ac:dyDescent="0.25">
      <c r="A69" t="s">
        <v>142</v>
      </c>
      <c r="B69" t="s">
        <v>143</v>
      </c>
      <c r="C69">
        <v>953</v>
      </c>
      <c r="D69">
        <v>93</v>
      </c>
      <c r="E69" s="5">
        <v>9.7586568730325299E-2</v>
      </c>
      <c r="F69">
        <v>2</v>
      </c>
      <c r="G69" t="s">
        <v>30</v>
      </c>
      <c r="H69" t="s">
        <v>64</v>
      </c>
      <c r="I69" t="s">
        <v>32</v>
      </c>
      <c r="J69" s="1">
        <v>45638</v>
      </c>
      <c r="K69" t="s">
        <v>98</v>
      </c>
      <c r="L69" t="s">
        <v>117</v>
      </c>
      <c r="M69" t="s">
        <v>1471</v>
      </c>
      <c r="N69">
        <v>2024</v>
      </c>
    </row>
    <row r="70" spans="1:14" x14ac:dyDescent="0.25">
      <c r="A70" t="s">
        <v>142</v>
      </c>
      <c r="B70" t="s">
        <v>144</v>
      </c>
      <c r="C70">
        <v>953</v>
      </c>
      <c r="D70">
        <v>93</v>
      </c>
      <c r="E70" s="5">
        <v>9.7586568730325299E-2</v>
      </c>
      <c r="F70">
        <v>2</v>
      </c>
      <c r="G70" t="s">
        <v>30</v>
      </c>
      <c r="H70" t="s">
        <v>64</v>
      </c>
      <c r="I70" t="s">
        <v>32</v>
      </c>
      <c r="J70" s="1">
        <v>45022</v>
      </c>
      <c r="K70" t="s">
        <v>42</v>
      </c>
      <c r="L70" t="s">
        <v>43</v>
      </c>
      <c r="M70" t="s">
        <v>1481</v>
      </c>
      <c r="N70">
        <v>2023</v>
      </c>
    </row>
    <row r="71" spans="1:14" x14ac:dyDescent="0.25">
      <c r="A71" t="s">
        <v>142</v>
      </c>
      <c r="B71" t="s">
        <v>143</v>
      </c>
      <c r="C71">
        <v>7355</v>
      </c>
      <c r="D71">
        <v>1034</v>
      </c>
      <c r="E71" s="5">
        <v>0.14058463630183499</v>
      </c>
      <c r="F71">
        <v>3</v>
      </c>
      <c r="G71" t="s">
        <v>45</v>
      </c>
      <c r="H71" t="s">
        <v>60</v>
      </c>
      <c r="I71" t="s">
        <v>65</v>
      </c>
      <c r="J71" s="1">
        <v>45638</v>
      </c>
      <c r="K71" t="s">
        <v>98</v>
      </c>
      <c r="L71" t="s">
        <v>117</v>
      </c>
      <c r="M71" t="s">
        <v>1471</v>
      </c>
      <c r="N71">
        <v>2024</v>
      </c>
    </row>
    <row r="72" spans="1:14" x14ac:dyDescent="0.25">
      <c r="A72" t="s">
        <v>142</v>
      </c>
      <c r="B72" t="s">
        <v>144</v>
      </c>
      <c r="C72">
        <v>7355</v>
      </c>
      <c r="D72">
        <v>1034</v>
      </c>
      <c r="E72" s="5">
        <v>0.14058463630183499</v>
      </c>
      <c r="F72">
        <v>3</v>
      </c>
      <c r="G72" t="s">
        <v>45</v>
      </c>
      <c r="H72" t="s">
        <v>60</v>
      </c>
      <c r="I72" t="s">
        <v>65</v>
      </c>
      <c r="J72" s="1">
        <v>45022</v>
      </c>
      <c r="K72" t="s">
        <v>42</v>
      </c>
      <c r="L72" t="s">
        <v>43</v>
      </c>
      <c r="M72" t="s">
        <v>1481</v>
      </c>
      <c r="N72">
        <v>2023</v>
      </c>
    </row>
    <row r="73" spans="1:14" x14ac:dyDescent="0.25">
      <c r="A73" t="s">
        <v>142</v>
      </c>
      <c r="B73" t="s">
        <v>143</v>
      </c>
      <c r="C73">
        <v>1843</v>
      </c>
      <c r="D73">
        <v>248</v>
      </c>
      <c r="E73" s="5">
        <v>0.134563212154097</v>
      </c>
      <c r="F73">
        <v>3</v>
      </c>
      <c r="G73" t="s">
        <v>13</v>
      </c>
      <c r="H73" t="s">
        <v>82</v>
      </c>
      <c r="I73" t="s">
        <v>47</v>
      </c>
      <c r="J73" s="1">
        <v>45638</v>
      </c>
      <c r="K73" t="s">
        <v>98</v>
      </c>
      <c r="L73" t="s">
        <v>117</v>
      </c>
      <c r="M73" t="s">
        <v>1471</v>
      </c>
      <c r="N73">
        <v>2024</v>
      </c>
    </row>
    <row r="74" spans="1:14" x14ac:dyDescent="0.25">
      <c r="A74" t="s">
        <v>142</v>
      </c>
      <c r="B74" t="s">
        <v>144</v>
      </c>
      <c r="C74">
        <v>1843</v>
      </c>
      <c r="D74">
        <v>248</v>
      </c>
      <c r="E74" s="5">
        <v>0.134563212154097</v>
      </c>
      <c r="F74">
        <v>3</v>
      </c>
      <c r="G74" t="s">
        <v>13</v>
      </c>
      <c r="H74" t="s">
        <v>82</v>
      </c>
      <c r="I74" t="s">
        <v>47</v>
      </c>
      <c r="J74" s="1">
        <v>45022</v>
      </c>
      <c r="K74" t="s">
        <v>42</v>
      </c>
      <c r="L74" t="s">
        <v>43</v>
      </c>
      <c r="M74" t="s">
        <v>1481</v>
      </c>
      <c r="N74">
        <v>2023</v>
      </c>
    </row>
    <row r="75" spans="1:14" x14ac:dyDescent="0.25">
      <c r="A75" t="s">
        <v>142</v>
      </c>
      <c r="B75" t="s">
        <v>143</v>
      </c>
      <c r="C75">
        <v>1603</v>
      </c>
      <c r="D75">
        <v>361</v>
      </c>
      <c r="E75" s="5">
        <v>0.2252027448534</v>
      </c>
      <c r="F75">
        <v>10</v>
      </c>
      <c r="G75" t="s">
        <v>30</v>
      </c>
      <c r="H75" t="s">
        <v>31</v>
      </c>
      <c r="I75" t="s">
        <v>32</v>
      </c>
      <c r="J75" s="1">
        <v>45638</v>
      </c>
      <c r="K75" t="s">
        <v>98</v>
      </c>
      <c r="L75" t="s">
        <v>117</v>
      </c>
      <c r="M75" t="s">
        <v>1471</v>
      </c>
      <c r="N75">
        <v>2024</v>
      </c>
    </row>
    <row r="76" spans="1:14" x14ac:dyDescent="0.25">
      <c r="A76" t="s">
        <v>142</v>
      </c>
      <c r="B76" t="s">
        <v>144</v>
      </c>
      <c r="C76">
        <v>1603</v>
      </c>
      <c r="D76">
        <v>361</v>
      </c>
      <c r="E76" s="5">
        <v>0.2252027448534</v>
      </c>
      <c r="F76">
        <v>10</v>
      </c>
      <c r="G76" t="s">
        <v>30</v>
      </c>
      <c r="H76" t="s">
        <v>31</v>
      </c>
      <c r="I76" t="s">
        <v>32</v>
      </c>
      <c r="J76" s="1">
        <v>45022</v>
      </c>
      <c r="K76" t="s">
        <v>42</v>
      </c>
      <c r="L76" t="s">
        <v>43</v>
      </c>
      <c r="M76" t="s">
        <v>1481</v>
      </c>
      <c r="N76">
        <v>2023</v>
      </c>
    </row>
    <row r="77" spans="1:14" x14ac:dyDescent="0.25">
      <c r="A77" t="s">
        <v>146</v>
      </c>
      <c r="B77" t="s">
        <v>147</v>
      </c>
      <c r="C77">
        <v>2025</v>
      </c>
      <c r="D77">
        <v>528</v>
      </c>
      <c r="E77" s="5">
        <v>0.26074074074074099</v>
      </c>
      <c r="F77">
        <v>1</v>
      </c>
      <c r="G77" t="s">
        <v>30</v>
      </c>
      <c r="H77" t="s">
        <v>31</v>
      </c>
      <c r="I77" t="s">
        <v>47</v>
      </c>
      <c r="J77" s="1">
        <v>45319</v>
      </c>
      <c r="K77" t="s">
        <v>17</v>
      </c>
      <c r="L77" t="s">
        <v>18</v>
      </c>
      <c r="M77" t="s">
        <v>1478</v>
      </c>
      <c r="N77">
        <v>2024</v>
      </c>
    </row>
    <row r="78" spans="1:14" x14ac:dyDescent="0.25">
      <c r="A78" t="s">
        <v>146</v>
      </c>
      <c r="B78" t="s">
        <v>147</v>
      </c>
      <c r="C78">
        <v>6800</v>
      </c>
      <c r="D78">
        <v>167</v>
      </c>
      <c r="E78" s="5">
        <v>2.45588235294118E-2</v>
      </c>
      <c r="F78">
        <v>16</v>
      </c>
      <c r="G78" t="s">
        <v>30</v>
      </c>
      <c r="H78" t="s">
        <v>78</v>
      </c>
      <c r="I78" t="s">
        <v>40</v>
      </c>
      <c r="J78" s="1">
        <v>45319</v>
      </c>
      <c r="K78" t="s">
        <v>17</v>
      </c>
      <c r="L78" t="s">
        <v>18</v>
      </c>
      <c r="M78" t="s">
        <v>1478</v>
      </c>
      <c r="N78">
        <v>2024</v>
      </c>
    </row>
    <row r="79" spans="1:14" x14ac:dyDescent="0.25">
      <c r="A79" t="s">
        <v>148</v>
      </c>
      <c r="B79" t="s">
        <v>149</v>
      </c>
      <c r="C79">
        <v>1126</v>
      </c>
      <c r="D79">
        <v>55</v>
      </c>
      <c r="E79" s="5">
        <v>4.8845470692717601E-2</v>
      </c>
      <c r="F79">
        <v>1</v>
      </c>
      <c r="G79" t="s">
        <v>45</v>
      </c>
      <c r="H79" t="s">
        <v>109</v>
      </c>
      <c r="I79" t="s">
        <v>15</v>
      </c>
      <c r="J79" s="1">
        <v>44577</v>
      </c>
      <c r="K79" t="s">
        <v>17</v>
      </c>
      <c r="L79" t="s">
        <v>150</v>
      </c>
      <c r="M79" t="s">
        <v>1478</v>
      </c>
      <c r="N79">
        <v>2022</v>
      </c>
    </row>
    <row r="80" spans="1:14" x14ac:dyDescent="0.25">
      <c r="A80" t="s">
        <v>148</v>
      </c>
      <c r="B80" t="s">
        <v>151</v>
      </c>
      <c r="C80">
        <v>1126</v>
      </c>
      <c r="D80">
        <v>55</v>
      </c>
      <c r="E80" s="5">
        <v>4.8845470692717601E-2</v>
      </c>
      <c r="F80">
        <v>1</v>
      </c>
      <c r="G80" t="s">
        <v>45</v>
      </c>
      <c r="H80" t="s">
        <v>109</v>
      </c>
      <c r="I80" t="s">
        <v>15</v>
      </c>
      <c r="J80" s="1">
        <v>44911</v>
      </c>
      <c r="K80" t="s">
        <v>25</v>
      </c>
      <c r="L80" t="s">
        <v>26</v>
      </c>
      <c r="M80" t="s">
        <v>1471</v>
      </c>
      <c r="N80">
        <v>2022</v>
      </c>
    </row>
    <row r="81" spans="1:14" x14ac:dyDescent="0.25">
      <c r="A81" t="s">
        <v>153</v>
      </c>
      <c r="B81" t="s">
        <v>154</v>
      </c>
      <c r="C81">
        <v>7533</v>
      </c>
      <c r="D81">
        <v>3508</v>
      </c>
      <c r="E81" s="5">
        <v>0.465684322315147</v>
      </c>
      <c r="F81">
        <v>12</v>
      </c>
      <c r="G81" t="s">
        <v>45</v>
      </c>
      <c r="H81" t="s">
        <v>46</v>
      </c>
      <c r="I81" t="s">
        <v>15</v>
      </c>
      <c r="J81" s="1">
        <v>45120</v>
      </c>
      <c r="K81" t="s">
        <v>42</v>
      </c>
      <c r="L81" t="s">
        <v>75</v>
      </c>
      <c r="M81" t="s">
        <v>1472</v>
      </c>
      <c r="N81">
        <v>2023</v>
      </c>
    </row>
    <row r="82" spans="1:14" x14ac:dyDescent="0.25">
      <c r="A82" t="s">
        <v>153</v>
      </c>
      <c r="B82" t="s">
        <v>154</v>
      </c>
      <c r="C82">
        <v>4734</v>
      </c>
      <c r="D82">
        <v>1178</v>
      </c>
      <c r="E82" s="5">
        <v>0.24883819180397099</v>
      </c>
      <c r="F82">
        <v>16</v>
      </c>
      <c r="G82" t="s">
        <v>30</v>
      </c>
      <c r="H82" t="s">
        <v>78</v>
      </c>
      <c r="I82" t="s">
        <v>47</v>
      </c>
      <c r="J82" s="1">
        <v>45120</v>
      </c>
      <c r="K82" t="s">
        <v>42</v>
      </c>
      <c r="L82" t="s">
        <v>75</v>
      </c>
      <c r="M82" t="s">
        <v>1472</v>
      </c>
      <c r="N82">
        <v>2023</v>
      </c>
    </row>
    <row r="83" spans="1:14" x14ac:dyDescent="0.25">
      <c r="A83" t="s">
        <v>153</v>
      </c>
      <c r="B83" t="s">
        <v>154</v>
      </c>
      <c r="C83">
        <v>4074</v>
      </c>
      <c r="D83">
        <v>1175</v>
      </c>
      <c r="E83" s="5">
        <v>0.28841433480608702</v>
      </c>
      <c r="F83">
        <v>6</v>
      </c>
      <c r="G83" t="s">
        <v>13</v>
      </c>
      <c r="H83" t="s">
        <v>14</v>
      </c>
      <c r="I83" t="s">
        <v>32</v>
      </c>
      <c r="J83" s="1">
        <v>45120</v>
      </c>
      <c r="K83" t="s">
        <v>42</v>
      </c>
      <c r="L83" t="s">
        <v>75</v>
      </c>
      <c r="M83" t="s">
        <v>1472</v>
      </c>
      <c r="N83">
        <v>2023</v>
      </c>
    </row>
    <row r="84" spans="1:14" x14ac:dyDescent="0.25">
      <c r="A84" t="s">
        <v>153</v>
      </c>
      <c r="B84" t="s">
        <v>154</v>
      </c>
      <c r="C84">
        <v>2334</v>
      </c>
      <c r="D84">
        <v>484</v>
      </c>
      <c r="E84" s="5">
        <v>0.207369323050557</v>
      </c>
      <c r="F84">
        <v>3</v>
      </c>
      <c r="G84" t="s">
        <v>45</v>
      </c>
      <c r="H84" t="s">
        <v>60</v>
      </c>
      <c r="I84" t="s">
        <v>47</v>
      </c>
      <c r="J84" s="1">
        <v>45120</v>
      </c>
      <c r="K84" t="s">
        <v>42</v>
      </c>
      <c r="L84" t="s">
        <v>75</v>
      </c>
      <c r="M84" t="s">
        <v>1472</v>
      </c>
      <c r="N84">
        <v>2023</v>
      </c>
    </row>
    <row r="85" spans="1:14" x14ac:dyDescent="0.25">
      <c r="A85" t="s">
        <v>155</v>
      </c>
      <c r="B85" t="s">
        <v>156</v>
      </c>
      <c r="C85">
        <v>2750</v>
      </c>
      <c r="D85">
        <v>1239</v>
      </c>
      <c r="E85" s="5">
        <v>0.45054545454545403</v>
      </c>
      <c r="F85">
        <v>11</v>
      </c>
      <c r="G85" t="s">
        <v>13</v>
      </c>
      <c r="H85" t="s">
        <v>82</v>
      </c>
      <c r="I85" t="s">
        <v>32</v>
      </c>
      <c r="J85" s="1">
        <v>45726</v>
      </c>
      <c r="K85" t="s">
        <v>25</v>
      </c>
      <c r="L85" t="s">
        <v>26</v>
      </c>
      <c r="M85" t="s">
        <v>1476</v>
      </c>
      <c r="N85">
        <v>2025</v>
      </c>
    </row>
    <row r="86" spans="1:14" x14ac:dyDescent="0.25">
      <c r="A86" t="s">
        <v>155</v>
      </c>
      <c r="B86" t="s">
        <v>158</v>
      </c>
      <c r="C86">
        <v>2750</v>
      </c>
      <c r="D86">
        <v>1239</v>
      </c>
      <c r="E86" s="5">
        <v>0.45054545454545403</v>
      </c>
      <c r="F86">
        <v>11</v>
      </c>
      <c r="G86" t="s">
        <v>13</v>
      </c>
      <c r="H86" t="s">
        <v>82</v>
      </c>
      <c r="I86" t="s">
        <v>32</v>
      </c>
      <c r="J86" s="1">
        <v>45559</v>
      </c>
      <c r="K86" t="s">
        <v>98</v>
      </c>
      <c r="L86" t="s">
        <v>117</v>
      </c>
      <c r="M86" t="s">
        <v>1480</v>
      </c>
      <c r="N86">
        <v>2024</v>
      </c>
    </row>
    <row r="87" spans="1:14" x14ac:dyDescent="0.25">
      <c r="A87" t="s">
        <v>155</v>
      </c>
      <c r="B87" t="s">
        <v>156</v>
      </c>
      <c r="C87">
        <v>8639</v>
      </c>
      <c r="D87">
        <v>3104</v>
      </c>
      <c r="E87" s="5">
        <v>0.35930084500520898</v>
      </c>
      <c r="F87">
        <v>19</v>
      </c>
      <c r="G87" t="s">
        <v>30</v>
      </c>
      <c r="H87" t="s">
        <v>31</v>
      </c>
      <c r="I87" t="s">
        <v>40</v>
      </c>
      <c r="J87" s="1">
        <v>45726</v>
      </c>
      <c r="K87" t="s">
        <v>25</v>
      </c>
      <c r="L87" t="s">
        <v>26</v>
      </c>
      <c r="M87" t="s">
        <v>1476</v>
      </c>
      <c r="N87">
        <v>2025</v>
      </c>
    </row>
    <row r="88" spans="1:14" x14ac:dyDescent="0.25">
      <c r="A88" t="s">
        <v>155</v>
      </c>
      <c r="B88" t="s">
        <v>158</v>
      </c>
      <c r="C88">
        <v>8639</v>
      </c>
      <c r="D88">
        <v>3104</v>
      </c>
      <c r="E88" s="5">
        <v>0.35930084500520898</v>
      </c>
      <c r="F88">
        <v>19</v>
      </c>
      <c r="G88" t="s">
        <v>30</v>
      </c>
      <c r="H88" t="s">
        <v>31</v>
      </c>
      <c r="I88" t="s">
        <v>40</v>
      </c>
      <c r="J88" s="1">
        <v>45559</v>
      </c>
      <c r="K88" t="s">
        <v>98</v>
      </c>
      <c r="L88" t="s">
        <v>117</v>
      </c>
      <c r="M88" t="s">
        <v>1480</v>
      </c>
      <c r="N88">
        <v>2024</v>
      </c>
    </row>
    <row r="89" spans="1:14" x14ac:dyDescent="0.25">
      <c r="A89" t="s">
        <v>160</v>
      </c>
      <c r="B89" t="s">
        <v>161</v>
      </c>
      <c r="C89">
        <v>3808</v>
      </c>
      <c r="D89">
        <v>1192</v>
      </c>
      <c r="E89" s="5">
        <v>0.313025210084034</v>
      </c>
      <c r="F89">
        <v>4</v>
      </c>
      <c r="G89" t="s">
        <v>30</v>
      </c>
      <c r="H89" t="s">
        <v>57</v>
      </c>
      <c r="I89" t="s">
        <v>15</v>
      </c>
      <c r="J89" s="1">
        <v>43934</v>
      </c>
      <c r="K89" t="s">
        <v>25</v>
      </c>
      <c r="L89" t="s">
        <v>51</v>
      </c>
      <c r="M89" t="s">
        <v>1481</v>
      </c>
      <c r="N89">
        <v>2020</v>
      </c>
    </row>
    <row r="90" spans="1:14" x14ac:dyDescent="0.25">
      <c r="A90" t="s">
        <v>160</v>
      </c>
      <c r="B90" t="s">
        <v>161</v>
      </c>
      <c r="C90">
        <v>2588</v>
      </c>
      <c r="D90">
        <v>705</v>
      </c>
      <c r="E90" s="5">
        <v>0.27241112828439001</v>
      </c>
      <c r="F90">
        <v>16</v>
      </c>
      <c r="G90" t="s">
        <v>30</v>
      </c>
      <c r="H90" t="s">
        <v>31</v>
      </c>
      <c r="I90" t="s">
        <v>47</v>
      </c>
      <c r="J90" s="1">
        <v>43934</v>
      </c>
      <c r="K90" t="s">
        <v>25</v>
      </c>
      <c r="L90" t="s">
        <v>51</v>
      </c>
      <c r="M90" t="s">
        <v>1481</v>
      </c>
      <c r="N90">
        <v>2020</v>
      </c>
    </row>
    <row r="91" spans="1:14" x14ac:dyDescent="0.25">
      <c r="A91" t="s">
        <v>163</v>
      </c>
      <c r="B91" t="s">
        <v>164</v>
      </c>
      <c r="C91">
        <v>1591</v>
      </c>
      <c r="D91">
        <v>727</v>
      </c>
      <c r="E91" s="5">
        <v>0.45694531741043398</v>
      </c>
      <c r="F91">
        <v>5</v>
      </c>
      <c r="G91" t="s">
        <v>13</v>
      </c>
      <c r="H91" t="s">
        <v>14</v>
      </c>
      <c r="I91" t="s">
        <v>47</v>
      </c>
      <c r="J91" s="1">
        <v>44739</v>
      </c>
      <c r="K91" t="s">
        <v>21</v>
      </c>
      <c r="L91" t="s">
        <v>63</v>
      </c>
      <c r="M91" t="s">
        <v>1470</v>
      </c>
      <c r="N91">
        <v>2022</v>
      </c>
    </row>
    <row r="92" spans="1:14" x14ac:dyDescent="0.25">
      <c r="A92" t="s">
        <v>163</v>
      </c>
      <c r="B92" t="s">
        <v>166</v>
      </c>
      <c r="C92">
        <v>1591</v>
      </c>
      <c r="D92">
        <v>727</v>
      </c>
      <c r="E92" s="5">
        <v>0.45694531741043398</v>
      </c>
      <c r="F92">
        <v>5</v>
      </c>
      <c r="G92" t="s">
        <v>13</v>
      </c>
      <c r="H92" t="s">
        <v>14</v>
      </c>
      <c r="I92" t="s">
        <v>47</v>
      </c>
      <c r="J92" s="1">
        <v>44269</v>
      </c>
      <c r="K92" t="s">
        <v>17</v>
      </c>
      <c r="L92" t="s">
        <v>150</v>
      </c>
      <c r="M92" t="s">
        <v>1476</v>
      </c>
      <c r="N92">
        <v>2021</v>
      </c>
    </row>
    <row r="93" spans="1:14" x14ac:dyDescent="0.25">
      <c r="A93" t="s">
        <v>163</v>
      </c>
      <c r="B93" t="s">
        <v>168</v>
      </c>
      <c r="C93">
        <v>1591</v>
      </c>
      <c r="D93">
        <v>727</v>
      </c>
      <c r="E93" s="5">
        <v>0.45694531741043398</v>
      </c>
      <c r="F93">
        <v>5</v>
      </c>
      <c r="G93" t="s">
        <v>13</v>
      </c>
      <c r="H93" t="s">
        <v>14</v>
      </c>
      <c r="I93" t="s">
        <v>47</v>
      </c>
      <c r="J93" s="1">
        <v>44615</v>
      </c>
      <c r="K93" t="s">
        <v>98</v>
      </c>
      <c r="L93" t="s">
        <v>107</v>
      </c>
      <c r="M93" t="s">
        <v>1477</v>
      </c>
      <c r="N93">
        <v>2022</v>
      </c>
    </row>
    <row r="94" spans="1:14" x14ac:dyDescent="0.25">
      <c r="A94" t="s">
        <v>169</v>
      </c>
      <c r="B94" t="s">
        <v>170</v>
      </c>
      <c r="C94">
        <v>1757</v>
      </c>
      <c r="D94">
        <v>622</v>
      </c>
      <c r="E94" s="5">
        <v>0.35401252134319899</v>
      </c>
      <c r="F94">
        <v>10</v>
      </c>
      <c r="G94" t="s">
        <v>45</v>
      </c>
      <c r="H94" t="s">
        <v>49</v>
      </c>
      <c r="I94" t="s">
        <v>15</v>
      </c>
      <c r="J94" s="1">
        <v>44649</v>
      </c>
      <c r="K94" t="s">
        <v>98</v>
      </c>
      <c r="L94" t="s">
        <v>117</v>
      </c>
      <c r="M94" t="s">
        <v>1476</v>
      </c>
      <c r="N94">
        <v>2022</v>
      </c>
    </row>
    <row r="95" spans="1:14" x14ac:dyDescent="0.25">
      <c r="A95" t="s">
        <v>169</v>
      </c>
      <c r="B95" t="s">
        <v>171</v>
      </c>
      <c r="C95">
        <v>1757</v>
      </c>
      <c r="D95">
        <v>622</v>
      </c>
      <c r="E95" s="5">
        <v>0.35401252134319899</v>
      </c>
      <c r="F95">
        <v>10</v>
      </c>
      <c r="G95" t="s">
        <v>45</v>
      </c>
      <c r="H95" t="s">
        <v>49</v>
      </c>
      <c r="I95" t="s">
        <v>15</v>
      </c>
      <c r="J95" s="1">
        <v>44885</v>
      </c>
      <c r="K95" t="s">
        <v>21</v>
      </c>
      <c r="L95" t="s">
        <v>172</v>
      </c>
      <c r="M95" t="s">
        <v>1475</v>
      </c>
      <c r="N95">
        <v>2022</v>
      </c>
    </row>
    <row r="96" spans="1:14" x14ac:dyDescent="0.25">
      <c r="A96" t="s">
        <v>173</v>
      </c>
      <c r="B96" t="s">
        <v>174</v>
      </c>
      <c r="C96">
        <v>6940</v>
      </c>
      <c r="D96">
        <v>253</v>
      </c>
      <c r="E96" s="5">
        <v>3.6455331412103803E-2</v>
      </c>
      <c r="F96">
        <v>15</v>
      </c>
      <c r="G96" t="s">
        <v>45</v>
      </c>
      <c r="H96" t="s">
        <v>109</v>
      </c>
      <c r="I96" t="s">
        <v>32</v>
      </c>
      <c r="J96" s="1">
        <v>44512</v>
      </c>
      <c r="K96" t="s">
        <v>17</v>
      </c>
      <c r="L96" t="s">
        <v>34</v>
      </c>
      <c r="M96" t="s">
        <v>1475</v>
      </c>
      <c r="N96">
        <v>2021</v>
      </c>
    </row>
    <row r="97" spans="1:14" x14ac:dyDescent="0.25">
      <c r="A97" t="s">
        <v>173</v>
      </c>
      <c r="B97" t="s">
        <v>174</v>
      </c>
      <c r="C97">
        <v>5105</v>
      </c>
      <c r="D97">
        <v>465</v>
      </c>
      <c r="E97" s="5">
        <v>9.1087169441723806E-2</v>
      </c>
      <c r="F97">
        <v>5</v>
      </c>
      <c r="G97" t="s">
        <v>13</v>
      </c>
      <c r="H97" t="s">
        <v>28</v>
      </c>
      <c r="I97" t="s">
        <v>15</v>
      </c>
      <c r="J97" s="1">
        <v>44512</v>
      </c>
      <c r="K97" t="s">
        <v>17</v>
      </c>
      <c r="L97" t="s">
        <v>34</v>
      </c>
      <c r="M97" t="s">
        <v>1475</v>
      </c>
      <c r="N97">
        <v>2021</v>
      </c>
    </row>
    <row r="98" spans="1:14" x14ac:dyDescent="0.25">
      <c r="A98" t="s">
        <v>176</v>
      </c>
      <c r="B98" t="s">
        <v>177</v>
      </c>
      <c r="C98">
        <v>5578</v>
      </c>
      <c r="D98">
        <v>277</v>
      </c>
      <c r="E98" s="5">
        <v>4.9659376120473303E-2</v>
      </c>
      <c r="F98">
        <v>16</v>
      </c>
      <c r="G98" t="s">
        <v>45</v>
      </c>
      <c r="H98" t="s">
        <v>46</v>
      </c>
      <c r="I98" t="s">
        <v>65</v>
      </c>
      <c r="J98" s="1">
        <v>44425</v>
      </c>
      <c r="K98" t="s">
        <v>17</v>
      </c>
      <c r="L98" t="s">
        <v>18</v>
      </c>
      <c r="M98" t="s">
        <v>1479</v>
      </c>
      <c r="N98">
        <v>2021</v>
      </c>
    </row>
    <row r="99" spans="1:14" x14ac:dyDescent="0.25">
      <c r="A99" t="s">
        <v>176</v>
      </c>
      <c r="B99" t="s">
        <v>179</v>
      </c>
      <c r="C99">
        <v>5578</v>
      </c>
      <c r="D99">
        <v>277</v>
      </c>
      <c r="E99" s="5">
        <v>4.9659376120473303E-2</v>
      </c>
      <c r="F99">
        <v>16</v>
      </c>
      <c r="G99" t="s">
        <v>45</v>
      </c>
      <c r="H99" t="s">
        <v>46</v>
      </c>
      <c r="I99" t="s">
        <v>65</v>
      </c>
      <c r="J99" s="1">
        <v>44697</v>
      </c>
      <c r="K99" t="s">
        <v>98</v>
      </c>
      <c r="L99" t="s">
        <v>99</v>
      </c>
      <c r="M99" t="s">
        <v>1473</v>
      </c>
      <c r="N99">
        <v>2022</v>
      </c>
    </row>
    <row r="100" spans="1:14" x14ac:dyDescent="0.25">
      <c r="A100" t="s">
        <v>181</v>
      </c>
      <c r="B100" t="s">
        <v>182</v>
      </c>
      <c r="C100">
        <v>5224</v>
      </c>
      <c r="D100">
        <v>1958</v>
      </c>
      <c r="E100" s="5">
        <v>0.37480857580398202</v>
      </c>
      <c r="F100">
        <v>16</v>
      </c>
      <c r="G100" t="s">
        <v>45</v>
      </c>
      <c r="H100" t="s">
        <v>49</v>
      </c>
      <c r="I100" t="s">
        <v>47</v>
      </c>
      <c r="J100" s="1">
        <v>45123</v>
      </c>
      <c r="K100" t="s">
        <v>71</v>
      </c>
      <c r="L100" t="s">
        <v>138</v>
      </c>
      <c r="M100" t="s">
        <v>1472</v>
      </c>
      <c r="N100">
        <v>2023</v>
      </c>
    </row>
    <row r="101" spans="1:14" x14ac:dyDescent="0.25">
      <c r="A101" t="s">
        <v>181</v>
      </c>
      <c r="B101" t="s">
        <v>182</v>
      </c>
      <c r="C101">
        <v>5002</v>
      </c>
      <c r="D101">
        <v>1801</v>
      </c>
      <c r="E101" s="5">
        <v>0.36005597760895602</v>
      </c>
      <c r="F101">
        <v>11</v>
      </c>
      <c r="G101" t="s">
        <v>30</v>
      </c>
      <c r="H101" t="s">
        <v>57</v>
      </c>
      <c r="I101" t="s">
        <v>47</v>
      </c>
      <c r="J101" s="1">
        <v>45123</v>
      </c>
      <c r="K101" t="s">
        <v>71</v>
      </c>
      <c r="L101" t="s">
        <v>138</v>
      </c>
      <c r="M101" t="s">
        <v>1472</v>
      </c>
      <c r="N101">
        <v>2023</v>
      </c>
    </row>
    <row r="102" spans="1:14" x14ac:dyDescent="0.25">
      <c r="A102" t="s">
        <v>181</v>
      </c>
      <c r="B102" t="s">
        <v>182</v>
      </c>
      <c r="C102">
        <v>7380</v>
      </c>
      <c r="D102">
        <v>1673</v>
      </c>
      <c r="E102" s="5">
        <v>0.22669376693766899</v>
      </c>
      <c r="F102">
        <v>18</v>
      </c>
      <c r="G102" t="s">
        <v>30</v>
      </c>
      <c r="H102" t="s">
        <v>57</v>
      </c>
      <c r="I102" t="s">
        <v>65</v>
      </c>
      <c r="J102" s="1">
        <v>45123</v>
      </c>
      <c r="K102" t="s">
        <v>71</v>
      </c>
      <c r="L102" t="s">
        <v>138</v>
      </c>
      <c r="M102" t="s">
        <v>1472</v>
      </c>
      <c r="N102">
        <v>2023</v>
      </c>
    </row>
    <row r="103" spans="1:14" x14ac:dyDescent="0.25">
      <c r="A103" t="s">
        <v>183</v>
      </c>
      <c r="B103" t="s">
        <v>184</v>
      </c>
      <c r="C103">
        <v>7595</v>
      </c>
      <c r="D103">
        <v>2873</v>
      </c>
      <c r="E103" s="5">
        <v>0.378275181040158</v>
      </c>
      <c r="F103">
        <v>4</v>
      </c>
      <c r="G103" t="s">
        <v>45</v>
      </c>
      <c r="H103" t="s">
        <v>49</v>
      </c>
      <c r="I103" t="s">
        <v>32</v>
      </c>
      <c r="J103" s="1">
        <v>44061</v>
      </c>
      <c r="K103" t="s">
        <v>42</v>
      </c>
      <c r="L103" t="s">
        <v>43</v>
      </c>
      <c r="M103" t="s">
        <v>1479</v>
      </c>
      <c r="N103">
        <v>2020</v>
      </c>
    </row>
    <row r="104" spans="1:14" x14ac:dyDescent="0.25">
      <c r="A104" t="s">
        <v>183</v>
      </c>
      <c r="B104" t="s">
        <v>186</v>
      </c>
      <c r="C104">
        <v>7595</v>
      </c>
      <c r="D104">
        <v>2873</v>
      </c>
      <c r="E104" s="5">
        <v>0.378275181040158</v>
      </c>
      <c r="F104">
        <v>4</v>
      </c>
      <c r="G104" t="s">
        <v>45</v>
      </c>
      <c r="H104" t="s">
        <v>49</v>
      </c>
      <c r="I104" t="s">
        <v>32</v>
      </c>
      <c r="J104" s="1">
        <v>44670</v>
      </c>
      <c r="K104" t="s">
        <v>25</v>
      </c>
      <c r="L104" t="s">
        <v>68</v>
      </c>
      <c r="M104" t="s">
        <v>1481</v>
      </c>
      <c r="N104">
        <v>2022</v>
      </c>
    </row>
    <row r="105" spans="1:14" x14ac:dyDescent="0.25">
      <c r="A105" t="s">
        <v>188</v>
      </c>
      <c r="B105" t="s">
        <v>189</v>
      </c>
      <c r="C105">
        <v>1954</v>
      </c>
      <c r="D105">
        <v>294</v>
      </c>
      <c r="E105" s="5">
        <v>0.15046059365404299</v>
      </c>
      <c r="F105">
        <v>7</v>
      </c>
      <c r="G105" t="s">
        <v>45</v>
      </c>
      <c r="H105" t="s">
        <v>60</v>
      </c>
      <c r="I105" t="s">
        <v>32</v>
      </c>
      <c r="J105" s="1">
        <v>44918</v>
      </c>
      <c r="K105" t="s">
        <v>71</v>
      </c>
      <c r="L105" t="s">
        <v>86</v>
      </c>
      <c r="M105" t="s">
        <v>1471</v>
      </c>
      <c r="N105">
        <v>2022</v>
      </c>
    </row>
    <row r="106" spans="1:14" x14ac:dyDescent="0.25">
      <c r="A106" t="s">
        <v>190</v>
      </c>
      <c r="B106" t="s">
        <v>191</v>
      </c>
      <c r="C106">
        <v>523</v>
      </c>
      <c r="D106">
        <v>95</v>
      </c>
      <c r="E106" s="5">
        <v>0.18164435946462701</v>
      </c>
      <c r="F106">
        <v>20</v>
      </c>
      <c r="G106" t="s">
        <v>13</v>
      </c>
      <c r="H106" t="s">
        <v>28</v>
      </c>
      <c r="I106" t="s">
        <v>40</v>
      </c>
      <c r="J106" s="1">
        <v>45633</v>
      </c>
      <c r="K106" t="s">
        <v>71</v>
      </c>
      <c r="L106" t="s">
        <v>72</v>
      </c>
      <c r="M106" t="s">
        <v>1471</v>
      </c>
      <c r="N106">
        <v>2024</v>
      </c>
    </row>
    <row r="107" spans="1:14" x14ac:dyDescent="0.25">
      <c r="A107" t="s">
        <v>192</v>
      </c>
      <c r="B107" t="s">
        <v>193</v>
      </c>
      <c r="C107">
        <v>5704</v>
      </c>
      <c r="D107">
        <v>714</v>
      </c>
      <c r="E107" s="5">
        <v>0.125175315568022</v>
      </c>
      <c r="F107">
        <v>13</v>
      </c>
      <c r="G107" t="s">
        <v>13</v>
      </c>
      <c r="H107" t="s">
        <v>39</v>
      </c>
      <c r="I107" t="s">
        <v>40</v>
      </c>
      <c r="J107" s="1">
        <v>44595</v>
      </c>
      <c r="K107" t="s">
        <v>71</v>
      </c>
      <c r="L107" t="s">
        <v>86</v>
      </c>
      <c r="M107" t="s">
        <v>1477</v>
      </c>
      <c r="N107">
        <v>2022</v>
      </c>
    </row>
    <row r="108" spans="1:14" x14ac:dyDescent="0.25">
      <c r="A108" t="s">
        <v>192</v>
      </c>
      <c r="B108" t="s">
        <v>194</v>
      </c>
      <c r="C108">
        <v>5704</v>
      </c>
      <c r="D108">
        <v>714</v>
      </c>
      <c r="E108" s="5">
        <v>0.125175315568022</v>
      </c>
      <c r="F108">
        <v>13</v>
      </c>
      <c r="G108" t="s">
        <v>13</v>
      </c>
      <c r="H108" t="s">
        <v>39</v>
      </c>
      <c r="I108" t="s">
        <v>40</v>
      </c>
      <c r="J108" s="1">
        <v>44542</v>
      </c>
      <c r="K108" t="s">
        <v>42</v>
      </c>
      <c r="L108" t="s">
        <v>75</v>
      </c>
      <c r="M108" t="s">
        <v>1471</v>
      </c>
      <c r="N108">
        <v>2021</v>
      </c>
    </row>
    <row r="109" spans="1:14" x14ac:dyDescent="0.25">
      <c r="A109" t="s">
        <v>192</v>
      </c>
      <c r="B109" t="s">
        <v>193</v>
      </c>
      <c r="C109">
        <v>8797</v>
      </c>
      <c r="D109">
        <v>1010</v>
      </c>
      <c r="E109" s="5">
        <v>0.114811867682164</v>
      </c>
      <c r="F109">
        <v>8</v>
      </c>
      <c r="G109" t="s">
        <v>45</v>
      </c>
      <c r="H109" t="s">
        <v>46</v>
      </c>
      <c r="I109" t="s">
        <v>15</v>
      </c>
      <c r="J109" s="1">
        <v>44595</v>
      </c>
      <c r="K109" t="s">
        <v>71</v>
      </c>
      <c r="L109" t="s">
        <v>86</v>
      </c>
      <c r="M109" t="s">
        <v>1477</v>
      </c>
      <c r="N109">
        <v>2022</v>
      </c>
    </row>
    <row r="110" spans="1:14" x14ac:dyDescent="0.25">
      <c r="A110" t="s">
        <v>192</v>
      </c>
      <c r="B110" t="s">
        <v>194</v>
      </c>
      <c r="C110">
        <v>8797</v>
      </c>
      <c r="D110">
        <v>1010</v>
      </c>
      <c r="E110" s="5">
        <v>0.114811867682164</v>
      </c>
      <c r="F110">
        <v>8</v>
      </c>
      <c r="G110" t="s">
        <v>45</v>
      </c>
      <c r="H110" t="s">
        <v>46</v>
      </c>
      <c r="I110" t="s">
        <v>15</v>
      </c>
      <c r="J110" s="1">
        <v>44542</v>
      </c>
      <c r="K110" t="s">
        <v>42</v>
      </c>
      <c r="L110" t="s">
        <v>75</v>
      </c>
      <c r="M110" t="s">
        <v>1471</v>
      </c>
      <c r="N110">
        <v>2021</v>
      </c>
    </row>
    <row r="111" spans="1:14" x14ac:dyDescent="0.25">
      <c r="A111" t="s">
        <v>192</v>
      </c>
      <c r="B111" t="s">
        <v>193</v>
      </c>
      <c r="C111">
        <v>9236</v>
      </c>
      <c r="D111">
        <v>2899</v>
      </c>
      <c r="E111" s="5">
        <v>0.31388046773494999</v>
      </c>
      <c r="F111">
        <v>5</v>
      </c>
      <c r="G111" t="s">
        <v>13</v>
      </c>
      <c r="H111" t="s">
        <v>39</v>
      </c>
      <c r="I111" t="s">
        <v>32</v>
      </c>
      <c r="J111" s="1">
        <v>44595</v>
      </c>
      <c r="K111" t="s">
        <v>71</v>
      </c>
      <c r="L111" t="s">
        <v>86</v>
      </c>
      <c r="M111" t="s">
        <v>1477</v>
      </c>
      <c r="N111">
        <v>2022</v>
      </c>
    </row>
    <row r="112" spans="1:14" x14ac:dyDescent="0.25">
      <c r="A112" t="s">
        <v>192</v>
      </c>
      <c r="B112" t="s">
        <v>194</v>
      </c>
      <c r="C112">
        <v>9236</v>
      </c>
      <c r="D112">
        <v>2899</v>
      </c>
      <c r="E112" s="5">
        <v>0.31388046773494999</v>
      </c>
      <c r="F112">
        <v>5</v>
      </c>
      <c r="G112" t="s">
        <v>13</v>
      </c>
      <c r="H112" t="s">
        <v>39</v>
      </c>
      <c r="I112" t="s">
        <v>32</v>
      </c>
      <c r="J112" s="1">
        <v>44542</v>
      </c>
      <c r="K112" t="s">
        <v>42</v>
      </c>
      <c r="L112" t="s">
        <v>75</v>
      </c>
      <c r="M112" t="s">
        <v>1471</v>
      </c>
      <c r="N112">
        <v>2021</v>
      </c>
    </row>
    <row r="113" spans="1:14" x14ac:dyDescent="0.25">
      <c r="A113" t="s">
        <v>195</v>
      </c>
      <c r="B113" t="s">
        <v>196</v>
      </c>
      <c r="C113">
        <v>9109</v>
      </c>
      <c r="D113">
        <v>586</v>
      </c>
      <c r="E113" s="5">
        <v>6.4331979361071503E-2</v>
      </c>
      <c r="F113">
        <v>17</v>
      </c>
      <c r="G113" t="s">
        <v>45</v>
      </c>
      <c r="H113" t="s">
        <v>60</v>
      </c>
      <c r="I113" t="s">
        <v>40</v>
      </c>
      <c r="J113" s="1">
        <v>43968</v>
      </c>
      <c r="K113" t="s">
        <v>17</v>
      </c>
      <c r="L113" t="s">
        <v>18</v>
      </c>
      <c r="M113" t="s">
        <v>1473</v>
      </c>
      <c r="N113">
        <v>2020</v>
      </c>
    </row>
    <row r="114" spans="1:14" x14ac:dyDescent="0.25">
      <c r="A114" t="s">
        <v>197</v>
      </c>
      <c r="B114" t="s">
        <v>198</v>
      </c>
      <c r="C114">
        <v>4358</v>
      </c>
      <c r="D114">
        <v>526</v>
      </c>
      <c r="E114" s="5">
        <v>0.120697567691602</v>
      </c>
      <c r="F114">
        <v>19</v>
      </c>
      <c r="G114" t="s">
        <v>13</v>
      </c>
      <c r="H114" t="s">
        <v>82</v>
      </c>
      <c r="I114" t="s">
        <v>47</v>
      </c>
      <c r="J114" s="1">
        <v>44900</v>
      </c>
      <c r="K114" t="s">
        <v>71</v>
      </c>
      <c r="L114" t="s">
        <v>72</v>
      </c>
      <c r="M114" t="s">
        <v>1471</v>
      </c>
      <c r="N114">
        <v>2022</v>
      </c>
    </row>
    <row r="115" spans="1:14" x14ac:dyDescent="0.25">
      <c r="A115" t="s">
        <v>197</v>
      </c>
      <c r="B115" t="s">
        <v>199</v>
      </c>
      <c r="C115">
        <v>4358</v>
      </c>
      <c r="D115">
        <v>526</v>
      </c>
      <c r="E115" s="5">
        <v>0.120697567691602</v>
      </c>
      <c r="F115">
        <v>19</v>
      </c>
      <c r="G115" t="s">
        <v>13</v>
      </c>
      <c r="H115" t="s">
        <v>82</v>
      </c>
      <c r="I115" t="s">
        <v>47</v>
      </c>
      <c r="J115" s="1">
        <v>45552</v>
      </c>
      <c r="K115" t="s">
        <v>42</v>
      </c>
      <c r="L115" t="s">
        <v>92</v>
      </c>
      <c r="M115" t="s">
        <v>1480</v>
      </c>
      <c r="N115">
        <v>2024</v>
      </c>
    </row>
    <row r="116" spans="1:14" x14ac:dyDescent="0.25">
      <c r="A116" t="s">
        <v>197</v>
      </c>
      <c r="B116" t="s">
        <v>198</v>
      </c>
      <c r="C116">
        <v>6459</v>
      </c>
      <c r="D116">
        <v>825</v>
      </c>
      <c r="E116" s="5">
        <v>0.127728750580585</v>
      </c>
      <c r="F116">
        <v>8</v>
      </c>
      <c r="G116" t="s">
        <v>13</v>
      </c>
      <c r="H116" t="s">
        <v>82</v>
      </c>
      <c r="I116" t="s">
        <v>47</v>
      </c>
      <c r="J116" s="1">
        <v>44900</v>
      </c>
      <c r="K116" t="s">
        <v>71</v>
      </c>
      <c r="L116" t="s">
        <v>72</v>
      </c>
      <c r="M116" t="s">
        <v>1471</v>
      </c>
      <c r="N116">
        <v>2022</v>
      </c>
    </row>
    <row r="117" spans="1:14" x14ac:dyDescent="0.25">
      <c r="A117" t="s">
        <v>197</v>
      </c>
      <c r="B117" t="s">
        <v>199</v>
      </c>
      <c r="C117">
        <v>6459</v>
      </c>
      <c r="D117">
        <v>825</v>
      </c>
      <c r="E117" s="5">
        <v>0.127728750580585</v>
      </c>
      <c r="F117">
        <v>8</v>
      </c>
      <c r="G117" t="s">
        <v>13</v>
      </c>
      <c r="H117" t="s">
        <v>82</v>
      </c>
      <c r="I117" t="s">
        <v>47</v>
      </c>
      <c r="J117" s="1">
        <v>45552</v>
      </c>
      <c r="K117" t="s">
        <v>42</v>
      </c>
      <c r="L117" t="s">
        <v>92</v>
      </c>
      <c r="M117" t="s">
        <v>1480</v>
      </c>
      <c r="N117">
        <v>2024</v>
      </c>
    </row>
    <row r="118" spans="1:14" x14ac:dyDescent="0.25">
      <c r="A118" t="s">
        <v>200</v>
      </c>
      <c r="B118" t="s">
        <v>201</v>
      </c>
      <c r="C118">
        <v>2478</v>
      </c>
      <c r="D118">
        <v>92</v>
      </c>
      <c r="E118" s="5">
        <v>3.71267150928168E-2</v>
      </c>
      <c r="F118">
        <v>12</v>
      </c>
      <c r="G118" t="s">
        <v>45</v>
      </c>
      <c r="H118" t="s">
        <v>109</v>
      </c>
      <c r="I118" t="s">
        <v>65</v>
      </c>
      <c r="J118" s="1">
        <v>45054</v>
      </c>
      <c r="K118" t="s">
        <v>42</v>
      </c>
      <c r="L118" t="s">
        <v>92</v>
      </c>
      <c r="M118" t="s">
        <v>1473</v>
      </c>
      <c r="N118">
        <v>2023</v>
      </c>
    </row>
    <row r="119" spans="1:14" x14ac:dyDescent="0.25">
      <c r="A119" t="s">
        <v>200</v>
      </c>
      <c r="B119" t="s">
        <v>202</v>
      </c>
      <c r="C119">
        <v>2478</v>
      </c>
      <c r="D119">
        <v>92</v>
      </c>
      <c r="E119" s="5">
        <v>3.71267150928168E-2</v>
      </c>
      <c r="F119">
        <v>12</v>
      </c>
      <c r="G119" t="s">
        <v>45</v>
      </c>
      <c r="H119" t="s">
        <v>109</v>
      </c>
      <c r="I119" t="s">
        <v>65</v>
      </c>
      <c r="J119" s="1">
        <v>44258</v>
      </c>
      <c r="K119" t="s">
        <v>25</v>
      </c>
      <c r="L119" t="s">
        <v>51</v>
      </c>
      <c r="M119" t="s">
        <v>1476</v>
      </c>
      <c r="N119">
        <v>2021</v>
      </c>
    </row>
    <row r="120" spans="1:14" x14ac:dyDescent="0.25">
      <c r="A120" t="s">
        <v>200</v>
      </c>
      <c r="B120" t="s">
        <v>203</v>
      </c>
      <c r="C120">
        <v>2478</v>
      </c>
      <c r="D120">
        <v>92</v>
      </c>
      <c r="E120" s="5">
        <v>3.71267150928168E-2</v>
      </c>
      <c r="F120">
        <v>12</v>
      </c>
      <c r="G120" t="s">
        <v>45</v>
      </c>
      <c r="H120" t="s">
        <v>109</v>
      </c>
      <c r="I120" t="s">
        <v>65</v>
      </c>
      <c r="J120" s="1">
        <v>44273</v>
      </c>
      <c r="K120" t="s">
        <v>42</v>
      </c>
      <c r="L120" t="s">
        <v>92</v>
      </c>
      <c r="M120" t="s">
        <v>1476</v>
      </c>
      <c r="N120">
        <v>2021</v>
      </c>
    </row>
    <row r="121" spans="1:14" x14ac:dyDescent="0.25">
      <c r="A121" t="s">
        <v>200</v>
      </c>
      <c r="B121" t="s">
        <v>204</v>
      </c>
      <c r="C121">
        <v>2478</v>
      </c>
      <c r="D121">
        <v>92</v>
      </c>
      <c r="E121" s="5">
        <v>3.71267150928168E-2</v>
      </c>
      <c r="F121">
        <v>12</v>
      </c>
      <c r="G121" t="s">
        <v>45</v>
      </c>
      <c r="H121" t="s">
        <v>109</v>
      </c>
      <c r="I121" t="s">
        <v>65</v>
      </c>
      <c r="J121" s="1">
        <v>45040</v>
      </c>
      <c r="K121" t="s">
        <v>98</v>
      </c>
      <c r="L121" t="s">
        <v>117</v>
      </c>
      <c r="M121" t="s">
        <v>1481</v>
      </c>
      <c r="N121">
        <v>2023</v>
      </c>
    </row>
    <row r="122" spans="1:14" x14ac:dyDescent="0.25">
      <c r="A122" t="s">
        <v>205</v>
      </c>
      <c r="B122" t="s">
        <v>206</v>
      </c>
      <c r="C122">
        <v>9992</v>
      </c>
      <c r="D122">
        <v>3696</v>
      </c>
      <c r="E122" s="5">
        <v>0.36989591673338701</v>
      </c>
      <c r="F122">
        <v>20</v>
      </c>
      <c r="G122" t="s">
        <v>30</v>
      </c>
      <c r="H122" t="s">
        <v>31</v>
      </c>
      <c r="I122" t="s">
        <v>32</v>
      </c>
      <c r="J122" s="1">
        <v>44478</v>
      </c>
      <c r="K122" t="s">
        <v>25</v>
      </c>
      <c r="L122" t="s">
        <v>68</v>
      </c>
      <c r="M122" t="s">
        <v>1474</v>
      </c>
      <c r="N122">
        <v>2021</v>
      </c>
    </row>
    <row r="123" spans="1:14" x14ac:dyDescent="0.25">
      <c r="A123" t="s">
        <v>205</v>
      </c>
      <c r="B123" t="s">
        <v>207</v>
      </c>
      <c r="C123">
        <v>9992</v>
      </c>
      <c r="D123">
        <v>3696</v>
      </c>
      <c r="E123" s="5">
        <v>0.36989591673338701</v>
      </c>
      <c r="F123">
        <v>20</v>
      </c>
      <c r="G123" t="s">
        <v>30</v>
      </c>
      <c r="H123" t="s">
        <v>31</v>
      </c>
      <c r="I123" t="s">
        <v>32</v>
      </c>
      <c r="J123" s="1">
        <v>44666</v>
      </c>
      <c r="K123" t="s">
        <v>71</v>
      </c>
      <c r="L123" t="s">
        <v>86</v>
      </c>
      <c r="M123" t="s">
        <v>1481</v>
      </c>
      <c r="N123">
        <v>2022</v>
      </c>
    </row>
    <row r="124" spans="1:14" x14ac:dyDescent="0.25">
      <c r="A124" t="s">
        <v>205</v>
      </c>
      <c r="B124" t="s">
        <v>208</v>
      </c>
      <c r="C124">
        <v>9992</v>
      </c>
      <c r="D124">
        <v>3696</v>
      </c>
      <c r="E124" s="5">
        <v>0.36989591673338701</v>
      </c>
      <c r="F124">
        <v>20</v>
      </c>
      <c r="G124" t="s">
        <v>30</v>
      </c>
      <c r="H124" t="s">
        <v>31</v>
      </c>
      <c r="I124" t="s">
        <v>32</v>
      </c>
      <c r="J124" s="1">
        <v>44802</v>
      </c>
      <c r="K124" t="s">
        <v>25</v>
      </c>
      <c r="L124" t="s">
        <v>68</v>
      </c>
      <c r="M124" t="s">
        <v>1479</v>
      </c>
      <c r="N124">
        <v>2022</v>
      </c>
    </row>
    <row r="125" spans="1:14" x14ac:dyDescent="0.25">
      <c r="A125" t="s">
        <v>205</v>
      </c>
      <c r="B125" t="s">
        <v>206</v>
      </c>
      <c r="C125">
        <v>9619</v>
      </c>
      <c r="D125">
        <v>3420</v>
      </c>
      <c r="E125" s="5">
        <v>0.35554631458571601</v>
      </c>
      <c r="F125">
        <v>7</v>
      </c>
      <c r="G125" t="s">
        <v>30</v>
      </c>
      <c r="H125" t="s">
        <v>78</v>
      </c>
      <c r="I125" t="s">
        <v>15</v>
      </c>
      <c r="J125" s="1">
        <v>44478</v>
      </c>
      <c r="K125" t="s">
        <v>25</v>
      </c>
      <c r="L125" t="s">
        <v>68</v>
      </c>
      <c r="M125" t="s">
        <v>1474</v>
      </c>
      <c r="N125">
        <v>2021</v>
      </c>
    </row>
    <row r="126" spans="1:14" x14ac:dyDescent="0.25">
      <c r="A126" t="s">
        <v>205</v>
      </c>
      <c r="B126" t="s">
        <v>207</v>
      </c>
      <c r="C126">
        <v>9619</v>
      </c>
      <c r="D126">
        <v>3420</v>
      </c>
      <c r="E126" s="5">
        <v>0.35554631458571601</v>
      </c>
      <c r="F126">
        <v>7</v>
      </c>
      <c r="G126" t="s">
        <v>30</v>
      </c>
      <c r="H126" t="s">
        <v>78</v>
      </c>
      <c r="I126" t="s">
        <v>15</v>
      </c>
      <c r="J126" s="1">
        <v>44666</v>
      </c>
      <c r="K126" t="s">
        <v>71</v>
      </c>
      <c r="L126" t="s">
        <v>86</v>
      </c>
      <c r="M126" t="s">
        <v>1481</v>
      </c>
      <c r="N126">
        <v>2022</v>
      </c>
    </row>
    <row r="127" spans="1:14" x14ac:dyDescent="0.25">
      <c r="A127" t="s">
        <v>205</v>
      </c>
      <c r="B127" t="s">
        <v>208</v>
      </c>
      <c r="C127">
        <v>9619</v>
      </c>
      <c r="D127">
        <v>3420</v>
      </c>
      <c r="E127" s="5">
        <v>0.35554631458571601</v>
      </c>
      <c r="F127">
        <v>7</v>
      </c>
      <c r="G127" t="s">
        <v>30</v>
      </c>
      <c r="H127" t="s">
        <v>78</v>
      </c>
      <c r="I127" t="s">
        <v>15</v>
      </c>
      <c r="J127" s="1">
        <v>44802</v>
      </c>
      <c r="K127" t="s">
        <v>25</v>
      </c>
      <c r="L127" t="s">
        <v>68</v>
      </c>
      <c r="M127" t="s">
        <v>1479</v>
      </c>
      <c r="N127">
        <v>2022</v>
      </c>
    </row>
    <row r="128" spans="1:14" x14ac:dyDescent="0.25">
      <c r="A128" t="s">
        <v>210</v>
      </c>
      <c r="B128" t="s">
        <v>211</v>
      </c>
      <c r="C128">
        <v>9538</v>
      </c>
      <c r="D128">
        <v>3158</v>
      </c>
      <c r="E128" s="5">
        <v>0.33109666596770798</v>
      </c>
      <c r="F128">
        <v>20</v>
      </c>
      <c r="G128" t="s">
        <v>13</v>
      </c>
      <c r="H128" t="s">
        <v>28</v>
      </c>
      <c r="I128" t="s">
        <v>47</v>
      </c>
      <c r="J128" s="1">
        <v>45539</v>
      </c>
      <c r="K128" t="s">
        <v>42</v>
      </c>
      <c r="L128" t="s">
        <v>92</v>
      </c>
      <c r="M128" t="s">
        <v>1480</v>
      </c>
      <c r="N128">
        <v>2024</v>
      </c>
    </row>
    <row r="129" spans="1:14" x14ac:dyDescent="0.25">
      <c r="A129" t="s">
        <v>210</v>
      </c>
      <c r="B129" t="s">
        <v>212</v>
      </c>
      <c r="C129">
        <v>9538</v>
      </c>
      <c r="D129">
        <v>3158</v>
      </c>
      <c r="E129" s="5">
        <v>0.33109666596770798</v>
      </c>
      <c r="F129">
        <v>20</v>
      </c>
      <c r="G129" t="s">
        <v>13</v>
      </c>
      <c r="H129" t="s">
        <v>28</v>
      </c>
      <c r="I129" t="s">
        <v>47</v>
      </c>
      <c r="J129" s="1">
        <v>44334</v>
      </c>
      <c r="K129" t="s">
        <v>98</v>
      </c>
      <c r="L129" t="s">
        <v>117</v>
      </c>
      <c r="M129" t="s">
        <v>1473</v>
      </c>
      <c r="N129">
        <v>2021</v>
      </c>
    </row>
    <row r="130" spans="1:14" x14ac:dyDescent="0.25">
      <c r="A130" t="s">
        <v>210</v>
      </c>
      <c r="B130" t="s">
        <v>211</v>
      </c>
      <c r="C130">
        <v>9035</v>
      </c>
      <c r="D130">
        <v>1227</v>
      </c>
      <c r="E130" s="5">
        <v>0.13580520199225199</v>
      </c>
      <c r="F130">
        <v>14</v>
      </c>
      <c r="G130" t="s">
        <v>45</v>
      </c>
      <c r="H130" t="s">
        <v>49</v>
      </c>
      <c r="I130" t="s">
        <v>40</v>
      </c>
      <c r="J130" s="1">
        <v>45539</v>
      </c>
      <c r="K130" t="s">
        <v>42</v>
      </c>
      <c r="L130" t="s">
        <v>92</v>
      </c>
      <c r="M130" t="s">
        <v>1480</v>
      </c>
      <c r="N130">
        <v>2024</v>
      </c>
    </row>
    <row r="131" spans="1:14" x14ac:dyDescent="0.25">
      <c r="A131" t="s">
        <v>210</v>
      </c>
      <c r="B131" t="s">
        <v>212</v>
      </c>
      <c r="C131">
        <v>9035</v>
      </c>
      <c r="D131">
        <v>1227</v>
      </c>
      <c r="E131" s="5">
        <v>0.13580520199225199</v>
      </c>
      <c r="F131">
        <v>14</v>
      </c>
      <c r="G131" t="s">
        <v>45</v>
      </c>
      <c r="H131" t="s">
        <v>49</v>
      </c>
      <c r="I131" t="s">
        <v>40</v>
      </c>
      <c r="J131" s="1">
        <v>44334</v>
      </c>
      <c r="K131" t="s">
        <v>98</v>
      </c>
      <c r="L131" t="s">
        <v>117</v>
      </c>
      <c r="M131" t="s">
        <v>1473</v>
      </c>
      <c r="N131">
        <v>2021</v>
      </c>
    </row>
    <row r="132" spans="1:14" x14ac:dyDescent="0.25">
      <c r="A132" t="s">
        <v>213</v>
      </c>
      <c r="B132" t="s">
        <v>214</v>
      </c>
      <c r="C132">
        <v>2684</v>
      </c>
      <c r="D132">
        <v>670</v>
      </c>
      <c r="E132" s="5">
        <v>0.249627421758569</v>
      </c>
      <c r="F132">
        <v>2</v>
      </c>
      <c r="G132" t="s">
        <v>30</v>
      </c>
      <c r="H132" t="s">
        <v>64</v>
      </c>
      <c r="I132" t="s">
        <v>65</v>
      </c>
      <c r="J132" s="1">
        <v>45475</v>
      </c>
      <c r="K132" t="s">
        <v>17</v>
      </c>
      <c r="L132" t="s">
        <v>150</v>
      </c>
      <c r="M132" t="s">
        <v>1472</v>
      </c>
      <c r="N132">
        <v>2024</v>
      </c>
    </row>
    <row r="133" spans="1:14" x14ac:dyDescent="0.25">
      <c r="A133" t="s">
        <v>213</v>
      </c>
      <c r="B133" t="s">
        <v>214</v>
      </c>
      <c r="C133">
        <v>822</v>
      </c>
      <c r="D133">
        <v>147</v>
      </c>
      <c r="E133" s="5">
        <v>0.178832116788321</v>
      </c>
      <c r="F133">
        <v>5</v>
      </c>
      <c r="G133" t="s">
        <v>45</v>
      </c>
      <c r="H133" t="s">
        <v>60</v>
      </c>
      <c r="I133" t="s">
        <v>47</v>
      </c>
      <c r="J133" s="1">
        <v>45475</v>
      </c>
      <c r="K133" t="s">
        <v>17</v>
      </c>
      <c r="L133" t="s">
        <v>150</v>
      </c>
      <c r="M133" t="s">
        <v>1472</v>
      </c>
      <c r="N133">
        <v>2024</v>
      </c>
    </row>
    <row r="134" spans="1:14" x14ac:dyDescent="0.25">
      <c r="A134" t="s">
        <v>213</v>
      </c>
      <c r="B134" t="s">
        <v>214</v>
      </c>
      <c r="C134">
        <v>9730</v>
      </c>
      <c r="D134">
        <v>2341</v>
      </c>
      <c r="E134" s="5">
        <v>0.24059609455292899</v>
      </c>
      <c r="F134">
        <v>2</v>
      </c>
      <c r="G134" t="s">
        <v>45</v>
      </c>
      <c r="H134" t="s">
        <v>49</v>
      </c>
      <c r="I134" t="s">
        <v>40</v>
      </c>
      <c r="J134" s="1">
        <v>45475</v>
      </c>
      <c r="K134" t="s">
        <v>17</v>
      </c>
      <c r="L134" t="s">
        <v>150</v>
      </c>
      <c r="M134" t="s">
        <v>1472</v>
      </c>
      <c r="N134">
        <v>2024</v>
      </c>
    </row>
    <row r="135" spans="1:14" x14ac:dyDescent="0.25">
      <c r="A135" t="s">
        <v>213</v>
      </c>
      <c r="B135" t="s">
        <v>214</v>
      </c>
      <c r="C135">
        <v>2483</v>
      </c>
      <c r="D135">
        <v>236</v>
      </c>
      <c r="E135" s="5">
        <v>9.50463149416029E-2</v>
      </c>
      <c r="F135">
        <v>2</v>
      </c>
      <c r="G135" t="s">
        <v>13</v>
      </c>
      <c r="H135" t="s">
        <v>14</v>
      </c>
      <c r="I135" t="s">
        <v>65</v>
      </c>
      <c r="J135" s="1">
        <v>45475</v>
      </c>
      <c r="K135" t="s">
        <v>17</v>
      </c>
      <c r="L135" t="s">
        <v>150</v>
      </c>
      <c r="M135" t="s">
        <v>1472</v>
      </c>
      <c r="N135">
        <v>2024</v>
      </c>
    </row>
    <row r="136" spans="1:14" x14ac:dyDescent="0.25">
      <c r="A136" t="s">
        <v>216</v>
      </c>
      <c r="B136" t="s">
        <v>217</v>
      </c>
      <c r="C136">
        <v>1297</v>
      </c>
      <c r="D136">
        <v>600</v>
      </c>
      <c r="E136" s="5">
        <v>0.46260601387818001</v>
      </c>
      <c r="F136">
        <v>7</v>
      </c>
      <c r="G136" t="s">
        <v>30</v>
      </c>
      <c r="H136" t="s">
        <v>78</v>
      </c>
      <c r="I136" t="s">
        <v>47</v>
      </c>
      <c r="J136" s="1">
        <v>45338</v>
      </c>
      <c r="K136" t="s">
        <v>17</v>
      </c>
      <c r="L136" t="s">
        <v>34</v>
      </c>
      <c r="M136" t="s">
        <v>1477</v>
      </c>
      <c r="N136">
        <v>2024</v>
      </c>
    </row>
    <row r="137" spans="1:14" x14ac:dyDescent="0.25">
      <c r="A137" t="s">
        <v>216</v>
      </c>
      <c r="B137" t="s">
        <v>217</v>
      </c>
      <c r="C137">
        <v>7909</v>
      </c>
      <c r="D137">
        <v>1942</v>
      </c>
      <c r="E137" s="5">
        <v>0.245543052218991</v>
      </c>
      <c r="F137">
        <v>19</v>
      </c>
      <c r="G137" t="s">
        <v>13</v>
      </c>
      <c r="H137" t="s">
        <v>82</v>
      </c>
      <c r="I137" t="s">
        <v>65</v>
      </c>
      <c r="J137" s="1">
        <v>45338</v>
      </c>
      <c r="K137" t="s">
        <v>17</v>
      </c>
      <c r="L137" t="s">
        <v>34</v>
      </c>
      <c r="M137" t="s">
        <v>1477</v>
      </c>
      <c r="N137">
        <v>2024</v>
      </c>
    </row>
    <row r="138" spans="1:14" x14ac:dyDescent="0.25">
      <c r="A138" t="s">
        <v>219</v>
      </c>
      <c r="B138" t="s">
        <v>220</v>
      </c>
      <c r="C138">
        <v>9768</v>
      </c>
      <c r="D138">
        <v>4518</v>
      </c>
      <c r="E138" s="5">
        <v>0.46253071253071298</v>
      </c>
      <c r="F138">
        <v>8</v>
      </c>
      <c r="G138" t="s">
        <v>45</v>
      </c>
      <c r="H138" t="s">
        <v>46</v>
      </c>
      <c r="I138" t="s">
        <v>47</v>
      </c>
      <c r="J138" s="1">
        <v>44526</v>
      </c>
      <c r="K138" t="s">
        <v>71</v>
      </c>
      <c r="L138" t="s">
        <v>72</v>
      </c>
      <c r="M138" t="s">
        <v>1475</v>
      </c>
      <c r="N138">
        <v>2021</v>
      </c>
    </row>
    <row r="139" spans="1:14" x14ac:dyDescent="0.25">
      <c r="A139" t="s">
        <v>219</v>
      </c>
      <c r="B139" t="s">
        <v>220</v>
      </c>
      <c r="C139">
        <v>4968</v>
      </c>
      <c r="D139">
        <v>934</v>
      </c>
      <c r="E139" s="5">
        <v>0.18800322061191599</v>
      </c>
      <c r="F139">
        <v>5</v>
      </c>
      <c r="G139" t="s">
        <v>45</v>
      </c>
      <c r="H139" t="s">
        <v>60</v>
      </c>
      <c r="I139" t="s">
        <v>32</v>
      </c>
      <c r="J139" s="1">
        <v>44526</v>
      </c>
      <c r="K139" t="s">
        <v>71</v>
      </c>
      <c r="L139" t="s">
        <v>72</v>
      </c>
      <c r="M139" t="s">
        <v>1475</v>
      </c>
      <c r="N139">
        <v>2021</v>
      </c>
    </row>
    <row r="140" spans="1:14" x14ac:dyDescent="0.25">
      <c r="A140" t="s">
        <v>219</v>
      </c>
      <c r="B140" t="s">
        <v>220</v>
      </c>
      <c r="C140">
        <v>1731</v>
      </c>
      <c r="D140">
        <v>149</v>
      </c>
      <c r="E140" s="5">
        <v>8.6077411900635503E-2</v>
      </c>
      <c r="F140">
        <v>4</v>
      </c>
      <c r="G140" t="s">
        <v>13</v>
      </c>
      <c r="H140" t="s">
        <v>39</v>
      </c>
      <c r="I140" t="s">
        <v>40</v>
      </c>
      <c r="J140" s="1">
        <v>44526</v>
      </c>
      <c r="K140" t="s">
        <v>71</v>
      </c>
      <c r="L140" t="s">
        <v>72</v>
      </c>
      <c r="M140" t="s">
        <v>1475</v>
      </c>
      <c r="N140">
        <v>2021</v>
      </c>
    </row>
    <row r="141" spans="1:14" x14ac:dyDescent="0.25">
      <c r="A141" t="s">
        <v>221</v>
      </c>
      <c r="B141" t="s">
        <v>222</v>
      </c>
      <c r="C141">
        <v>3433</v>
      </c>
      <c r="D141">
        <v>1169</v>
      </c>
      <c r="E141" s="5">
        <v>0.34051849694145098</v>
      </c>
      <c r="F141">
        <v>10</v>
      </c>
      <c r="G141" t="s">
        <v>30</v>
      </c>
      <c r="H141" t="s">
        <v>78</v>
      </c>
      <c r="I141" t="s">
        <v>65</v>
      </c>
      <c r="J141" s="1">
        <v>45323</v>
      </c>
      <c r="K141" t="s">
        <v>42</v>
      </c>
      <c r="L141" t="s">
        <v>92</v>
      </c>
      <c r="M141" t="s">
        <v>1477</v>
      </c>
      <c r="N141">
        <v>2024</v>
      </c>
    </row>
    <row r="142" spans="1:14" x14ac:dyDescent="0.25">
      <c r="A142" t="s">
        <v>221</v>
      </c>
      <c r="B142" t="s">
        <v>223</v>
      </c>
      <c r="C142">
        <v>3433</v>
      </c>
      <c r="D142">
        <v>1169</v>
      </c>
      <c r="E142" s="5">
        <v>0.34051849694145098</v>
      </c>
      <c r="F142">
        <v>10</v>
      </c>
      <c r="G142" t="s">
        <v>30</v>
      </c>
      <c r="H142" t="s">
        <v>78</v>
      </c>
      <c r="I142" t="s">
        <v>65</v>
      </c>
      <c r="J142" s="1">
        <v>44448</v>
      </c>
      <c r="K142" t="s">
        <v>21</v>
      </c>
      <c r="L142" t="s">
        <v>63</v>
      </c>
      <c r="M142" t="s">
        <v>1480</v>
      </c>
      <c r="N142">
        <v>2021</v>
      </c>
    </row>
    <row r="143" spans="1:14" x14ac:dyDescent="0.25">
      <c r="A143" t="s">
        <v>221</v>
      </c>
      <c r="B143" t="s">
        <v>225</v>
      </c>
      <c r="C143">
        <v>3433</v>
      </c>
      <c r="D143">
        <v>1169</v>
      </c>
      <c r="E143" s="5">
        <v>0.34051849694145098</v>
      </c>
      <c r="F143">
        <v>10</v>
      </c>
      <c r="G143" t="s">
        <v>30</v>
      </c>
      <c r="H143" t="s">
        <v>78</v>
      </c>
      <c r="I143" t="s">
        <v>65</v>
      </c>
      <c r="J143" s="1">
        <v>44447</v>
      </c>
      <c r="K143" t="s">
        <v>42</v>
      </c>
      <c r="L143" t="s">
        <v>75</v>
      </c>
      <c r="M143" t="s">
        <v>1480</v>
      </c>
      <c r="N143">
        <v>2021</v>
      </c>
    </row>
    <row r="144" spans="1:14" x14ac:dyDescent="0.25">
      <c r="A144" t="s">
        <v>221</v>
      </c>
      <c r="B144" t="s">
        <v>222</v>
      </c>
      <c r="C144">
        <v>3887</v>
      </c>
      <c r="D144">
        <v>1490</v>
      </c>
      <c r="E144" s="5">
        <v>0.38332904553640301</v>
      </c>
      <c r="F144">
        <v>1</v>
      </c>
      <c r="G144" t="s">
        <v>30</v>
      </c>
      <c r="H144" t="s">
        <v>78</v>
      </c>
      <c r="I144" t="s">
        <v>32</v>
      </c>
      <c r="J144" s="1">
        <v>45323</v>
      </c>
      <c r="K144" t="s">
        <v>42</v>
      </c>
      <c r="L144" t="s">
        <v>92</v>
      </c>
      <c r="M144" t="s">
        <v>1477</v>
      </c>
      <c r="N144">
        <v>2024</v>
      </c>
    </row>
    <row r="145" spans="1:14" x14ac:dyDescent="0.25">
      <c r="A145" t="s">
        <v>221</v>
      </c>
      <c r="B145" t="s">
        <v>223</v>
      </c>
      <c r="C145">
        <v>3887</v>
      </c>
      <c r="D145">
        <v>1490</v>
      </c>
      <c r="E145" s="5">
        <v>0.38332904553640301</v>
      </c>
      <c r="F145">
        <v>1</v>
      </c>
      <c r="G145" t="s">
        <v>30</v>
      </c>
      <c r="H145" t="s">
        <v>78</v>
      </c>
      <c r="I145" t="s">
        <v>32</v>
      </c>
      <c r="J145" s="1">
        <v>44448</v>
      </c>
      <c r="K145" t="s">
        <v>21</v>
      </c>
      <c r="L145" t="s">
        <v>63</v>
      </c>
      <c r="M145" t="s">
        <v>1480</v>
      </c>
      <c r="N145">
        <v>2021</v>
      </c>
    </row>
    <row r="146" spans="1:14" x14ac:dyDescent="0.25">
      <c r="A146" t="s">
        <v>221</v>
      </c>
      <c r="B146" t="s">
        <v>225</v>
      </c>
      <c r="C146">
        <v>3887</v>
      </c>
      <c r="D146">
        <v>1490</v>
      </c>
      <c r="E146" s="5">
        <v>0.38332904553640301</v>
      </c>
      <c r="F146">
        <v>1</v>
      </c>
      <c r="G146" t="s">
        <v>30</v>
      </c>
      <c r="H146" t="s">
        <v>78</v>
      </c>
      <c r="I146" t="s">
        <v>32</v>
      </c>
      <c r="J146" s="1">
        <v>44447</v>
      </c>
      <c r="K146" t="s">
        <v>42</v>
      </c>
      <c r="L146" t="s">
        <v>75</v>
      </c>
      <c r="M146" t="s">
        <v>1480</v>
      </c>
      <c r="N146">
        <v>2021</v>
      </c>
    </row>
    <row r="147" spans="1:14" x14ac:dyDescent="0.25">
      <c r="A147" t="s">
        <v>226</v>
      </c>
      <c r="B147" t="s">
        <v>227</v>
      </c>
      <c r="C147">
        <v>1801</v>
      </c>
      <c r="D147">
        <v>641</v>
      </c>
      <c r="E147" s="5">
        <v>0.35591338145474699</v>
      </c>
      <c r="F147">
        <v>20</v>
      </c>
      <c r="G147" t="s">
        <v>30</v>
      </c>
      <c r="H147" t="s">
        <v>57</v>
      </c>
      <c r="I147" t="s">
        <v>47</v>
      </c>
      <c r="J147" s="1">
        <v>45482</v>
      </c>
      <c r="K147" t="s">
        <v>42</v>
      </c>
      <c r="L147" t="s">
        <v>43</v>
      </c>
      <c r="M147" t="s">
        <v>1472</v>
      </c>
      <c r="N147">
        <v>2024</v>
      </c>
    </row>
    <row r="148" spans="1:14" x14ac:dyDescent="0.25">
      <c r="A148" t="s">
        <v>226</v>
      </c>
      <c r="B148" t="s">
        <v>227</v>
      </c>
      <c r="C148">
        <v>5301</v>
      </c>
      <c r="D148">
        <v>817</v>
      </c>
      <c r="E148" s="5">
        <v>0.154121863799283</v>
      </c>
      <c r="F148">
        <v>10</v>
      </c>
      <c r="G148" t="s">
        <v>45</v>
      </c>
      <c r="H148" t="s">
        <v>46</v>
      </c>
      <c r="I148" t="s">
        <v>32</v>
      </c>
      <c r="J148" s="1">
        <v>45482</v>
      </c>
      <c r="K148" t="s">
        <v>42</v>
      </c>
      <c r="L148" t="s">
        <v>43</v>
      </c>
      <c r="M148" t="s">
        <v>1472</v>
      </c>
      <c r="N148">
        <v>2024</v>
      </c>
    </row>
    <row r="149" spans="1:14" x14ac:dyDescent="0.25">
      <c r="A149" t="s">
        <v>226</v>
      </c>
      <c r="B149" t="s">
        <v>227</v>
      </c>
      <c r="C149">
        <v>1166</v>
      </c>
      <c r="D149">
        <v>520</v>
      </c>
      <c r="E149" s="5">
        <v>0.44596912521440801</v>
      </c>
      <c r="F149">
        <v>12</v>
      </c>
      <c r="G149" t="s">
        <v>30</v>
      </c>
      <c r="H149" t="s">
        <v>64</v>
      </c>
      <c r="I149" t="s">
        <v>32</v>
      </c>
      <c r="J149" s="1">
        <v>45482</v>
      </c>
      <c r="K149" t="s">
        <v>42</v>
      </c>
      <c r="L149" t="s">
        <v>43</v>
      </c>
      <c r="M149" t="s">
        <v>1472</v>
      </c>
      <c r="N149">
        <v>2024</v>
      </c>
    </row>
    <row r="150" spans="1:14" x14ac:dyDescent="0.25">
      <c r="A150" t="s">
        <v>226</v>
      </c>
      <c r="B150" t="s">
        <v>227</v>
      </c>
      <c r="C150">
        <v>3196</v>
      </c>
      <c r="D150">
        <v>1411</v>
      </c>
      <c r="E150" s="5">
        <v>0.44148936170212799</v>
      </c>
      <c r="F150">
        <v>15</v>
      </c>
      <c r="G150" t="s">
        <v>30</v>
      </c>
      <c r="H150" t="s">
        <v>64</v>
      </c>
      <c r="I150" t="s">
        <v>32</v>
      </c>
      <c r="J150" s="1">
        <v>45482</v>
      </c>
      <c r="K150" t="s">
        <v>42</v>
      </c>
      <c r="L150" t="s">
        <v>43</v>
      </c>
      <c r="M150" t="s">
        <v>1472</v>
      </c>
      <c r="N150">
        <v>2024</v>
      </c>
    </row>
    <row r="151" spans="1:14" x14ac:dyDescent="0.25">
      <c r="A151" t="s">
        <v>228</v>
      </c>
      <c r="B151" t="s">
        <v>229</v>
      </c>
      <c r="C151">
        <v>3428</v>
      </c>
      <c r="D151">
        <v>350</v>
      </c>
      <c r="E151" s="5">
        <v>0.102100350058343</v>
      </c>
      <c r="F151">
        <v>1</v>
      </c>
      <c r="G151" t="s">
        <v>45</v>
      </c>
      <c r="H151" t="s">
        <v>49</v>
      </c>
      <c r="I151" t="s">
        <v>47</v>
      </c>
      <c r="J151" s="1">
        <v>44985</v>
      </c>
      <c r="K151" t="s">
        <v>21</v>
      </c>
      <c r="L151" t="s">
        <v>63</v>
      </c>
      <c r="M151" t="s">
        <v>1477</v>
      </c>
      <c r="N151">
        <v>2023</v>
      </c>
    </row>
    <row r="152" spans="1:14" x14ac:dyDescent="0.25">
      <c r="A152" t="s">
        <v>228</v>
      </c>
      <c r="B152" t="s">
        <v>229</v>
      </c>
      <c r="C152">
        <v>7223</v>
      </c>
      <c r="D152">
        <v>2433</v>
      </c>
      <c r="E152" s="5">
        <v>0.336840647930223</v>
      </c>
      <c r="F152">
        <v>12</v>
      </c>
      <c r="G152" t="s">
        <v>30</v>
      </c>
      <c r="H152" t="s">
        <v>78</v>
      </c>
      <c r="I152" t="s">
        <v>47</v>
      </c>
      <c r="J152" s="1">
        <v>44985</v>
      </c>
      <c r="K152" t="s">
        <v>21</v>
      </c>
      <c r="L152" t="s">
        <v>63</v>
      </c>
      <c r="M152" t="s">
        <v>1477</v>
      </c>
      <c r="N152">
        <v>2023</v>
      </c>
    </row>
    <row r="153" spans="1:14" x14ac:dyDescent="0.25">
      <c r="A153" t="s">
        <v>228</v>
      </c>
      <c r="B153" t="s">
        <v>229</v>
      </c>
      <c r="C153">
        <v>3731</v>
      </c>
      <c r="D153">
        <v>647</v>
      </c>
      <c r="E153" s="5">
        <v>0.173411953899759</v>
      </c>
      <c r="F153">
        <v>1</v>
      </c>
      <c r="G153" t="s">
        <v>30</v>
      </c>
      <c r="H153" t="s">
        <v>31</v>
      </c>
      <c r="I153" t="s">
        <v>47</v>
      </c>
      <c r="J153" s="1">
        <v>44985</v>
      </c>
      <c r="K153" t="s">
        <v>21</v>
      </c>
      <c r="L153" t="s">
        <v>63</v>
      </c>
      <c r="M153" t="s">
        <v>1477</v>
      </c>
      <c r="N153">
        <v>2023</v>
      </c>
    </row>
    <row r="154" spans="1:14" x14ac:dyDescent="0.25">
      <c r="A154" t="s">
        <v>230</v>
      </c>
      <c r="B154" t="s">
        <v>231</v>
      </c>
      <c r="C154">
        <v>8903</v>
      </c>
      <c r="D154">
        <v>4401</v>
      </c>
      <c r="E154" s="5">
        <v>0.49432775468943002</v>
      </c>
      <c r="F154">
        <v>18</v>
      </c>
      <c r="G154" t="s">
        <v>30</v>
      </c>
      <c r="H154" t="s">
        <v>31</v>
      </c>
      <c r="I154" t="s">
        <v>47</v>
      </c>
      <c r="J154" s="1">
        <v>44781</v>
      </c>
      <c r="K154" t="s">
        <v>98</v>
      </c>
      <c r="L154" t="s">
        <v>99</v>
      </c>
      <c r="M154" t="s">
        <v>1479</v>
      </c>
      <c r="N154">
        <v>2022</v>
      </c>
    </row>
    <row r="155" spans="1:14" x14ac:dyDescent="0.25">
      <c r="A155" t="s">
        <v>232</v>
      </c>
      <c r="B155" t="s">
        <v>233</v>
      </c>
      <c r="C155">
        <v>6009</v>
      </c>
      <c r="D155">
        <v>2107</v>
      </c>
      <c r="E155" s="5">
        <v>0.350640705608254</v>
      </c>
      <c r="F155">
        <v>7</v>
      </c>
      <c r="G155" t="s">
        <v>13</v>
      </c>
      <c r="H155" t="s">
        <v>82</v>
      </c>
      <c r="I155" t="s">
        <v>15</v>
      </c>
      <c r="J155" s="1">
        <v>44902</v>
      </c>
      <c r="K155" t="s">
        <v>21</v>
      </c>
      <c r="L155" t="s">
        <v>22</v>
      </c>
      <c r="M155" t="s">
        <v>1471</v>
      </c>
      <c r="N155">
        <v>2022</v>
      </c>
    </row>
    <row r="156" spans="1:14" x14ac:dyDescent="0.25">
      <c r="A156" t="s">
        <v>232</v>
      </c>
      <c r="B156" t="s">
        <v>234</v>
      </c>
      <c r="C156">
        <v>6009</v>
      </c>
      <c r="D156">
        <v>2107</v>
      </c>
      <c r="E156" s="5">
        <v>0.350640705608254</v>
      </c>
      <c r="F156">
        <v>7</v>
      </c>
      <c r="G156" t="s">
        <v>13</v>
      </c>
      <c r="H156" t="s">
        <v>82</v>
      </c>
      <c r="I156" t="s">
        <v>15</v>
      </c>
      <c r="J156" s="1">
        <v>45411</v>
      </c>
      <c r="K156" t="s">
        <v>71</v>
      </c>
      <c r="L156" t="s">
        <v>86</v>
      </c>
      <c r="M156" t="s">
        <v>1481</v>
      </c>
      <c r="N156">
        <v>2024</v>
      </c>
    </row>
    <row r="157" spans="1:14" x14ac:dyDescent="0.25">
      <c r="A157" t="s">
        <v>232</v>
      </c>
      <c r="B157" t="s">
        <v>233</v>
      </c>
      <c r="C157">
        <v>2858</v>
      </c>
      <c r="D157">
        <v>230</v>
      </c>
      <c r="E157" s="5">
        <v>8.0475857242827104E-2</v>
      </c>
      <c r="F157">
        <v>3</v>
      </c>
      <c r="G157" t="s">
        <v>45</v>
      </c>
      <c r="H157" t="s">
        <v>46</v>
      </c>
      <c r="I157" t="s">
        <v>47</v>
      </c>
      <c r="J157" s="1">
        <v>44902</v>
      </c>
      <c r="K157" t="s">
        <v>21</v>
      </c>
      <c r="L157" t="s">
        <v>22</v>
      </c>
      <c r="M157" t="s">
        <v>1471</v>
      </c>
      <c r="N157">
        <v>2022</v>
      </c>
    </row>
    <row r="158" spans="1:14" x14ac:dyDescent="0.25">
      <c r="A158" t="s">
        <v>232</v>
      </c>
      <c r="B158" t="s">
        <v>234</v>
      </c>
      <c r="C158">
        <v>2858</v>
      </c>
      <c r="D158">
        <v>230</v>
      </c>
      <c r="E158" s="5">
        <v>8.0475857242827104E-2</v>
      </c>
      <c r="F158">
        <v>3</v>
      </c>
      <c r="G158" t="s">
        <v>45</v>
      </c>
      <c r="H158" t="s">
        <v>46</v>
      </c>
      <c r="I158" t="s">
        <v>47</v>
      </c>
      <c r="J158" s="1">
        <v>45411</v>
      </c>
      <c r="K158" t="s">
        <v>71</v>
      </c>
      <c r="L158" t="s">
        <v>86</v>
      </c>
      <c r="M158" t="s">
        <v>1481</v>
      </c>
      <c r="N158">
        <v>2024</v>
      </c>
    </row>
    <row r="159" spans="1:14" x14ac:dyDescent="0.25">
      <c r="A159" t="s">
        <v>232</v>
      </c>
      <c r="B159" t="s">
        <v>233</v>
      </c>
      <c r="C159">
        <v>8175</v>
      </c>
      <c r="D159">
        <v>525</v>
      </c>
      <c r="E159" s="5">
        <v>6.4220183486238494E-2</v>
      </c>
      <c r="F159">
        <v>7</v>
      </c>
      <c r="G159" t="s">
        <v>45</v>
      </c>
      <c r="H159" t="s">
        <v>60</v>
      </c>
      <c r="I159" t="s">
        <v>47</v>
      </c>
      <c r="J159" s="1">
        <v>44902</v>
      </c>
      <c r="K159" t="s">
        <v>21</v>
      </c>
      <c r="L159" t="s">
        <v>22</v>
      </c>
      <c r="M159" t="s">
        <v>1471</v>
      </c>
      <c r="N159">
        <v>2022</v>
      </c>
    </row>
    <row r="160" spans="1:14" x14ac:dyDescent="0.25">
      <c r="A160" t="s">
        <v>232</v>
      </c>
      <c r="B160" t="s">
        <v>234</v>
      </c>
      <c r="C160">
        <v>8175</v>
      </c>
      <c r="D160">
        <v>525</v>
      </c>
      <c r="E160" s="5">
        <v>6.4220183486238494E-2</v>
      </c>
      <c r="F160">
        <v>7</v>
      </c>
      <c r="G160" t="s">
        <v>45</v>
      </c>
      <c r="H160" t="s">
        <v>60</v>
      </c>
      <c r="I160" t="s">
        <v>47</v>
      </c>
      <c r="J160" s="1">
        <v>45411</v>
      </c>
      <c r="K160" t="s">
        <v>71</v>
      </c>
      <c r="L160" t="s">
        <v>86</v>
      </c>
      <c r="M160" t="s">
        <v>1481</v>
      </c>
      <c r="N160">
        <v>2024</v>
      </c>
    </row>
    <row r="161" spans="1:14" x14ac:dyDescent="0.25">
      <c r="A161" t="s">
        <v>232</v>
      </c>
      <c r="B161" t="s">
        <v>233</v>
      </c>
      <c r="C161">
        <v>5846</v>
      </c>
      <c r="D161">
        <v>586</v>
      </c>
      <c r="E161" s="5">
        <v>0.10023947998631499</v>
      </c>
      <c r="F161">
        <v>18</v>
      </c>
      <c r="G161" t="s">
        <v>45</v>
      </c>
      <c r="H161" t="s">
        <v>60</v>
      </c>
      <c r="I161" t="s">
        <v>15</v>
      </c>
      <c r="J161" s="1">
        <v>44902</v>
      </c>
      <c r="K161" t="s">
        <v>21</v>
      </c>
      <c r="L161" t="s">
        <v>22</v>
      </c>
      <c r="M161" t="s">
        <v>1471</v>
      </c>
      <c r="N161">
        <v>2022</v>
      </c>
    </row>
    <row r="162" spans="1:14" x14ac:dyDescent="0.25">
      <c r="A162" t="s">
        <v>232</v>
      </c>
      <c r="B162" t="s">
        <v>234</v>
      </c>
      <c r="C162">
        <v>5846</v>
      </c>
      <c r="D162">
        <v>586</v>
      </c>
      <c r="E162" s="5">
        <v>0.10023947998631499</v>
      </c>
      <c r="F162">
        <v>18</v>
      </c>
      <c r="G162" t="s">
        <v>45</v>
      </c>
      <c r="H162" t="s">
        <v>60</v>
      </c>
      <c r="I162" t="s">
        <v>15</v>
      </c>
      <c r="J162" s="1">
        <v>45411</v>
      </c>
      <c r="K162" t="s">
        <v>71</v>
      </c>
      <c r="L162" t="s">
        <v>86</v>
      </c>
      <c r="M162" t="s">
        <v>1481</v>
      </c>
      <c r="N162">
        <v>2024</v>
      </c>
    </row>
    <row r="163" spans="1:14" x14ac:dyDescent="0.25">
      <c r="A163" t="s">
        <v>236</v>
      </c>
      <c r="B163" t="s">
        <v>237</v>
      </c>
      <c r="C163">
        <v>706</v>
      </c>
      <c r="D163">
        <v>197</v>
      </c>
      <c r="E163" s="5">
        <v>0.27903682719546702</v>
      </c>
      <c r="F163">
        <v>11</v>
      </c>
      <c r="G163" t="s">
        <v>13</v>
      </c>
      <c r="H163" t="s">
        <v>39</v>
      </c>
      <c r="I163" t="s">
        <v>47</v>
      </c>
      <c r="J163" s="1">
        <v>44563</v>
      </c>
      <c r="K163" t="s">
        <v>71</v>
      </c>
      <c r="L163" t="s">
        <v>86</v>
      </c>
      <c r="M163" t="s">
        <v>1478</v>
      </c>
      <c r="N163">
        <v>2022</v>
      </c>
    </row>
    <row r="164" spans="1:14" x14ac:dyDescent="0.25">
      <c r="A164" t="s">
        <v>238</v>
      </c>
      <c r="B164" t="s">
        <v>239</v>
      </c>
      <c r="C164">
        <v>9835</v>
      </c>
      <c r="D164">
        <v>2571</v>
      </c>
      <c r="E164" s="5">
        <v>0.26141331977630899</v>
      </c>
      <c r="F164">
        <v>16</v>
      </c>
      <c r="G164" t="s">
        <v>45</v>
      </c>
      <c r="H164" t="s">
        <v>46</v>
      </c>
      <c r="I164" t="s">
        <v>65</v>
      </c>
      <c r="J164" s="1">
        <v>44722</v>
      </c>
      <c r="K164" t="s">
        <v>71</v>
      </c>
      <c r="L164" t="s">
        <v>72</v>
      </c>
      <c r="M164" t="s">
        <v>1470</v>
      </c>
      <c r="N164">
        <v>2022</v>
      </c>
    </row>
    <row r="165" spans="1:14" x14ac:dyDescent="0.25">
      <c r="A165" t="s">
        <v>238</v>
      </c>
      <c r="B165" t="s">
        <v>240</v>
      </c>
      <c r="C165">
        <v>9835</v>
      </c>
      <c r="D165">
        <v>2571</v>
      </c>
      <c r="E165" s="5">
        <v>0.26141331977630899</v>
      </c>
      <c r="F165">
        <v>16</v>
      </c>
      <c r="G165" t="s">
        <v>45</v>
      </c>
      <c r="H165" t="s">
        <v>46</v>
      </c>
      <c r="I165" t="s">
        <v>65</v>
      </c>
      <c r="J165" s="1">
        <v>44516</v>
      </c>
      <c r="K165" t="s">
        <v>17</v>
      </c>
      <c r="L165" t="s">
        <v>34</v>
      </c>
      <c r="M165" t="s">
        <v>1475</v>
      </c>
      <c r="N165">
        <v>2021</v>
      </c>
    </row>
    <row r="166" spans="1:14" x14ac:dyDescent="0.25">
      <c r="A166" t="s">
        <v>238</v>
      </c>
      <c r="B166" t="s">
        <v>241</v>
      </c>
      <c r="C166">
        <v>9835</v>
      </c>
      <c r="D166">
        <v>2571</v>
      </c>
      <c r="E166" s="5">
        <v>0.26141331977630899</v>
      </c>
      <c r="F166">
        <v>16</v>
      </c>
      <c r="G166" t="s">
        <v>45</v>
      </c>
      <c r="H166" t="s">
        <v>46</v>
      </c>
      <c r="I166" t="s">
        <v>65</v>
      </c>
      <c r="J166" s="1">
        <v>44790</v>
      </c>
      <c r="K166" t="s">
        <v>42</v>
      </c>
      <c r="L166" t="s">
        <v>43</v>
      </c>
      <c r="M166" t="s">
        <v>1479</v>
      </c>
      <c r="N166">
        <v>2022</v>
      </c>
    </row>
    <row r="167" spans="1:14" x14ac:dyDescent="0.25">
      <c r="A167" t="s">
        <v>238</v>
      </c>
      <c r="B167" t="s">
        <v>239</v>
      </c>
      <c r="C167">
        <v>9691</v>
      </c>
      <c r="D167">
        <v>3056</v>
      </c>
      <c r="E167" s="5">
        <v>0.315344133732329</v>
      </c>
      <c r="F167">
        <v>13</v>
      </c>
      <c r="G167" t="s">
        <v>30</v>
      </c>
      <c r="H167" t="s">
        <v>57</v>
      </c>
      <c r="I167" t="s">
        <v>47</v>
      </c>
      <c r="J167" s="1">
        <v>44722</v>
      </c>
      <c r="K167" t="s">
        <v>71</v>
      </c>
      <c r="L167" t="s">
        <v>72</v>
      </c>
      <c r="M167" t="s">
        <v>1470</v>
      </c>
      <c r="N167">
        <v>2022</v>
      </c>
    </row>
    <row r="168" spans="1:14" x14ac:dyDescent="0.25">
      <c r="A168" t="s">
        <v>238</v>
      </c>
      <c r="B168" t="s">
        <v>240</v>
      </c>
      <c r="C168">
        <v>9691</v>
      </c>
      <c r="D168">
        <v>3056</v>
      </c>
      <c r="E168" s="5">
        <v>0.315344133732329</v>
      </c>
      <c r="F168">
        <v>13</v>
      </c>
      <c r="G168" t="s">
        <v>30</v>
      </c>
      <c r="H168" t="s">
        <v>57</v>
      </c>
      <c r="I168" t="s">
        <v>47</v>
      </c>
      <c r="J168" s="1">
        <v>44516</v>
      </c>
      <c r="K168" t="s">
        <v>17</v>
      </c>
      <c r="L168" t="s">
        <v>34</v>
      </c>
      <c r="M168" t="s">
        <v>1475</v>
      </c>
      <c r="N168">
        <v>2021</v>
      </c>
    </row>
    <row r="169" spans="1:14" x14ac:dyDescent="0.25">
      <c r="A169" t="s">
        <v>238</v>
      </c>
      <c r="B169" t="s">
        <v>241</v>
      </c>
      <c r="C169">
        <v>9691</v>
      </c>
      <c r="D169">
        <v>3056</v>
      </c>
      <c r="E169" s="5">
        <v>0.315344133732329</v>
      </c>
      <c r="F169">
        <v>13</v>
      </c>
      <c r="G169" t="s">
        <v>30</v>
      </c>
      <c r="H169" t="s">
        <v>57</v>
      </c>
      <c r="I169" t="s">
        <v>47</v>
      </c>
      <c r="J169" s="1">
        <v>44790</v>
      </c>
      <c r="K169" t="s">
        <v>42</v>
      </c>
      <c r="L169" t="s">
        <v>43</v>
      </c>
      <c r="M169" t="s">
        <v>1479</v>
      </c>
      <c r="N169">
        <v>2022</v>
      </c>
    </row>
    <row r="170" spans="1:14" x14ac:dyDescent="0.25">
      <c r="A170" t="s">
        <v>238</v>
      </c>
      <c r="B170" t="s">
        <v>239</v>
      </c>
      <c r="C170">
        <v>7826</v>
      </c>
      <c r="D170">
        <v>1221</v>
      </c>
      <c r="E170" s="5">
        <v>0.15601840020444699</v>
      </c>
      <c r="F170">
        <v>14</v>
      </c>
      <c r="G170" t="s">
        <v>45</v>
      </c>
      <c r="H170" t="s">
        <v>109</v>
      </c>
      <c r="I170" t="s">
        <v>15</v>
      </c>
      <c r="J170" s="1">
        <v>44722</v>
      </c>
      <c r="K170" t="s">
        <v>71</v>
      </c>
      <c r="L170" t="s">
        <v>72</v>
      </c>
      <c r="M170" t="s">
        <v>1470</v>
      </c>
      <c r="N170">
        <v>2022</v>
      </c>
    </row>
    <row r="171" spans="1:14" x14ac:dyDescent="0.25">
      <c r="A171" t="s">
        <v>238</v>
      </c>
      <c r="B171" t="s">
        <v>240</v>
      </c>
      <c r="C171">
        <v>7826</v>
      </c>
      <c r="D171">
        <v>1221</v>
      </c>
      <c r="E171" s="5">
        <v>0.15601840020444699</v>
      </c>
      <c r="F171">
        <v>14</v>
      </c>
      <c r="G171" t="s">
        <v>45</v>
      </c>
      <c r="H171" t="s">
        <v>109</v>
      </c>
      <c r="I171" t="s">
        <v>15</v>
      </c>
      <c r="J171" s="1">
        <v>44516</v>
      </c>
      <c r="K171" t="s">
        <v>17</v>
      </c>
      <c r="L171" t="s">
        <v>34</v>
      </c>
      <c r="M171" t="s">
        <v>1475</v>
      </c>
      <c r="N171">
        <v>2021</v>
      </c>
    </row>
    <row r="172" spans="1:14" x14ac:dyDescent="0.25">
      <c r="A172" t="s">
        <v>238</v>
      </c>
      <c r="B172" t="s">
        <v>241</v>
      </c>
      <c r="C172">
        <v>7826</v>
      </c>
      <c r="D172">
        <v>1221</v>
      </c>
      <c r="E172" s="5">
        <v>0.15601840020444699</v>
      </c>
      <c r="F172">
        <v>14</v>
      </c>
      <c r="G172" t="s">
        <v>45</v>
      </c>
      <c r="H172" t="s">
        <v>109</v>
      </c>
      <c r="I172" t="s">
        <v>15</v>
      </c>
      <c r="J172" s="1">
        <v>44790</v>
      </c>
      <c r="K172" t="s">
        <v>42</v>
      </c>
      <c r="L172" t="s">
        <v>43</v>
      </c>
      <c r="M172" t="s">
        <v>1479</v>
      </c>
      <c r="N172">
        <v>2022</v>
      </c>
    </row>
    <row r="173" spans="1:14" x14ac:dyDescent="0.25">
      <c r="A173" t="s">
        <v>242</v>
      </c>
      <c r="B173" t="s">
        <v>243</v>
      </c>
      <c r="C173">
        <v>770</v>
      </c>
      <c r="D173">
        <v>241</v>
      </c>
      <c r="E173" s="5">
        <v>0.31298701298701298</v>
      </c>
      <c r="F173">
        <v>11</v>
      </c>
      <c r="G173" t="s">
        <v>45</v>
      </c>
      <c r="H173" t="s">
        <v>60</v>
      </c>
      <c r="I173" t="s">
        <v>65</v>
      </c>
      <c r="J173" s="1">
        <v>44523</v>
      </c>
      <c r="K173" t="s">
        <v>71</v>
      </c>
      <c r="L173" t="s">
        <v>86</v>
      </c>
      <c r="M173" t="s">
        <v>1475</v>
      </c>
      <c r="N173">
        <v>2021</v>
      </c>
    </row>
    <row r="174" spans="1:14" x14ac:dyDescent="0.25">
      <c r="A174" t="s">
        <v>242</v>
      </c>
      <c r="B174" t="s">
        <v>244</v>
      </c>
      <c r="C174">
        <v>770</v>
      </c>
      <c r="D174">
        <v>241</v>
      </c>
      <c r="E174" s="5">
        <v>0.31298701298701298</v>
      </c>
      <c r="F174">
        <v>11</v>
      </c>
      <c r="G174" t="s">
        <v>45</v>
      </c>
      <c r="H174" t="s">
        <v>60</v>
      </c>
      <c r="I174" t="s">
        <v>65</v>
      </c>
      <c r="J174" s="1">
        <v>44989</v>
      </c>
      <c r="K174" t="s">
        <v>98</v>
      </c>
      <c r="L174" t="s">
        <v>107</v>
      </c>
      <c r="M174" t="s">
        <v>1476</v>
      </c>
      <c r="N174">
        <v>2023</v>
      </c>
    </row>
    <row r="175" spans="1:14" x14ac:dyDescent="0.25">
      <c r="A175" t="s">
        <v>246</v>
      </c>
      <c r="B175" t="s">
        <v>247</v>
      </c>
      <c r="C175">
        <v>9895</v>
      </c>
      <c r="D175">
        <v>1598</v>
      </c>
      <c r="E175" s="5">
        <v>0.161495704901465</v>
      </c>
      <c r="F175">
        <v>20</v>
      </c>
      <c r="G175" t="s">
        <v>45</v>
      </c>
      <c r="H175" t="s">
        <v>109</v>
      </c>
      <c r="I175" t="s">
        <v>65</v>
      </c>
      <c r="J175" s="1">
        <v>45276</v>
      </c>
      <c r="K175" t="s">
        <v>25</v>
      </c>
      <c r="L175" t="s">
        <v>68</v>
      </c>
      <c r="M175" t="s">
        <v>1471</v>
      </c>
      <c r="N175">
        <v>2023</v>
      </c>
    </row>
    <row r="176" spans="1:14" x14ac:dyDescent="0.25">
      <c r="A176" t="s">
        <v>248</v>
      </c>
      <c r="B176" t="s">
        <v>249</v>
      </c>
      <c r="C176">
        <v>6517</v>
      </c>
      <c r="D176">
        <v>1581</v>
      </c>
      <c r="E176" s="5">
        <v>0.242596286634955</v>
      </c>
      <c r="F176">
        <v>10</v>
      </c>
      <c r="G176" t="s">
        <v>30</v>
      </c>
      <c r="H176" t="s">
        <v>64</v>
      </c>
      <c r="I176" t="s">
        <v>32</v>
      </c>
      <c r="J176" s="1">
        <v>45431</v>
      </c>
      <c r="K176" t="s">
        <v>17</v>
      </c>
      <c r="L176" t="s">
        <v>18</v>
      </c>
      <c r="M176" t="s">
        <v>1473</v>
      </c>
      <c r="N176">
        <v>2024</v>
      </c>
    </row>
    <row r="177" spans="1:14" x14ac:dyDescent="0.25">
      <c r="A177" t="s">
        <v>248</v>
      </c>
      <c r="B177" t="s">
        <v>250</v>
      </c>
      <c r="C177">
        <v>6517</v>
      </c>
      <c r="D177">
        <v>1581</v>
      </c>
      <c r="E177" s="5">
        <v>0.242596286634955</v>
      </c>
      <c r="F177">
        <v>10</v>
      </c>
      <c r="G177" t="s">
        <v>30</v>
      </c>
      <c r="H177" t="s">
        <v>64</v>
      </c>
      <c r="I177" t="s">
        <v>32</v>
      </c>
      <c r="J177" s="1">
        <v>43965</v>
      </c>
      <c r="K177" t="s">
        <v>17</v>
      </c>
      <c r="L177" t="s">
        <v>150</v>
      </c>
      <c r="M177" t="s">
        <v>1473</v>
      </c>
      <c r="N177">
        <v>2020</v>
      </c>
    </row>
    <row r="178" spans="1:14" x14ac:dyDescent="0.25">
      <c r="A178" t="s">
        <v>248</v>
      </c>
      <c r="B178" t="s">
        <v>249</v>
      </c>
      <c r="C178">
        <v>1166</v>
      </c>
      <c r="D178">
        <v>349</v>
      </c>
      <c r="E178" s="5">
        <v>0.29931389365351602</v>
      </c>
      <c r="F178">
        <v>11</v>
      </c>
      <c r="G178" t="s">
        <v>45</v>
      </c>
      <c r="H178" t="s">
        <v>46</v>
      </c>
      <c r="I178" t="s">
        <v>47</v>
      </c>
      <c r="J178" s="1">
        <v>45431</v>
      </c>
      <c r="K178" t="s">
        <v>17</v>
      </c>
      <c r="L178" t="s">
        <v>18</v>
      </c>
      <c r="M178" t="s">
        <v>1473</v>
      </c>
      <c r="N178">
        <v>2024</v>
      </c>
    </row>
    <row r="179" spans="1:14" x14ac:dyDescent="0.25">
      <c r="A179" t="s">
        <v>248</v>
      </c>
      <c r="B179" t="s">
        <v>250</v>
      </c>
      <c r="C179">
        <v>1166</v>
      </c>
      <c r="D179">
        <v>349</v>
      </c>
      <c r="E179" s="5">
        <v>0.29931389365351602</v>
      </c>
      <c r="F179">
        <v>11</v>
      </c>
      <c r="G179" t="s">
        <v>45</v>
      </c>
      <c r="H179" t="s">
        <v>46</v>
      </c>
      <c r="I179" t="s">
        <v>47</v>
      </c>
      <c r="J179" s="1">
        <v>43965</v>
      </c>
      <c r="K179" t="s">
        <v>17</v>
      </c>
      <c r="L179" t="s">
        <v>150</v>
      </c>
      <c r="M179" t="s">
        <v>1473</v>
      </c>
      <c r="N179">
        <v>2020</v>
      </c>
    </row>
    <row r="180" spans="1:14" x14ac:dyDescent="0.25">
      <c r="A180" t="s">
        <v>251</v>
      </c>
      <c r="B180" t="s">
        <v>252</v>
      </c>
      <c r="C180">
        <v>9820</v>
      </c>
      <c r="D180">
        <v>793</v>
      </c>
      <c r="E180" s="5">
        <v>8.0753564154786198E-2</v>
      </c>
      <c r="F180">
        <v>16</v>
      </c>
      <c r="G180" t="s">
        <v>45</v>
      </c>
      <c r="H180" t="s">
        <v>49</v>
      </c>
      <c r="I180" t="s">
        <v>47</v>
      </c>
      <c r="J180" s="1">
        <v>44437</v>
      </c>
      <c r="K180" t="s">
        <v>25</v>
      </c>
      <c r="L180" t="s">
        <v>26</v>
      </c>
      <c r="M180" t="s">
        <v>1479</v>
      </c>
      <c r="N180">
        <v>2021</v>
      </c>
    </row>
    <row r="181" spans="1:14" x14ac:dyDescent="0.25">
      <c r="A181" t="s">
        <v>253</v>
      </c>
      <c r="B181" t="s">
        <v>254</v>
      </c>
      <c r="C181">
        <v>8563</v>
      </c>
      <c r="D181">
        <v>2624</v>
      </c>
      <c r="E181" s="5">
        <v>0.30643466074973702</v>
      </c>
      <c r="F181">
        <v>8</v>
      </c>
      <c r="G181" t="s">
        <v>30</v>
      </c>
      <c r="H181" t="s">
        <v>78</v>
      </c>
      <c r="I181" t="s">
        <v>65</v>
      </c>
      <c r="J181" s="1">
        <v>45606</v>
      </c>
      <c r="K181" t="s">
        <v>71</v>
      </c>
      <c r="L181" t="s">
        <v>72</v>
      </c>
      <c r="M181" t="s">
        <v>1475</v>
      </c>
      <c r="N181">
        <v>2024</v>
      </c>
    </row>
    <row r="182" spans="1:14" x14ac:dyDescent="0.25">
      <c r="A182" t="s">
        <v>253</v>
      </c>
      <c r="B182" t="s">
        <v>254</v>
      </c>
      <c r="C182">
        <v>4441</v>
      </c>
      <c r="D182">
        <v>281</v>
      </c>
      <c r="E182" s="5">
        <v>6.3274037378968695E-2</v>
      </c>
      <c r="F182">
        <v>20</v>
      </c>
      <c r="G182" t="s">
        <v>13</v>
      </c>
      <c r="H182" t="s">
        <v>28</v>
      </c>
      <c r="I182" t="s">
        <v>65</v>
      </c>
      <c r="J182" s="1">
        <v>45606</v>
      </c>
      <c r="K182" t="s">
        <v>71</v>
      </c>
      <c r="L182" t="s">
        <v>72</v>
      </c>
      <c r="M182" t="s">
        <v>1475</v>
      </c>
      <c r="N182">
        <v>2024</v>
      </c>
    </row>
    <row r="183" spans="1:14" x14ac:dyDescent="0.25">
      <c r="A183" t="s">
        <v>256</v>
      </c>
      <c r="B183" t="s">
        <v>257</v>
      </c>
      <c r="C183">
        <v>7340</v>
      </c>
      <c r="D183">
        <v>2271</v>
      </c>
      <c r="E183" s="5">
        <v>0.309400544959128</v>
      </c>
      <c r="F183">
        <v>8</v>
      </c>
      <c r="G183" t="s">
        <v>30</v>
      </c>
      <c r="H183" t="s">
        <v>64</v>
      </c>
      <c r="I183" t="s">
        <v>40</v>
      </c>
      <c r="J183" s="1">
        <v>44535</v>
      </c>
      <c r="K183" t="s">
        <v>17</v>
      </c>
      <c r="L183" t="s">
        <v>34</v>
      </c>
      <c r="M183" t="s">
        <v>1471</v>
      </c>
      <c r="N183">
        <v>2021</v>
      </c>
    </row>
    <row r="184" spans="1:14" x14ac:dyDescent="0.25">
      <c r="A184" t="s">
        <v>256</v>
      </c>
      <c r="B184" t="s">
        <v>257</v>
      </c>
      <c r="C184">
        <v>5442</v>
      </c>
      <c r="D184">
        <v>1610</v>
      </c>
      <c r="E184" s="5">
        <v>0.29584711503123801</v>
      </c>
      <c r="F184">
        <v>1</v>
      </c>
      <c r="G184" t="s">
        <v>13</v>
      </c>
      <c r="H184" t="s">
        <v>82</v>
      </c>
      <c r="I184" t="s">
        <v>40</v>
      </c>
      <c r="J184" s="1">
        <v>44535</v>
      </c>
      <c r="K184" t="s">
        <v>17</v>
      </c>
      <c r="L184" t="s">
        <v>34</v>
      </c>
      <c r="M184" t="s">
        <v>1471</v>
      </c>
      <c r="N184">
        <v>2021</v>
      </c>
    </row>
    <row r="185" spans="1:14" x14ac:dyDescent="0.25">
      <c r="A185" t="s">
        <v>258</v>
      </c>
      <c r="B185" t="s">
        <v>259</v>
      </c>
      <c r="C185">
        <v>1895</v>
      </c>
      <c r="D185">
        <v>391</v>
      </c>
      <c r="E185" s="5">
        <v>0.20633245382585799</v>
      </c>
      <c r="F185">
        <v>14</v>
      </c>
      <c r="G185" t="s">
        <v>45</v>
      </c>
      <c r="H185" t="s">
        <v>46</v>
      </c>
      <c r="I185" t="s">
        <v>15</v>
      </c>
      <c r="J185" s="1">
        <v>45478</v>
      </c>
      <c r="K185" t="s">
        <v>17</v>
      </c>
      <c r="L185" t="s">
        <v>150</v>
      </c>
      <c r="M185" t="s">
        <v>1472</v>
      </c>
      <c r="N185">
        <v>2024</v>
      </c>
    </row>
    <row r="186" spans="1:14" x14ac:dyDescent="0.25">
      <c r="A186" t="s">
        <v>258</v>
      </c>
      <c r="B186" t="s">
        <v>259</v>
      </c>
      <c r="C186">
        <v>5323</v>
      </c>
      <c r="D186">
        <v>322</v>
      </c>
      <c r="E186" s="5">
        <v>6.0492203644561302E-2</v>
      </c>
      <c r="F186">
        <v>13</v>
      </c>
      <c r="G186" t="s">
        <v>30</v>
      </c>
      <c r="H186" t="s">
        <v>78</v>
      </c>
      <c r="I186" t="s">
        <v>65</v>
      </c>
      <c r="J186" s="1">
        <v>45478</v>
      </c>
      <c r="K186" t="s">
        <v>17</v>
      </c>
      <c r="L186" t="s">
        <v>150</v>
      </c>
      <c r="M186" t="s">
        <v>1472</v>
      </c>
      <c r="N186">
        <v>2024</v>
      </c>
    </row>
    <row r="187" spans="1:14" x14ac:dyDescent="0.25">
      <c r="A187" t="s">
        <v>260</v>
      </c>
      <c r="B187" t="s">
        <v>261</v>
      </c>
      <c r="C187">
        <v>8850</v>
      </c>
      <c r="D187">
        <v>279</v>
      </c>
      <c r="E187" s="5">
        <v>3.1525423728813597E-2</v>
      </c>
      <c r="F187">
        <v>13</v>
      </c>
      <c r="G187" t="s">
        <v>30</v>
      </c>
      <c r="H187" t="s">
        <v>57</v>
      </c>
      <c r="I187" t="s">
        <v>32</v>
      </c>
      <c r="J187" s="1">
        <v>45468</v>
      </c>
      <c r="K187" t="s">
        <v>17</v>
      </c>
      <c r="L187" t="s">
        <v>18</v>
      </c>
      <c r="M187" t="s">
        <v>1470</v>
      </c>
      <c r="N187">
        <v>2024</v>
      </c>
    </row>
    <row r="188" spans="1:14" x14ac:dyDescent="0.25">
      <c r="A188" t="s">
        <v>260</v>
      </c>
      <c r="B188" t="s">
        <v>261</v>
      </c>
      <c r="C188">
        <v>8667</v>
      </c>
      <c r="D188">
        <v>1266</v>
      </c>
      <c r="E188" s="5">
        <v>0.14607130494980999</v>
      </c>
      <c r="F188">
        <v>6</v>
      </c>
      <c r="G188" t="s">
        <v>30</v>
      </c>
      <c r="H188" t="s">
        <v>64</v>
      </c>
      <c r="I188" t="s">
        <v>32</v>
      </c>
      <c r="J188" s="1">
        <v>45468</v>
      </c>
      <c r="K188" t="s">
        <v>17</v>
      </c>
      <c r="L188" t="s">
        <v>18</v>
      </c>
      <c r="M188" t="s">
        <v>1470</v>
      </c>
      <c r="N188">
        <v>2024</v>
      </c>
    </row>
    <row r="189" spans="1:14" x14ac:dyDescent="0.25">
      <c r="A189" t="s">
        <v>263</v>
      </c>
      <c r="B189" t="s">
        <v>264</v>
      </c>
      <c r="C189">
        <v>6903</v>
      </c>
      <c r="D189">
        <v>105</v>
      </c>
      <c r="E189" s="5">
        <v>1.5210777922642299E-2</v>
      </c>
      <c r="F189">
        <v>1</v>
      </c>
      <c r="G189" t="s">
        <v>45</v>
      </c>
      <c r="H189" t="s">
        <v>46</v>
      </c>
      <c r="I189" t="s">
        <v>65</v>
      </c>
      <c r="J189" s="1">
        <v>45443</v>
      </c>
      <c r="K189" t="s">
        <v>21</v>
      </c>
      <c r="L189" t="s">
        <v>22</v>
      </c>
      <c r="M189" t="s">
        <v>1473</v>
      </c>
      <c r="N189">
        <v>2024</v>
      </c>
    </row>
    <row r="190" spans="1:14" x14ac:dyDescent="0.25">
      <c r="A190" t="s">
        <v>263</v>
      </c>
      <c r="B190" t="s">
        <v>264</v>
      </c>
      <c r="C190">
        <v>8793</v>
      </c>
      <c r="D190">
        <v>3010</v>
      </c>
      <c r="E190" s="5">
        <v>0.34231775275787601</v>
      </c>
      <c r="F190">
        <v>7</v>
      </c>
      <c r="G190" t="s">
        <v>30</v>
      </c>
      <c r="H190" t="s">
        <v>31</v>
      </c>
      <c r="I190" t="s">
        <v>65</v>
      </c>
      <c r="J190" s="1">
        <v>45443</v>
      </c>
      <c r="K190" t="s">
        <v>21</v>
      </c>
      <c r="L190" t="s">
        <v>22</v>
      </c>
      <c r="M190" t="s">
        <v>1473</v>
      </c>
      <c r="N190">
        <v>2024</v>
      </c>
    </row>
    <row r="191" spans="1:14" x14ac:dyDescent="0.25">
      <c r="A191" t="s">
        <v>265</v>
      </c>
      <c r="B191" t="s">
        <v>266</v>
      </c>
      <c r="C191">
        <v>9883</v>
      </c>
      <c r="D191">
        <v>4812</v>
      </c>
      <c r="E191" s="5">
        <v>0.48689669128807</v>
      </c>
      <c r="F191">
        <v>16</v>
      </c>
      <c r="G191" t="s">
        <v>30</v>
      </c>
      <c r="H191" t="s">
        <v>64</v>
      </c>
      <c r="I191" t="s">
        <v>15</v>
      </c>
      <c r="J191" s="1">
        <v>44124</v>
      </c>
      <c r="K191" t="s">
        <v>25</v>
      </c>
      <c r="L191" t="s">
        <v>26</v>
      </c>
      <c r="M191" t="s">
        <v>1474</v>
      </c>
      <c r="N191">
        <v>2020</v>
      </c>
    </row>
    <row r="192" spans="1:14" x14ac:dyDescent="0.25">
      <c r="A192" t="s">
        <v>265</v>
      </c>
      <c r="B192" t="s">
        <v>267</v>
      </c>
      <c r="C192">
        <v>9883</v>
      </c>
      <c r="D192">
        <v>4812</v>
      </c>
      <c r="E192" s="5">
        <v>0.48689669128807</v>
      </c>
      <c r="F192">
        <v>16</v>
      </c>
      <c r="G192" t="s">
        <v>30</v>
      </c>
      <c r="H192" t="s">
        <v>64</v>
      </c>
      <c r="I192" t="s">
        <v>15</v>
      </c>
      <c r="J192" s="1">
        <v>44784</v>
      </c>
      <c r="K192" t="s">
        <v>17</v>
      </c>
      <c r="L192" t="s">
        <v>34</v>
      </c>
      <c r="M192" t="s">
        <v>1479</v>
      </c>
      <c r="N192">
        <v>2022</v>
      </c>
    </row>
    <row r="193" spans="1:14" x14ac:dyDescent="0.25">
      <c r="A193" t="s">
        <v>265</v>
      </c>
      <c r="B193" t="s">
        <v>268</v>
      </c>
      <c r="C193">
        <v>9883</v>
      </c>
      <c r="D193">
        <v>4812</v>
      </c>
      <c r="E193" s="5">
        <v>0.48689669128807</v>
      </c>
      <c r="F193">
        <v>16</v>
      </c>
      <c r="G193" t="s">
        <v>30</v>
      </c>
      <c r="H193" t="s">
        <v>64</v>
      </c>
      <c r="I193" t="s">
        <v>15</v>
      </c>
      <c r="J193" s="1">
        <v>44486</v>
      </c>
      <c r="K193" t="s">
        <v>21</v>
      </c>
      <c r="L193" t="s">
        <v>63</v>
      </c>
      <c r="M193" t="s">
        <v>1474</v>
      </c>
      <c r="N193">
        <v>2021</v>
      </c>
    </row>
    <row r="194" spans="1:14" x14ac:dyDescent="0.25">
      <c r="A194" t="s">
        <v>265</v>
      </c>
      <c r="B194" t="s">
        <v>266</v>
      </c>
      <c r="C194">
        <v>5210</v>
      </c>
      <c r="D194">
        <v>1185</v>
      </c>
      <c r="E194" s="5">
        <v>0.22744721689059499</v>
      </c>
      <c r="F194">
        <v>7</v>
      </c>
      <c r="G194" t="s">
        <v>30</v>
      </c>
      <c r="H194" t="s">
        <v>64</v>
      </c>
      <c r="I194" t="s">
        <v>15</v>
      </c>
      <c r="J194" s="1">
        <v>44124</v>
      </c>
      <c r="K194" t="s">
        <v>25</v>
      </c>
      <c r="L194" t="s">
        <v>26</v>
      </c>
      <c r="M194" t="s">
        <v>1474</v>
      </c>
      <c r="N194">
        <v>2020</v>
      </c>
    </row>
    <row r="195" spans="1:14" x14ac:dyDescent="0.25">
      <c r="A195" t="s">
        <v>265</v>
      </c>
      <c r="B195" t="s">
        <v>267</v>
      </c>
      <c r="C195">
        <v>5210</v>
      </c>
      <c r="D195">
        <v>1185</v>
      </c>
      <c r="E195" s="5">
        <v>0.22744721689059499</v>
      </c>
      <c r="F195">
        <v>7</v>
      </c>
      <c r="G195" t="s">
        <v>30</v>
      </c>
      <c r="H195" t="s">
        <v>64</v>
      </c>
      <c r="I195" t="s">
        <v>15</v>
      </c>
      <c r="J195" s="1">
        <v>44784</v>
      </c>
      <c r="K195" t="s">
        <v>17</v>
      </c>
      <c r="L195" t="s">
        <v>34</v>
      </c>
      <c r="M195" t="s">
        <v>1479</v>
      </c>
      <c r="N195">
        <v>2022</v>
      </c>
    </row>
    <row r="196" spans="1:14" x14ac:dyDescent="0.25">
      <c r="A196" t="s">
        <v>265</v>
      </c>
      <c r="B196" t="s">
        <v>268</v>
      </c>
      <c r="C196">
        <v>5210</v>
      </c>
      <c r="D196">
        <v>1185</v>
      </c>
      <c r="E196" s="5">
        <v>0.22744721689059499</v>
      </c>
      <c r="F196">
        <v>7</v>
      </c>
      <c r="G196" t="s">
        <v>30</v>
      </c>
      <c r="H196" t="s">
        <v>64</v>
      </c>
      <c r="I196" t="s">
        <v>15</v>
      </c>
      <c r="J196" s="1">
        <v>44486</v>
      </c>
      <c r="K196" t="s">
        <v>21</v>
      </c>
      <c r="L196" t="s">
        <v>63</v>
      </c>
      <c r="M196" t="s">
        <v>1474</v>
      </c>
      <c r="N196">
        <v>2021</v>
      </c>
    </row>
    <row r="197" spans="1:14" x14ac:dyDescent="0.25">
      <c r="A197" t="s">
        <v>269</v>
      </c>
      <c r="B197" t="s">
        <v>270</v>
      </c>
      <c r="C197">
        <v>3574</v>
      </c>
      <c r="D197">
        <v>851</v>
      </c>
      <c r="E197" s="5">
        <v>0.23810856183547799</v>
      </c>
      <c r="F197">
        <v>4</v>
      </c>
      <c r="G197" t="s">
        <v>13</v>
      </c>
      <c r="H197" t="s">
        <v>28</v>
      </c>
      <c r="I197" t="s">
        <v>47</v>
      </c>
      <c r="J197" s="1">
        <v>44615</v>
      </c>
      <c r="K197" t="s">
        <v>42</v>
      </c>
      <c r="L197" t="s">
        <v>43</v>
      </c>
      <c r="M197" t="s">
        <v>1477</v>
      </c>
      <c r="N197">
        <v>2022</v>
      </c>
    </row>
    <row r="198" spans="1:14" x14ac:dyDescent="0.25">
      <c r="A198" t="s">
        <v>269</v>
      </c>
      <c r="B198" t="s">
        <v>270</v>
      </c>
      <c r="C198">
        <v>576</v>
      </c>
      <c r="D198">
        <v>76</v>
      </c>
      <c r="E198" s="5">
        <v>0.131944444444444</v>
      </c>
      <c r="F198">
        <v>13</v>
      </c>
      <c r="G198" t="s">
        <v>45</v>
      </c>
      <c r="H198" t="s">
        <v>60</v>
      </c>
      <c r="I198" t="s">
        <v>15</v>
      </c>
      <c r="J198" s="1">
        <v>44615</v>
      </c>
      <c r="K198" t="s">
        <v>42</v>
      </c>
      <c r="L198" t="s">
        <v>43</v>
      </c>
      <c r="M198" t="s">
        <v>1477</v>
      </c>
      <c r="N198">
        <v>2022</v>
      </c>
    </row>
    <row r="199" spans="1:14" x14ac:dyDescent="0.25">
      <c r="A199" t="s">
        <v>271</v>
      </c>
      <c r="B199" t="s">
        <v>272</v>
      </c>
      <c r="C199">
        <v>1860</v>
      </c>
      <c r="D199">
        <v>457</v>
      </c>
      <c r="E199" s="5">
        <v>0.24569892473118299</v>
      </c>
      <c r="F199">
        <v>13</v>
      </c>
      <c r="G199" t="s">
        <v>13</v>
      </c>
      <c r="H199" t="s">
        <v>28</v>
      </c>
      <c r="I199" t="s">
        <v>40</v>
      </c>
      <c r="J199" s="1">
        <v>45189</v>
      </c>
      <c r="K199" t="s">
        <v>98</v>
      </c>
      <c r="L199" t="s">
        <v>117</v>
      </c>
      <c r="M199" t="s">
        <v>1480</v>
      </c>
      <c r="N199">
        <v>2023</v>
      </c>
    </row>
    <row r="200" spans="1:14" x14ac:dyDescent="0.25">
      <c r="A200" t="s">
        <v>274</v>
      </c>
      <c r="B200" t="s">
        <v>275</v>
      </c>
      <c r="C200">
        <v>782</v>
      </c>
      <c r="D200">
        <v>374</v>
      </c>
      <c r="E200" s="5">
        <v>0.47826086956521702</v>
      </c>
      <c r="F200">
        <v>8</v>
      </c>
      <c r="G200" t="s">
        <v>30</v>
      </c>
      <c r="H200" t="s">
        <v>31</v>
      </c>
      <c r="I200" t="s">
        <v>40</v>
      </c>
      <c r="J200" s="1">
        <v>44215</v>
      </c>
      <c r="K200" t="s">
        <v>21</v>
      </c>
      <c r="L200" t="s">
        <v>172</v>
      </c>
      <c r="M200" t="s">
        <v>1478</v>
      </c>
      <c r="N200">
        <v>2021</v>
      </c>
    </row>
    <row r="201" spans="1:14" x14ac:dyDescent="0.25">
      <c r="A201" t="s">
        <v>274</v>
      </c>
      <c r="B201" t="s">
        <v>275</v>
      </c>
      <c r="C201">
        <v>4371</v>
      </c>
      <c r="D201">
        <v>1852</v>
      </c>
      <c r="E201" s="5">
        <v>0.423701670098376</v>
      </c>
      <c r="F201">
        <v>1</v>
      </c>
      <c r="G201" t="s">
        <v>13</v>
      </c>
      <c r="H201" t="s">
        <v>39</v>
      </c>
      <c r="I201" t="s">
        <v>15</v>
      </c>
      <c r="J201" s="1">
        <v>44215</v>
      </c>
      <c r="K201" t="s">
        <v>21</v>
      </c>
      <c r="L201" t="s">
        <v>172</v>
      </c>
      <c r="M201" t="s">
        <v>1478</v>
      </c>
      <c r="N201">
        <v>2021</v>
      </c>
    </row>
    <row r="202" spans="1:14" x14ac:dyDescent="0.25">
      <c r="A202" t="s">
        <v>277</v>
      </c>
      <c r="B202" t="s">
        <v>278</v>
      </c>
      <c r="C202">
        <v>8346</v>
      </c>
      <c r="D202">
        <v>1176</v>
      </c>
      <c r="E202" s="5">
        <v>0.140905823148814</v>
      </c>
      <c r="F202">
        <v>1</v>
      </c>
      <c r="G202" t="s">
        <v>13</v>
      </c>
      <c r="H202" t="s">
        <v>82</v>
      </c>
      <c r="I202" t="s">
        <v>65</v>
      </c>
      <c r="J202" s="1">
        <v>44064</v>
      </c>
      <c r="K202" t="s">
        <v>71</v>
      </c>
      <c r="L202" t="s">
        <v>138</v>
      </c>
      <c r="M202" t="s">
        <v>1479</v>
      </c>
      <c r="N202">
        <v>2020</v>
      </c>
    </row>
    <row r="203" spans="1:14" x14ac:dyDescent="0.25">
      <c r="A203" t="s">
        <v>277</v>
      </c>
      <c r="B203" t="s">
        <v>279</v>
      </c>
      <c r="C203">
        <v>8346</v>
      </c>
      <c r="D203">
        <v>1176</v>
      </c>
      <c r="E203" s="5">
        <v>0.140905823148814</v>
      </c>
      <c r="F203">
        <v>1</v>
      </c>
      <c r="G203" t="s">
        <v>13</v>
      </c>
      <c r="H203" t="s">
        <v>82</v>
      </c>
      <c r="I203" t="s">
        <v>65</v>
      </c>
      <c r="J203" s="1">
        <v>45033</v>
      </c>
      <c r="K203" t="s">
        <v>21</v>
      </c>
      <c r="L203" t="s">
        <v>22</v>
      </c>
      <c r="M203" t="s">
        <v>1481</v>
      </c>
      <c r="N203">
        <v>2023</v>
      </c>
    </row>
    <row r="204" spans="1:14" x14ac:dyDescent="0.25">
      <c r="A204" t="s">
        <v>277</v>
      </c>
      <c r="B204" t="s">
        <v>280</v>
      </c>
      <c r="C204">
        <v>8346</v>
      </c>
      <c r="D204">
        <v>1176</v>
      </c>
      <c r="E204" s="5">
        <v>0.140905823148814</v>
      </c>
      <c r="F204">
        <v>1</v>
      </c>
      <c r="G204" t="s">
        <v>13</v>
      </c>
      <c r="H204" t="s">
        <v>82</v>
      </c>
      <c r="I204" t="s">
        <v>65</v>
      </c>
      <c r="J204" s="1">
        <v>45284</v>
      </c>
      <c r="K204" t="s">
        <v>42</v>
      </c>
      <c r="L204" t="s">
        <v>92</v>
      </c>
      <c r="M204" t="s">
        <v>1471</v>
      </c>
      <c r="N204">
        <v>2023</v>
      </c>
    </row>
    <row r="205" spans="1:14" x14ac:dyDescent="0.25">
      <c r="A205" t="s">
        <v>277</v>
      </c>
      <c r="B205" t="s">
        <v>278</v>
      </c>
      <c r="C205">
        <v>6218</v>
      </c>
      <c r="D205">
        <v>1125</v>
      </c>
      <c r="E205" s="5">
        <v>0.18092634287552301</v>
      </c>
      <c r="F205">
        <v>5</v>
      </c>
      <c r="G205" t="s">
        <v>45</v>
      </c>
      <c r="H205" t="s">
        <v>46</v>
      </c>
      <c r="I205" t="s">
        <v>32</v>
      </c>
      <c r="J205" s="1">
        <v>44064</v>
      </c>
      <c r="K205" t="s">
        <v>71</v>
      </c>
      <c r="L205" t="s">
        <v>138</v>
      </c>
      <c r="M205" t="s">
        <v>1479</v>
      </c>
      <c r="N205">
        <v>2020</v>
      </c>
    </row>
    <row r="206" spans="1:14" x14ac:dyDescent="0.25">
      <c r="A206" t="s">
        <v>277</v>
      </c>
      <c r="B206" t="s">
        <v>279</v>
      </c>
      <c r="C206">
        <v>6218</v>
      </c>
      <c r="D206">
        <v>1125</v>
      </c>
      <c r="E206" s="5">
        <v>0.18092634287552301</v>
      </c>
      <c r="F206">
        <v>5</v>
      </c>
      <c r="G206" t="s">
        <v>45</v>
      </c>
      <c r="H206" t="s">
        <v>46</v>
      </c>
      <c r="I206" t="s">
        <v>32</v>
      </c>
      <c r="J206" s="1">
        <v>45033</v>
      </c>
      <c r="K206" t="s">
        <v>21</v>
      </c>
      <c r="L206" t="s">
        <v>22</v>
      </c>
      <c r="M206" t="s">
        <v>1481</v>
      </c>
      <c r="N206">
        <v>2023</v>
      </c>
    </row>
    <row r="207" spans="1:14" x14ac:dyDescent="0.25">
      <c r="A207" t="s">
        <v>277</v>
      </c>
      <c r="B207" t="s">
        <v>280</v>
      </c>
      <c r="C207">
        <v>6218</v>
      </c>
      <c r="D207">
        <v>1125</v>
      </c>
      <c r="E207" s="5">
        <v>0.18092634287552301</v>
      </c>
      <c r="F207">
        <v>5</v>
      </c>
      <c r="G207" t="s">
        <v>45</v>
      </c>
      <c r="H207" t="s">
        <v>46</v>
      </c>
      <c r="I207" t="s">
        <v>32</v>
      </c>
      <c r="J207" s="1">
        <v>45284</v>
      </c>
      <c r="K207" t="s">
        <v>42</v>
      </c>
      <c r="L207" t="s">
        <v>92</v>
      </c>
      <c r="M207" t="s">
        <v>1471</v>
      </c>
      <c r="N207">
        <v>2023</v>
      </c>
    </row>
    <row r="208" spans="1:14" x14ac:dyDescent="0.25">
      <c r="A208" t="s">
        <v>277</v>
      </c>
      <c r="B208" t="s">
        <v>278</v>
      </c>
      <c r="C208">
        <v>5167</v>
      </c>
      <c r="D208">
        <v>253</v>
      </c>
      <c r="E208" s="5">
        <v>4.8964582930133498E-2</v>
      </c>
      <c r="F208">
        <v>14</v>
      </c>
      <c r="G208" t="s">
        <v>13</v>
      </c>
      <c r="H208" t="s">
        <v>28</v>
      </c>
      <c r="I208" t="s">
        <v>47</v>
      </c>
      <c r="J208" s="1">
        <v>44064</v>
      </c>
      <c r="K208" t="s">
        <v>71</v>
      </c>
      <c r="L208" t="s">
        <v>138</v>
      </c>
      <c r="M208" t="s">
        <v>1479</v>
      </c>
      <c r="N208">
        <v>2020</v>
      </c>
    </row>
    <row r="209" spans="1:14" x14ac:dyDescent="0.25">
      <c r="A209" t="s">
        <v>277</v>
      </c>
      <c r="B209" t="s">
        <v>279</v>
      </c>
      <c r="C209">
        <v>5167</v>
      </c>
      <c r="D209">
        <v>253</v>
      </c>
      <c r="E209" s="5">
        <v>4.8964582930133498E-2</v>
      </c>
      <c r="F209">
        <v>14</v>
      </c>
      <c r="G209" t="s">
        <v>13</v>
      </c>
      <c r="H209" t="s">
        <v>28</v>
      </c>
      <c r="I209" t="s">
        <v>47</v>
      </c>
      <c r="J209" s="1">
        <v>45033</v>
      </c>
      <c r="K209" t="s">
        <v>21</v>
      </c>
      <c r="L209" t="s">
        <v>22</v>
      </c>
      <c r="M209" t="s">
        <v>1481</v>
      </c>
      <c r="N209">
        <v>2023</v>
      </c>
    </row>
    <row r="210" spans="1:14" x14ac:dyDescent="0.25">
      <c r="A210" t="s">
        <v>277</v>
      </c>
      <c r="B210" t="s">
        <v>280</v>
      </c>
      <c r="C210">
        <v>5167</v>
      </c>
      <c r="D210">
        <v>253</v>
      </c>
      <c r="E210" s="5">
        <v>4.8964582930133498E-2</v>
      </c>
      <c r="F210">
        <v>14</v>
      </c>
      <c r="G210" t="s">
        <v>13</v>
      </c>
      <c r="H210" t="s">
        <v>28</v>
      </c>
      <c r="I210" t="s">
        <v>47</v>
      </c>
      <c r="J210" s="1">
        <v>45284</v>
      </c>
      <c r="K210" t="s">
        <v>42</v>
      </c>
      <c r="L210" t="s">
        <v>92</v>
      </c>
      <c r="M210" t="s">
        <v>1471</v>
      </c>
      <c r="N210">
        <v>2023</v>
      </c>
    </row>
    <row r="211" spans="1:14" x14ac:dyDescent="0.25">
      <c r="A211" t="s">
        <v>277</v>
      </c>
      <c r="B211" t="s">
        <v>278</v>
      </c>
      <c r="C211">
        <v>2799</v>
      </c>
      <c r="D211">
        <v>1239</v>
      </c>
      <c r="E211" s="5">
        <v>0.44265809217577701</v>
      </c>
      <c r="F211">
        <v>5</v>
      </c>
      <c r="G211" t="s">
        <v>45</v>
      </c>
      <c r="H211" t="s">
        <v>60</v>
      </c>
      <c r="I211" t="s">
        <v>32</v>
      </c>
      <c r="J211" s="1">
        <v>44064</v>
      </c>
      <c r="K211" t="s">
        <v>71</v>
      </c>
      <c r="L211" t="s">
        <v>138</v>
      </c>
      <c r="M211" t="s">
        <v>1479</v>
      </c>
      <c r="N211">
        <v>2020</v>
      </c>
    </row>
    <row r="212" spans="1:14" x14ac:dyDescent="0.25">
      <c r="A212" t="s">
        <v>277</v>
      </c>
      <c r="B212" t="s">
        <v>279</v>
      </c>
      <c r="C212">
        <v>2799</v>
      </c>
      <c r="D212">
        <v>1239</v>
      </c>
      <c r="E212" s="5">
        <v>0.44265809217577701</v>
      </c>
      <c r="F212">
        <v>5</v>
      </c>
      <c r="G212" t="s">
        <v>45</v>
      </c>
      <c r="H212" t="s">
        <v>60</v>
      </c>
      <c r="I212" t="s">
        <v>32</v>
      </c>
      <c r="J212" s="1">
        <v>45033</v>
      </c>
      <c r="K212" t="s">
        <v>21</v>
      </c>
      <c r="L212" t="s">
        <v>22</v>
      </c>
      <c r="M212" t="s">
        <v>1481</v>
      </c>
      <c r="N212">
        <v>2023</v>
      </c>
    </row>
    <row r="213" spans="1:14" x14ac:dyDescent="0.25">
      <c r="A213" t="s">
        <v>277</v>
      </c>
      <c r="B213" t="s">
        <v>280</v>
      </c>
      <c r="C213">
        <v>2799</v>
      </c>
      <c r="D213">
        <v>1239</v>
      </c>
      <c r="E213" s="5">
        <v>0.44265809217577701</v>
      </c>
      <c r="F213">
        <v>5</v>
      </c>
      <c r="G213" t="s">
        <v>45</v>
      </c>
      <c r="H213" t="s">
        <v>60</v>
      </c>
      <c r="I213" t="s">
        <v>32</v>
      </c>
      <c r="J213" s="1">
        <v>45284</v>
      </c>
      <c r="K213" t="s">
        <v>42</v>
      </c>
      <c r="L213" t="s">
        <v>92</v>
      </c>
      <c r="M213" t="s">
        <v>1471</v>
      </c>
      <c r="N213">
        <v>2023</v>
      </c>
    </row>
    <row r="214" spans="1:14" x14ac:dyDescent="0.25">
      <c r="A214" t="s">
        <v>281</v>
      </c>
      <c r="B214" t="s">
        <v>282</v>
      </c>
      <c r="C214">
        <v>3234</v>
      </c>
      <c r="D214">
        <v>1029</v>
      </c>
      <c r="E214" s="5">
        <v>0.31818181818181801</v>
      </c>
      <c r="F214">
        <v>20</v>
      </c>
      <c r="G214" t="s">
        <v>30</v>
      </c>
      <c r="H214" t="s">
        <v>57</v>
      </c>
      <c r="I214" t="s">
        <v>47</v>
      </c>
      <c r="J214" s="1">
        <v>44640</v>
      </c>
      <c r="K214" t="s">
        <v>17</v>
      </c>
      <c r="L214" t="s">
        <v>18</v>
      </c>
      <c r="M214" t="s">
        <v>1476</v>
      </c>
      <c r="N214">
        <v>2022</v>
      </c>
    </row>
    <row r="215" spans="1:14" x14ac:dyDescent="0.25">
      <c r="A215" t="s">
        <v>283</v>
      </c>
      <c r="B215" t="s">
        <v>284</v>
      </c>
      <c r="C215">
        <v>4920</v>
      </c>
      <c r="D215">
        <v>775</v>
      </c>
      <c r="E215" s="5">
        <v>0.15752032520325199</v>
      </c>
      <c r="F215">
        <v>12</v>
      </c>
      <c r="G215" t="s">
        <v>45</v>
      </c>
      <c r="H215" t="s">
        <v>46</v>
      </c>
      <c r="I215" t="s">
        <v>32</v>
      </c>
      <c r="J215" s="1">
        <v>44420</v>
      </c>
      <c r="K215" t="s">
        <v>21</v>
      </c>
      <c r="L215" t="s">
        <v>63</v>
      </c>
      <c r="M215" t="s">
        <v>1479</v>
      </c>
      <c r="N215">
        <v>2021</v>
      </c>
    </row>
    <row r="216" spans="1:14" x14ac:dyDescent="0.25">
      <c r="A216" t="s">
        <v>283</v>
      </c>
      <c r="B216" t="s">
        <v>284</v>
      </c>
      <c r="C216">
        <v>9078</v>
      </c>
      <c r="D216">
        <v>2213</v>
      </c>
      <c r="E216" s="5">
        <v>0.243776162150253</v>
      </c>
      <c r="F216">
        <v>15</v>
      </c>
      <c r="G216" t="s">
        <v>45</v>
      </c>
      <c r="H216" t="s">
        <v>109</v>
      </c>
      <c r="I216" t="s">
        <v>40</v>
      </c>
      <c r="J216" s="1">
        <v>44420</v>
      </c>
      <c r="K216" t="s">
        <v>21</v>
      </c>
      <c r="L216" t="s">
        <v>63</v>
      </c>
      <c r="M216" t="s">
        <v>1479</v>
      </c>
      <c r="N216">
        <v>2021</v>
      </c>
    </row>
    <row r="217" spans="1:14" x14ac:dyDescent="0.25">
      <c r="A217" t="s">
        <v>285</v>
      </c>
      <c r="B217" t="s">
        <v>286</v>
      </c>
      <c r="C217">
        <v>8586</v>
      </c>
      <c r="D217">
        <v>3826</v>
      </c>
      <c r="E217" s="5">
        <v>0.44560913114372203</v>
      </c>
      <c r="F217">
        <v>7</v>
      </c>
      <c r="G217" t="s">
        <v>45</v>
      </c>
      <c r="H217" t="s">
        <v>109</v>
      </c>
      <c r="I217" t="s">
        <v>15</v>
      </c>
      <c r="J217" s="1">
        <v>44186</v>
      </c>
      <c r="K217" t="s">
        <v>17</v>
      </c>
      <c r="L217" t="s">
        <v>18</v>
      </c>
      <c r="M217" t="s">
        <v>1471</v>
      </c>
      <c r="N217">
        <v>2020</v>
      </c>
    </row>
    <row r="218" spans="1:14" x14ac:dyDescent="0.25">
      <c r="A218" t="s">
        <v>285</v>
      </c>
      <c r="B218" t="s">
        <v>288</v>
      </c>
      <c r="C218">
        <v>8586</v>
      </c>
      <c r="D218">
        <v>3826</v>
      </c>
      <c r="E218" s="5">
        <v>0.44560913114372203</v>
      </c>
      <c r="F218">
        <v>7</v>
      </c>
      <c r="G218" t="s">
        <v>45</v>
      </c>
      <c r="H218" t="s">
        <v>109</v>
      </c>
      <c r="I218" t="s">
        <v>15</v>
      </c>
      <c r="J218" s="1">
        <v>45114</v>
      </c>
      <c r="K218" t="s">
        <v>17</v>
      </c>
      <c r="L218" t="s">
        <v>150</v>
      </c>
      <c r="M218" t="s">
        <v>1472</v>
      </c>
      <c r="N218">
        <v>2023</v>
      </c>
    </row>
    <row r="219" spans="1:14" x14ac:dyDescent="0.25">
      <c r="A219" t="s">
        <v>289</v>
      </c>
      <c r="B219" t="s">
        <v>290</v>
      </c>
      <c r="C219">
        <v>5047</v>
      </c>
      <c r="D219">
        <v>2211</v>
      </c>
      <c r="E219" s="5">
        <v>0.43808202892807602</v>
      </c>
      <c r="F219">
        <v>13</v>
      </c>
      <c r="G219" t="s">
        <v>45</v>
      </c>
      <c r="H219" t="s">
        <v>60</v>
      </c>
      <c r="I219" t="s">
        <v>40</v>
      </c>
      <c r="J219" s="1">
        <v>45151</v>
      </c>
      <c r="K219" t="s">
        <v>42</v>
      </c>
      <c r="L219" t="s">
        <v>92</v>
      </c>
      <c r="M219" t="s">
        <v>1479</v>
      </c>
      <c r="N219">
        <v>2023</v>
      </c>
    </row>
    <row r="220" spans="1:14" x14ac:dyDescent="0.25">
      <c r="A220" t="s">
        <v>289</v>
      </c>
      <c r="B220" t="s">
        <v>291</v>
      </c>
      <c r="C220">
        <v>5047</v>
      </c>
      <c r="D220">
        <v>2211</v>
      </c>
      <c r="E220" s="5">
        <v>0.43808202892807602</v>
      </c>
      <c r="F220">
        <v>13</v>
      </c>
      <c r="G220" t="s">
        <v>45</v>
      </c>
      <c r="H220" t="s">
        <v>60</v>
      </c>
      <c r="I220" t="s">
        <v>40</v>
      </c>
      <c r="J220" s="1">
        <v>44231</v>
      </c>
      <c r="K220" t="s">
        <v>21</v>
      </c>
      <c r="L220" t="s">
        <v>22</v>
      </c>
      <c r="M220" t="s">
        <v>1477</v>
      </c>
      <c r="N220">
        <v>2021</v>
      </c>
    </row>
    <row r="221" spans="1:14" x14ac:dyDescent="0.25">
      <c r="A221" t="s">
        <v>289</v>
      </c>
      <c r="B221" t="s">
        <v>293</v>
      </c>
      <c r="C221">
        <v>5047</v>
      </c>
      <c r="D221">
        <v>2211</v>
      </c>
      <c r="E221" s="5">
        <v>0.43808202892807602</v>
      </c>
      <c r="F221">
        <v>13</v>
      </c>
      <c r="G221" t="s">
        <v>45</v>
      </c>
      <c r="H221" t="s">
        <v>60</v>
      </c>
      <c r="I221" t="s">
        <v>40</v>
      </c>
      <c r="J221" s="1">
        <v>44820</v>
      </c>
      <c r="K221" t="s">
        <v>21</v>
      </c>
      <c r="L221" t="s">
        <v>172</v>
      </c>
      <c r="M221" t="s">
        <v>1480</v>
      </c>
      <c r="N221">
        <v>2022</v>
      </c>
    </row>
    <row r="222" spans="1:14" x14ac:dyDescent="0.25">
      <c r="A222" t="s">
        <v>289</v>
      </c>
      <c r="B222" t="s">
        <v>294</v>
      </c>
      <c r="C222">
        <v>5047</v>
      </c>
      <c r="D222">
        <v>2211</v>
      </c>
      <c r="E222" s="5">
        <v>0.43808202892807602</v>
      </c>
      <c r="F222">
        <v>13</v>
      </c>
      <c r="G222" t="s">
        <v>45</v>
      </c>
      <c r="H222" t="s">
        <v>60</v>
      </c>
      <c r="I222" t="s">
        <v>40</v>
      </c>
      <c r="J222" s="1">
        <v>44687</v>
      </c>
      <c r="K222" t="s">
        <v>25</v>
      </c>
      <c r="L222" t="s">
        <v>26</v>
      </c>
      <c r="M222" t="s">
        <v>1473</v>
      </c>
      <c r="N222">
        <v>2022</v>
      </c>
    </row>
    <row r="223" spans="1:14" x14ac:dyDescent="0.25">
      <c r="A223" t="s">
        <v>295</v>
      </c>
      <c r="B223" t="s">
        <v>296</v>
      </c>
      <c r="C223">
        <v>3657</v>
      </c>
      <c r="D223">
        <v>163</v>
      </c>
      <c r="E223" s="5">
        <v>4.4572053595843597E-2</v>
      </c>
      <c r="F223">
        <v>1</v>
      </c>
      <c r="G223" t="s">
        <v>45</v>
      </c>
      <c r="H223" t="s">
        <v>60</v>
      </c>
      <c r="I223" t="s">
        <v>15</v>
      </c>
      <c r="J223" s="1">
        <v>44344</v>
      </c>
      <c r="K223" t="s">
        <v>42</v>
      </c>
      <c r="L223" t="s">
        <v>92</v>
      </c>
      <c r="M223" t="s">
        <v>1473</v>
      </c>
      <c r="N223">
        <v>2021</v>
      </c>
    </row>
    <row r="224" spans="1:14" x14ac:dyDescent="0.25">
      <c r="A224" t="s">
        <v>297</v>
      </c>
      <c r="B224" t="s">
        <v>298</v>
      </c>
      <c r="C224">
        <v>6471</v>
      </c>
      <c r="D224">
        <v>2842</v>
      </c>
      <c r="E224" s="5">
        <v>0.43919023334878698</v>
      </c>
      <c r="F224">
        <v>18</v>
      </c>
      <c r="G224" t="s">
        <v>13</v>
      </c>
      <c r="H224" t="s">
        <v>14</v>
      </c>
      <c r="I224" t="s">
        <v>15</v>
      </c>
      <c r="J224" s="1">
        <v>45491</v>
      </c>
      <c r="K224" t="s">
        <v>21</v>
      </c>
      <c r="L224" t="s">
        <v>172</v>
      </c>
      <c r="M224" t="s">
        <v>1472</v>
      </c>
      <c r="N224">
        <v>2024</v>
      </c>
    </row>
    <row r="225" spans="1:14" x14ac:dyDescent="0.25">
      <c r="A225" t="s">
        <v>299</v>
      </c>
      <c r="B225" t="s">
        <v>300</v>
      </c>
      <c r="C225">
        <v>949</v>
      </c>
      <c r="D225">
        <v>301</v>
      </c>
      <c r="E225" s="5">
        <v>0.31717597471022102</v>
      </c>
      <c r="F225">
        <v>9</v>
      </c>
      <c r="G225" t="s">
        <v>30</v>
      </c>
      <c r="H225" t="s">
        <v>78</v>
      </c>
      <c r="I225" t="s">
        <v>15</v>
      </c>
      <c r="J225" s="1">
        <v>45632</v>
      </c>
      <c r="K225" t="s">
        <v>98</v>
      </c>
      <c r="L225" t="s">
        <v>117</v>
      </c>
      <c r="M225" t="s">
        <v>1471</v>
      </c>
      <c r="N225">
        <v>2024</v>
      </c>
    </row>
    <row r="226" spans="1:14" x14ac:dyDescent="0.25">
      <c r="A226" t="s">
        <v>299</v>
      </c>
      <c r="B226" t="s">
        <v>300</v>
      </c>
      <c r="C226">
        <v>6823</v>
      </c>
      <c r="D226">
        <v>771</v>
      </c>
      <c r="E226" s="5">
        <v>0.113000146563095</v>
      </c>
      <c r="F226">
        <v>6</v>
      </c>
      <c r="G226" t="s">
        <v>30</v>
      </c>
      <c r="H226" t="s">
        <v>78</v>
      </c>
      <c r="I226" t="s">
        <v>40</v>
      </c>
      <c r="J226" s="1">
        <v>45632</v>
      </c>
      <c r="K226" t="s">
        <v>98</v>
      </c>
      <c r="L226" t="s">
        <v>117</v>
      </c>
      <c r="M226" t="s">
        <v>1471</v>
      </c>
      <c r="N226">
        <v>2024</v>
      </c>
    </row>
    <row r="227" spans="1:14" x14ac:dyDescent="0.25">
      <c r="A227" t="s">
        <v>299</v>
      </c>
      <c r="B227" t="s">
        <v>300</v>
      </c>
      <c r="C227">
        <v>4364</v>
      </c>
      <c r="D227">
        <v>831</v>
      </c>
      <c r="E227" s="5">
        <v>0.19042163153070599</v>
      </c>
      <c r="F227">
        <v>2</v>
      </c>
      <c r="G227" t="s">
        <v>45</v>
      </c>
      <c r="H227" t="s">
        <v>46</v>
      </c>
      <c r="I227" t="s">
        <v>40</v>
      </c>
      <c r="J227" s="1">
        <v>45632</v>
      </c>
      <c r="K227" t="s">
        <v>98</v>
      </c>
      <c r="L227" t="s">
        <v>117</v>
      </c>
      <c r="M227" t="s">
        <v>1471</v>
      </c>
      <c r="N227">
        <v>2024</v>
      </c>
    </row>
    <row r="228" spans="1:14" x14ac:dyDescent="0.25">
      <c r="A228" t="s">
        <v>301</v>
      </c>
      <c r="B228" t="s">
        <v>302</v>
      </c>
      <c r="C228">
        <v>6671</v>
      </c>
      <c r="D228">
        <v>2797</v>
      </c>
      <c r="E228" s="5">
        <v>0.419277469644731</v>
      </c>
      <c r="F228">
        <v>10</v>
      </c>
      <c r="G228" t="s">
        <v>13</v>
      </c>
      <c r="H228" t="s">
        <v>82</v>
      </c>
      <c r="I228" t="s">
        <v>15</v>
      </c>
      <c r="J228" s="1">
        <v>44907</v>
      </c>
      <c r="K228" t="s">
        <v>21</v>
      </c>
      <c r="L228" t="s">
        <v>172</v>
      </c>
      <c r="M228" t="s">
        <v>1471</v>
      </c>
      <c r="N228">
        <v>2022</v>
      </c>
    </row>
    <row r="229" spans="1:14" x14ac:dyDescent="0.25">
      <c r="A229" t="s">
        <v>303</v>
      </c>
      <c r="B229" t="s">
        <v>304</v>
      </c>
      <c r="C229">
        <v>7472</v>
      </c>
      <c r="D229">
        <v>1037</v>
      </c>
      <c r="E229" s="5">
        <v>0.13878479657387599</v>
      </c>
      <c r="F229">
        <v>3</v>
      </c>
      <c r="G229" t="s">
        <v>30</v>
      </c>
      <c r="H229" t="s">
        <v>64</v>
      </c>
      <c r="I229" t="s">
        <v>65</v>
      </c>
      <c r="J229" s="1">
        <v>44854</v>
      </c>
      <c r="K229" t="s">
        <v>21</v>
      </c>
      <c r="L229" t="s">
        <v>63</v>
      </c>
      <c r="M229" t="s">
        <v>1474</v>
      </c>
      <c r="N229">
        <v>2022</v>
      </c>
    </row>
    <row r="230" spans="1:14" x14ac:dyDescent="0.25">
      <c r="A230" t="s">
        <v>303</v>
      </c>
      <c r="B230" t="s">
        <v>304</v>
      </c>
      <c r="C230">
        <v>9548</v>
      </c>
      <c r="D230">
        <v>1806</v>
      </c>
      <c r="E230" s="5">
        <v>0.189149560117302</v>
      </c>
      <c r="F230">
        <v>9</v>
      </c>
      <c r="G230" t="s">
        <v>13</v>
      </c>
      <c r="H230" t="s">
        <v>28</v>
      </c>
      <c r="I230" t="s">
        <v>65</v>
      </c>
      <c r="J230" s="1">
        <v>44854</v>
      </c>
      <c r="K230" t="s">
        <v>21</v>
      </c>
      <c r="L230" t="s">
        <v>63</v>
      </c>
      <c r="M230" t="s">
        <v>1474</v>
      </c>
      <c r="N230">
        <v>2022</v>
      </c>
    </row>
    <row r="231" spans="1:14" x14ac:dyDescent="0.25">
      <c r="A231" t="s">
        <v>305</v>
      </c>
      <c r="B231" t="s">
        <v>306</v>
      </c>
      <c r="C231">
        <v>7759</v>
      </c>
      <c r="D231">
        <v>3741</v>
      </c>
      <c r="E231" s="5">
        <v>0.48214976156721201</v>
      </c>
      <c r="F231">
        <v>17</v>
      </c>
      <c r="G231" t="s">
        <v>13</v>
      </c>
      <c r="H231" t="s">
        <v>28</v>
      </c>
      <c r="I231" t="s">
        <v>15</v>
      </c>
      <c r="J231" s="1">
        <v>44279</v>
      </c>
      <c r="K231" t="s">
        <v>17</v>
      </c>
      <c r="L231" t="s">
        <v>18</v>
      </c>
      <c r="M231" t="s">
        <v>1476</v>
      </c>
      <c r="N231">
        <v>2021</v>
      </c>
    </row>
    <row r="232" spans="1:14" x14ac:dyDescent="0.25">
      <c r="A232" t="s">
        <v>305</v>
      </c>
      <c r="B232" t="s">
        <v>307</v>
      </c>
      <c r="C232">
        <v>7759</v>
      </c>
      <c r="D232">
        <v>3741</v>
      </c>
      <c r="E232" s="5">
        <v>0.48214976156721201</v>
      </c>
      <c r="F232">
        <v>17</v>
      </c>
      <c r="G232" t="s">
        <v>13</v>
      </c>
      <c r="H232" t="s">
        <v>28</v>
      </c>
      <c r="I232" t="s">
        <v>15</v>
      </c>
      <c r="J232" s="1">
        <v>45663</v>
      </c>
      <c r="K232" t="s">
        <v>71</v>
      </c>
      <c r="L232" t="s">
        <v>72</v>
      </c>
      <c r="M232" t="s">
        <v>1478</v>
      </c>
      <c r="N232">
        <v>2025</v>
      </c>
    </row>
    <row r="233" spans="1:14" x14ac:dyDescent="0.25">
      <c r="A233" t="s">
        <v>305</v>
      </c>
      <c r="B233" t="s">
        <v>306</v>
      </c>
      <c r="C233">
        <v>7521</v>
      </c>
      <c r="D233">
        <v>3457</v>
      </c>
      <c r="E233" s="5">
        <v>0.459646323627177</v>
      </c>
      <c r="F233">
        <v>16</v>
      </c>
      <c r="G233" t="s">
        <v>30</v>
      </c>
      <c r="H233" t="s">
        <v>57</v>
      </c>
      <c r="I233" t="s">
        <v>32</v>
      </c>
      <c r="J233" s="1">
        <v>44279</v>
      </c>
      <c r="K233" t="s">
        <v>17</v>
      </c>
      <c r="L233" t="s">
        <v>18</v>
      </c>
      <c r="M233" t="s">
        <v>1476</v>
      </c>
      <c r="N233">
        <v>2021</v>
      </c>
    </row>
    <row r="234" spans="1:14" x14ac:dyDescent="0.25">
      <c r="A234" t="s">
        <v>305</v>
      </c>
      <c r="B234" t="s">
        <v>307</v>
      </c>
      <c r="C234">
        <v>7521</v>
      </c>
      <c r="D234">
        <v>3457</v>
      </c>
      <c r="E234" s="5">
        <v>0.459646323627177</v>
      </c>
      <c r="F234">
        <v>16</v>
      </c>
      <c r="G234" t="s">
        <v>30</v>
      </c>
      <c r="H234" t="s">
        <v>57</v>
      </c>
      <c r="I234" t="s">
        <v>32</v>
      </c>
      <c r="J234" s="1">
        <v>45663</v>
      </c>
      <c r="K234" t="s">
        <v>71</v>
      </c>
      <c r="L234" t="s">
        <v>72</v>
      </c>
      <c r="M234" t="s">
        <v>1478</v>
      </c>
      <c r="N234">
        <v>2025</v>
      </c>
    </row>
    <row r="235" spans="1:14" x14ac:dyDescent="0.25">
      <c r="A235" t="s">
        <v>309</v>
      </c>
      <c r="B235" t="s">
        <v>310</v>
      </c>
      <c r="C235">
        <v>9704</v>
      </c>
      <c r="D235">
        <v>4339</v>
      </c>
      <c r="E235" s="5">
        <v>0.44713520197856599</v>
      </c>
      <c r="F235">
        <v>12</v>
      </c>
      <c r="G235" t="s">
        <v>30</v>
      </c>
      <c r="H235" t="s">
        <v>31</v>
      </c>
      <c r="I235" t="s">
        <v>65</v>
      </c>
      <c r="J235" s="1">
        <v>44261</v>
      </c>
      <c r="K235" t="s">
        <v>71</v>
      </c>
      <c r="L235" t="s">
        <v>138</v>
      </c>
      <c r="M235" t="s">
        <v>1476</v>
      </c>
      <c r="N235">
        <v>2021</v>
      </c>
    </row>
    <row r="236" spans="1:14" x14ac:dyDescent="0.25">
      <c r="A236" t="s">
        <v>309</v>
      </c>
      <c r="B236" t="s">
        <v>310</v>
      </c>
      <c r="C236">
        <v>4948</v>
      </c>
      <c r="D236">
        <v>2356</v>
      </c>
      <c r="E236" s="5">
        <v>0.476151980598222</v>
      </c>
      <c r="F236">
        <v>18</v>
      </c>
      <c r="G236" t="s">
        <v>13</v>
      </c>
      <c r="H236" t="s">
        <v>28</v>
      </c>
      <c r="I236" t="s">
        <v>32</v>
      </c>
      <c r="J236" s="1">
        <v>44261</v>
      </c>
      <c r="K236" t="s">
        <v>71</v>
      </c>
      <c r="L236" t="s">
        <v>138</v>
      </c>
      <c r="M236" t="s">
        <v>1476</v>
      </c>
      <c r="N236">
        <v>2021</v>
      </c>
    </row>
    <row r="237" spans="1:14" x14ac:dyDescent="0.25">
      <c r="A237" t="s">
        <v>309</v>
      </c>
      <c r="B237" t="s">
        <v>310</v>
      </c>
      <c r="C237">
        <v>6435</v>
      </c>
      <c r="D237">
        <v>334</v>
      </c>
      <c r="E237" s="5">
        <v>5.1903651903651898E-2</v>
      </c>
      <c r="F237">
        <v>10</v>
      </c>
      <c r="G237" t="s">
        <v>13</v>
      </c>
      <c r="H237" t="s">
        <v>14</v>
      </c>
      <c r="I237" t="s">
        <v>32</v>
      </c>
      <c r="J237" s="1">
        <v>44261</v>
      </c>
      <c r="K237" t="s">
        <v>71</v>
      </c>
      <c r="L237" t="s">
        <v>138</v>
      </c>
      <c r="M237" t="s">
        <v>1476</v>
      </c>
      <c r="N237">
        <v>2021</v>
      </c>
    </row>
    <row r="238" spans="1:14" x14ac:dyDescent="0.25">
      <c r="A238" t="s">
        <v>311</v>
      </c>
      <c r="B238" t="s">
        <v>312</v>
      </c>
      <c r="C238">
        <v>9965</v>
      </c>
      <c r="D238">
        <v>3033</v>
      </c>
      <c r="E238" s="5">
        <v>0.30436527847466099</v>
      </c>
      <c r="F238">
        <v>16</v>
      </c>
      <c r="G238" t="s">
        <v>30</v>
      </c>
      <c r="H238" t="s">
        <v>57</v>
      </c>
      <c r="I238" t="s">
        <v>65</v>
      </c>
      <c r="J238" s="1">
        <v>43999</v>
      </c>
      <c r="K238" t="s">
        <v>42</v>
      </c>
      <c r="L238" t="s">
        <v>92</v>
      </c>
      <c r="M238" t="s">
        <v>1470</v>
      </c>
      <c r="N238">
        <v>2020</v>
      </c>
    </row>
    <row r="239" spans="1:14" x14ac:dyDescent="0.25">
      <c r="A239" t="s">
        <v>311</v>
      </c>
      <c r="B239" t="s">
        <v>314</v>
      </c>
      <c r="C239">
        <v>9965</v>
      </c>
      <c r="D239">
        <v>3033</v>
      </c>
      <c r="E239" s="5">
        <v>0.30436527847466099</v>
      </c>
      <c r="F239">
        <v>16</v>
      </c>
      <c r="G239" t="s">
        <v>30</v>
      </c>
      <c r="H239" t="s">
        <v>57</v>
      </c>
      <c r="I239" t="s">
        <v>65</v>
      </c>
      <c r="J239" s="1">
        <v>45170</v>
      </c>
      <c r="K239" t="s">
        <v>25</v>
      </c>
      <c r="L239" t="s">
        <v>26</v>
      </c>
      <c r="M239" t="s">
        <v>1480</v>
      </c>
      <c r="N239">
        <v>2023</v>
      </c>
    </row>
    <row r="240" spans="1:14" x14ac:dyDescent="0.25">
      <c r="A240" t="s">
        <v>315</v>
      </c>
      <c r="B240" t="s">
        <v>316</v>
      </c>
      <c r="C240">
        <v>1523</v>
      </c>
      <c r="D240">
        <v>234</v>
      </c>
      <c r="E240" s="5">
        <v>0.15364412344057801</v>
      </c>
      <c r="F240">
        <v>3</v>
      </c>
      <c r="G240" t="s">
        <v>45</v>
      </c>
      <c r="H240" t="s">
        <v>60</v>
      </c>
      <c r="I240" t="s">
        <v>15</v>
      </c>
      <c r="J240" s="1">
        <v>45085</v>
      </c>
      <c r="K240" t="s">
        <v>25</v>
      </c>
      <c r="L240" t="s">
        <v>68</v>
      </c>
      <c r="M240" t="s">
        <v>1470</v>
      </c>
      <c r="N240">
        <v>2023</v>
      </c>
    </row>
    <row r="241" spans="1:14" x14ac:dyDescent="0.25">
      <c r="A241" t="s">
        <v>315</v>
      </c>
      <c r="B241" t="s">
        <v>316</v>
      </c>
      <c r="C241">
        <v>9073</v>
      </c>
      <c r="D241">
        <v>424</v>
      </c>
      <c r="E241" s="5">
        <v>4.6732062162460002E-2</v>
      </c>
      <c r="F241">
        <v>7</v>
      </c>
      <c r="G241" t="s">
        <v>13</v>
      </c>
      <c r="H241" t="s">
        <v>14</v>
      </c>
      <c r="I241" t="s">
        <v>32</v>
      </c>
      <c r="J241" s="1">
        <v>45085</v>
      </c>
      <c r="K241" t="s">
        <v>25</v>
      </c>
      <c r="L241" t="s">
        <v>68</v>
      </c>
      <c r="M241" t="s">
        <v>1470</v>
      </c>
      <c r="N241">
        <v>2023</v>
      </c>
    </row>
    <row r="242" spans="1:14" x14ac:dyDescent="0.25">
      <c r="A242" t="s">
        <v>317</v>
      </c>
      <c r="B242" t="s">
        <v>318</v>
      </c>
      <c r="C242">
        <v>6447</v>
      </c>
      <c r="D242">
        <v>3079</v>
      </c>
      <c r="E242" s="5">
        <v>0.47758647432914503</v>
      </c>
      <c r="F242">
        <v>20</v>
      </c>
      <c r="G242" t="s">
        <v>13</v>
      </c>
      <c r="H242" t="s">
        <v>39</v>
      </c>
      <c r="I242" t="s">
        <v>65</v>
      </c>
      <c r="J242" s="1">
        <v>44280</v>
      </c>
      <c r="K242" t="s">
        <v>25</v>
      </c>
      <c r="L242" t="s">
        <v>68</v>
      </c>
      <c r="M242" t="s">
        <v>1476</v>
      </c>
      <c r="N242">
        <v>2021</v>
      </c>
    </row>
    <row r="243" spans="1:14" x14ac:dyDescent="0.25">
      <c r="A243" t="s">
        <v>317</v>
      </c>
      <c r="B243" t="s">
        <v>318</v>
      </c>
      <c r="C243">
        <v>8947</v>
      </c>
      <c r="D243">
        <v>2807</v>
      </c>
      <c r="E243" s="5">
        <v>0.313736447971387</v>
      </c>
      <c r="F243">
        <v>6</v>
      </c>
      <c r="G243" t="s">
        <v>13</v>
      </c>
      <c r="H243" t="s">
        <v>14</v>
      </c>
      <c r="I243" t="s">
        <v>47</v>
      </c>
      <c r="J243" s="1">
        <v>44280</v>
      </c>
      <c r="K243" t="s">
        <v>25</v>
      </c>
      <c r="L243" t="s">
        <v>68</v>
      </c>
      <c r="M243" t="s">
        <v>1476</v>
      </c>
      <c r="N243">
        <v>2021</v>
      </c>
    </row>
    <row r="244" spans="1:14" x14ac:dyDescent="0.25">
      <c r="A244" t="s">
        <v>319</v>
      </c>
      <c r="B244" t="s">
        <v>320</v>
      </c>
      <c r="C244">
        <v>914</v>
      </c>
      <c r="D244">
        <v>400</v>
      </c>
      <c r="E244" s="5">
        <v>0.43763676148796499</v>
      </c>
      <c r="F244">
        <v>8</v>
      </c>
      <c r="G244" t="s">
        <v>30</v>
      </c>
      <c r="H244" t="s">
        <v>31</v>
      </c>
      <c r="I244" t="s">
        <v>32</v>
      </c>
      <c r="J244" s="1">
        <v>44199</v>
      </c>
      <c r="K244" t="s">
        <v>42</v>
      </c>
      <c r="L244" t="s">
        <v>43</v>
      </c>
      <c r="M244" t="s">
        <v>1478</v>
      </c>
      <c r="N244">
        <v>2021</v>
      </c>
    </row>
    <row r="245" spans="1:14" x14ac:dyDescent="0.25">
      <c r="A245" t="s">
        <v>319</v>
      </c>
      <c r="B245" t="s">
        <v>320</v>
      </c>
      <c r="C245">
        <v>1548</v>
      </c>
      <c r="D245">
        <v>666</v>
      </c>
      <c r="E245" s="5">
        <v>0.43023255813953498</v>
      </c>
      <c r="F245">
        <v>3</v>
      </c>
      <c r="G245" t="s">
        <v>30</v>
      </c>
      <c r="H245" t="s">
        <v>64</v>
      </c>
      <c r="I245" t="s">
        <v>47</v>
      </c>
      <c r="J245" s="1">
        <v>44199</v>
      </c>
      <c r="K245" t="s">
        <v>42</v>
      </c>
      <c r="L245" t="s">
        <v>43</v>
      </c>
      <c r="M245" t="s">
        <v>1478</v>
      </c>
      <c r="N245">
        <v>2021</v>
      </c>
    </row>
    <row r="246" spans="1:14" x14ac:dyDescent="0.25">
      <c r="A246" t="s">
        <v>321</v>
      </c>
      <c r="B246" t="s">
        <v>322</v>
      </c>
      <c r="C246">
        <v>2759</v>
      </c>
      <c r="D246">
        <v>1149</v>
      </c>
      <c r="E246" s="5">
        <v>0.41645523740485701</v>
      </c>
      <c r="F246">
        <v>6</v>
      </c>
      <c r="G246" t="s">
        <v>45</v>
      </c>
      <c r="H246" t="s">
        <v>46</v>
      </c>
      <c r="I246" t="s">
        <v>47</v>
      </c>
      <c r="J246" s="1">
        <v>45653</v>
      </c>
      <c r="K246" t="s">
        <v>25</v>
      </c>
      <c r="L246" t="s">
        <v>51</v>
      </c>
      <c r="M246" t="s">
        <v>1471</v>
      </c>
      <c r="N246">
        <v>2024</v>
      </c>
    </row>
    <row r="247" spans="1:14" x14ac:dyDescent="0.25">
      <c r="A247" t="s">
        <v>323</v>
      </c>
      <c r="B247" t="s">
        <v>324</v>
      </c>
      <c r="C247">
        <v>1341</v>
      </c>
      <c r="D247">
        <v>615</v>
      </c>
      <c r="E247" s="5">
        <v>0.45861297539149898</v>
      </c>
      <c r="F247">
        <v>4</v>
      </c>
      <c r="G247" t="s">
        <v>13</v>
      </c>
      <c r="H247" t="s">
        <v>39</v>
      </c>
      <c r="I247" t="s">
        <v>15</v>
      </c>
      <c r="J247" s="1">
        <v>44785</v>
      </c>
      <c r="K247" t="s">
        <v>17</v>
      </c>
      <c r="L247" t="s">
        <v>34</v>
      </c>
      <c r="M247" t="s">
        <v>1479</v>
      </c>
      <c r="N247">
        <v>2022</v>
      </c>
    </row>
    <row r="248" spans="1:14" x14ac:dyDescent="0.25">
      <c r="A248" t="s">
        <v>325</v>
      </c>
      <c r="B248" t="s">
        <v>326</v>
      </c>
      <c r="C248">
        <v>9851</v>
      </c>
      <c r="D248">
        <v>2669</v>
      </c>
      <c r="E248" s="5">
        <v>0.27093696071464801</v>
      </c>
      <c r="F248">
        <v>19</v>
      </c>
      <c r="G248" t="s">
        <v>13</v>
      </c>
      <c r="H248" t="s">
        <v>14</v>
      </c>
      <c r="I248" t="s">
        <v>32</v>
      </c>
      <c r="J248" s="1">
        <v>44648</v>
      </c>
      <c r="K248" t="s">
        <v>98</v>
      </c>
      <c r="L248" t="s">
        <v>117</v>
      </c>
      <c r="M248" t="s">
        <v>1476</v>
      </c>
      <c r="N248">
        <v>2022</v>
      </c>
    </row>
    <row r="249" spans="1:14" x14ac:dyDescent="0.25">
      <c r="A249" t="s">
        <v>325</v>
      </c>
      <c r="B249" t="s">
        <v>327</v>
      </c>
      <c r="C249">
        <v>9851</v>
      </c>
      <c r="D249">
        <v>2669</v>
      </c>
      <c r="E249" s="5">
        <v>0.27093696071464801</v>
      </c>
      <c r="F249">
        <v>19</v>
      </c>
      <c r="G249" t="s">
        <v>13</v>
      </c>
      <c r="H249" t="s">
        <v>14</v>
      </c>
      <c r="I249" t="s">
        <v>32</v>
      </c>
      <c r="J249" s="1">
        <v>45122</v>
      </c>
      <c r="K249" t="s">
        <v>25</v>
      </c>
      <c r="L249" t="s">
        <v>26</v>
      </c>
      <c r="M249" t="s">
        <v>1472</v>
      </c>
      <c r="N249">
        <v>2023</v>
      </c>
    </row>
    <row r="250" spans="1:14" x14ac:dyDescent="0.25">
      <c r="A250" t="s">
        <v>325</v>
      </c>
      <c r="B250" t="s">
        <v>328</v>
      </c>
      <c r="C250">
        <v>9851</v>
      </c>
      <c r="D250">
        <v>2669</v>
      </c>
      <c r="E250" s="5">
        <v>0.27093696071464801</v>
      </c>
      <c r="F250">
        <v>19</v>
      </c>
      <c r="G250" t="s">
        <v>13</v>
      </c>
      <c r="H250" t="s">
        <v>14</v>
      </c>
      <c r="I250" t="s">
        <v>32</v>
      </c>
      <c r="J250" s="1">
        <v>44826</v>
      </c>
      <c r="K250" t="s">
        <v>17</v>
      </c>
      <c r="L250" t="s">
        <v>34</v>
      </c>
      <c r="M250" t="s">
        <v>1480</v>
      </c>
      <c r="N250">
        <v>2022</v>
      </c>
    </row>
    <row r="251" spans="1:14" x14ac:dyDescent="0.25">
      <c r="A251" t="s">
        <v>325</v>
      </c>
      <c r="B251" t="s">
        <v>326</v>
      </c>
      <c r="C251">
        <v>9989</v>
      </c>
      <c r="D251">
        <v>3930</v>
      </c>
      <c r="E251" s="5">
        <v>0.39343277605365901</v>
      </c>
      <c r="F251">
        <v>14</v>
      </c>
      <c r="G251" t="s">
        <v>45</v>
      </c>
      <c r="H251" t="s">
        <v>46</v>
      </c>
      <c r="I251" t="s">
        <v>32</v>
      </c>
      <c r="J251" s="1">
        <v>44648</v>
      </c>
      <c r="K251" t="s">
        <v>98</v>
      </c>
      <c r="L251" t="s">
        <v>117</v>
      </c>
      <c r="M251" t="s">
        <v>1476</v>
      </c>
      <c r="N251">
        <v>2022</v>
      </c>
    </row>
    <row r="252" spans="1:14" x14ac:dyDescent="0.25">
      <c r="A252" t="s">
        <v>325</v>
      </c>
      <c r="B252" t="s">
        <v>327</v>
      </c>
      <c r="C252">
        <v>9989</v>
      </c>
      <c r="D252">
        <v>3930</v>
      </c>
      <c r="E252" s="5">
        <v>0.39343277605365901</v>
      </c>
      <c r="F252">
        <v>14</v>
      </c>
      <c r="G252" t="s">
        <v>45</v>
      </c>
      <c r="H252" t="s">
        <v>46</v>
      </c>
      <c r="I252" t="s">
        <v>32</v>
      </c>
      <c r="J252" s="1">
        <v>45122</v>
      </c>
      <c r="K252" t="s">
        <v>25</v>
      </c>
      <c r="L252" t="s">
        <v>26</v>
      </c>
      <c r="M252" t="s">
        <v>1472</v>
      </c>
      <c r="N252">
        <v>2023</v>
      </c>
    </row>
    <row r="253" spans="1:14" x14ac:dyDescent="0.25">
      <c r="A253" t="s">
        <v>325</v>
      </c>
      <c r="B253" t="s">
        <v>328</v>
      </c>
      <c r="C253">
        <v>9989</v>
      </c>
      <c r="D253">
        <v>3930</v>
      </c>
      <c r="E253" s="5">
        <v>0.39343277605365901</v>
      </c>
      <c r="F253">
        <v>14</v>
      </c>
      <c r="G253" t="s">
        <v>45</v>
      </c>
      <c r="H253" t="s">
        <v>46</v>
      </c>
      <c r="I253" t="s">
        <v>32</v>
      </c>
      <c r="J253" s="1">
        <v>44826</v>
      </c>
      <c r="K253" t="s">
        <v>17</v>
      </c>
      <c r="L253" t="s">
        <v>34</v>
      </c>
      <c r="M253" t="s">
        <v>1480</v>
      </c>
      <c r="N253">
        <v>2022</v>
      </c>
    </row>
    <row r="254" spans="1:14" x14ac:dyDescent="0.25">
      <c r="A254" t="s">
        <v>329</v>
      </c>
      <c r="B254" t="s">
        <v>330</v>
      </c>
      <c r="C254">
        <v>7421</v>
      </c>
      <c r="D254">
        <v>958</v>
      </c>
      <c r="E254" s="5">
        <v>0.12909311413556099</v>
      </c>
      <c r="F254">
        <v>10</v>
      </c>
      <c r="G254" t="s">
        <v>45</v>
      </c>
      <c r="H254" t="s">
        <v>46</v>
      </c>
      <c r="I254" t="s">
        <v>65</v>
      </c>
      <c r="J254" s="1">
        <v>44915</v>
      </c>
      <c r="K254" t="s">
        <v>71</v>
      </c>
      <c r="L254" t="s">
        <v>138</v>
      </c>
      <c r="M254" t="s">
        <v>1471</v>
      </c>
      <c r="N254">
        <v>2022</v>
      </c>
    </row>
    <row r="255" spans="1:14" x14ac:dyDescent="0.25">
      <c r="A255" t="s">
        <v>329</v>
      </c>
      <c r="B255" t="s">
        <v>331</v>
      </c>
      <c r="C255">
        <v>7421</v>
      </c>
      <c r="D255">
        <v>958</v>
      </c>
      <c r="E255" s="5">
        <v>0.12909311413556099</v>
      </c>
      <c r="F255">
        <v>10</v>
      </c>
      <c r="G255" t="s">
        <v>45</v>
      </c>
      <c r="H255" t="s">
        <v>46</v>
      </c>
      <c r="I255" t="s">
        <v>65</v>
      </c>
      <c r="J255" s="1">
        <v>44577</v>
      </c>
      <c r="K255" t="s">
        <v>71</v>
      </c>
      <c r="L255" t="s">
        <v>138</v>
      </c>
      <c r="M255" t="s">
        <v>1478</v>
      </c>
      <c r="N255">
        <v>2022</v>
      </c>
    </row>
    <row r="256" spans="1:14" x14ac:dyDescent="0.25">
      <c r="A256" t="s">
        <v>329</v>
      </c>
      <c r="B256" t="s">
        <v>332</v>
      </c>
      <c r="C256">
        <v>7421</v>
      </c>
      <c r="D256">
        <v>958</v>
      </c>
      <c r="E256" s="5">
        <v>0.12909311413556099</v>
      </c>
      <c r="F256">
        <v>10</v>
      </c>
      <c r="G256" t="s">
        <v>45</v>
      </c>
      <c r="H256" t="s">
        <v>46</v>
      </c>
      <c r="I256" t="s">
        <v>65</v>
      </c>
      <c r="J256" s="1">
        <v>44955</v>
      </c>
      <c r="K256" t="s">
        <v>71</v>
      </c>
      <c r="L256" t="s">
        <v>72</v>
      </c>
      <c r="M256" t="s">
        <v>1478</v>
      </c>
      <c r="N256">
        <v>2023</v>
      </c>
    </row>
    <row r="257" spans="1:14" x14ac:dyDescent="0.25">
      <c r="A257" t="s">
        <v>334</v>
      </c>
      <c r="B257" t="s">
        <v>335</v>
      </c>
      <c r="C257">
        <v>3099</v>
      </c>
      <c r="D257">
        <v>479</v>
      </c>
      <c r="E257" s="5">
        <v>0.15456598902871899</v>
      </c>
      <c r="F257">
        <v>1</v>
      </c>
      <c r="G257" t="s">
        <v>30</v>
      </c>
      <c r="H257" t="s">
        <v>64</v>
      </c>
      <c r="I257" t="s">
        <v>65</v>
      </c>
      <c r="J257" s="1">
        <v>44576</v>
      </c>
      <c r="K257" t="s">
        <v>25</v>
      </c>
      <c r="L257" t="s">
        <v>26</v>
      </c>
      <c r="M257" t="s">
        <v>1478</v>
      </c>
      <c r="N257">
        <v>2022</v>
      </c>
    </row>
    <row r="258" spans="1:14" x14ac:dyDescent="0.25">
      <c r="A258" t="s">
        <v>334</v>
      </c>
      <c r="B258" t="s">
        <v>335</v>
      </c>
      <c r="C258">
        <v>2521</v>
      </c>
      <c r="D258">
        <v>906</v>
      </c>
      <c r="E258" s="5">
        <v>0.35938119793732598</v>
      </c>
      <c r="F258">
        <v>7</v>
      </c>
      <c r="G258" t="s">
        <v>13</v>
      </c>
      <c r="H258" t="s">
        <v>82</v>
      </c>
      <c r="I258" t="s">
        <v>65</v>
      </c>
      <c r="J258" s="1">
        <v>44576</v>
      </c>
      <c r="K258" t="s">
        <v>25</v>
      </c>
      <c r="L258" t="s">
        <v>26</v>
      </c>
      <c r="M258" t="s">
        <v>1478</v>
      </c>
      <c r="N258">
        <v>2022</v>
      </c>
    </row>
    <row r="259" spans="1:14" x14ac:dyDescent="0.25">
      <c r="A259" t="s">
        <v>336</v>
      </c>
      <c r="B259" t="s">
        <v>337</v>
      </c>
      <c r="C259">
        <v>6962</v>
      </c>
      <c r="D259">
        <v>3429</v>
      </c>
      <c r="E259" s="5">
        <v>0.49253088193048</v>
      </c>
      <c r="F259">
        <v>12</v>
      </c>
      <c r="G259" t="s">
        <v>13</v>
      </c>
      <c r="H259" t="s">
        <v>14</v>
      </c>
      <c r="I259" t="s">
        <v>15</v>
      </c>
      <c r="J259" s="1">
        <v>45375</v>
      </c>
      <c r="K259" t="s">
        <v>71</v>
      </c>
      <c r="L259" t="s">
        <v>72</v>
      </c>
      <c r="M259" t="s">
        <v>1476</v>
      </c>
      <c r="N259">
        <v>2024</v>
      </c>
    </row>
    <row r="260" spans="1:14" x14ac:dyDescent="0.25">
      <c r="A260" t="s">
        <v>336</v>
      </c>
      <c r="B260" t="s">
        <v>339</v>
      </c>
      <c r="C260">
        <v>6962</v>
      </c>
      <c r="D260">
        <v>3429</v>
      </c>
      <c r="E260" s="5">
        <v>0.49253088193048</v>
      </c>
      <c r="F260">
        <v>12</v>
      </c>
      <c r="G260" t="s">
        <v>13</v>
      </c>
      <c r="H260" t="s">
        <v>14</v>
      </c>
      <c r="I260" t="s">
        <v>15</v>
      </c>
      <c r="J260" s="1">
        <v>45707</v>
      </c>
      <c r="K260" t="s">
        <v>17</v>
      </c>
      <c r="L260" t="s">
        <v>18</v>
      </c>
      <c r="M260" t="s">
        <v>1477</v>
      </c>
      <c r="N260">
        <v>2025</v>
      </c>
    </row>
    <row r="261" spans="1:14" x14ac:dyDescent="0.25">
      <c r="A261" t="s">
        <v>340</v>
      </c>
      <c r="B261" t="s">
        <v>341</v>
      </c>
      <c r="C261">
        <v>1085</v>
      </c>
      <c r="D261">
        <v>301</v>
      </c>
      <c r="E261" s="5">
        <v>0.27741935483871</v>
      </c>
      <c r="F261">
        <v>20</v>
      </c>
      <c r="G261" t="s">
        <v>45</v>
      </c>
      <c r="H261" t="s">
        <v>109</v>
      </c>
      <c r="I261" t="s">
        <v>15</v>
      </c>
      <c r="J261" s="1">
        <v>45486</v>
      </c>
      <c r="K261" t="s">
        <v>25</v>
      </c>
      <c r="L261" t="s">
        <v>26</v>
      </c>
      <c r="M261" t="s">
        <v>1472</v>
      </c>
      <c r="N261">
        <v>2024</v>
      </c>
    </row>
    <row r="262" spans="1:14" x14ac:dyDescent="0.25">
      <c r="A262" t="s">
        <v>342</v>
      </c>
      <c r="B262" t="s">
        <v>343</v>
      </c>
      <c r="C262">
        <v>738</v>
      </c>
      <c r="D262">
        <v>342</v>
      </c>
      <c r="E262" s="5">
        <v>0.46341463414634199</v>
      </c>
      <c r="F262">
        <v>2</v>
      </c>
      <c r="G262" t="s">
        <v>45</v>
      </c>
      <c r="H262" t="s">
        <v>49</v>
      </c>
      <c r="I262" t="s">
        <v>32</v>
      </c>
      <c r="J262" s="1">
        <v>45044</v>
      </c>
      <c r="K262" t="s">
        <v>98</v>
      </c>
      <c r="L262" t="s">
        <v>107</v>
      </c>
      <c r="M262" t="s">
        <v>1481</v>
      </c>
      <c r="N262">
        <v>2023</v>
      </c>
    </row>
    <row r="263" spans="1:14" x14ac:dyDescent="0.25">
      <c r="A263" t="s">
        <v>342</v>
      </c>
      <c r="B263" t="s">
        <v>344</v>
      </c>
      <c r="C263">
        <v>738</v>
      </c>
      <c r="D263">
        <v>342</v>
      </c>
      <c r="E263" s="5">
        <v>0.46341463414634199</v>
      </c>
      <c r="F263">
        <v>2</v>
      </c>
      <c r="G263" t="s">
        <v>45</v>
      </c>
      <c r="H263" t="s">
        <v>49</v>
      </c>
      <c r="I263" t="s">
        <v>32</v>
      </c>
      <c r="J263" s="1">
        <v>44170</v>
      </c>
      <c r="K263" t="s">
        <v>25</v>
      </c>
      <c r="L263" t="s">
        <v>26</v>
      </c>
      <c r="M263" t="s">
        <v>1471</v>
      </c>
      <c r="N263">
        <v>2020</v>
      </c>
    </row>
    <row r="264" spans="1:14" x14ac:dyDescent="0.25">
      <c r="A264" t="s">
        <v>342</v>
      </c>
      <c r="B264" t="s">
        <v>345</v>
      </c>
      <c r="C264">
        <v>738</v>
      </c>
      <c r="D264">
        <v>342</v>
      </c>
      <c r="E264" s="5">
        <v>0.46341463414634199</v>
      </c>
      <c r="F264">
        <v>2</v>
      </c>
      <c r="G264" t="s">
        <v>45</v>
      </c>
      <c r="H264" t="s">
        <v>49</v>
      </c>
      <c r="I264" t="s">
        <v>32</v>
      </c>
      <c r="J264" s="1">
        <v>45426</v>
      </c>
      <c r="K264" t="s">
        <v>98</v>
      </c>
      <c r="L264" t="s">
        <v>107</v>
      </c>
      <c r="M264" t="s">
        <v>1473</v>
      </c>
      <c r="N264">
        <v>2024</v>
      </c>
    </row>
    <row r="265" spans="1:14" x14ac:dyDescent="0.25">
      <c r="A265" t="s">
        <v>342</v>
      </c>
      <c r="B265" t="s">
        <v>346</v>
      </c>
      <c r="C265">
        <v>738</v>
      </c>
      <c r="D265">
        <v>342</v>
      </c>
      <c r="E265" s="5">
        <v>0.46341463414634199</v>
      </c>
      <c r="F265">
        <v>2</v>
      </c>
      <c r="G265" t="s">
        <v>45</v>
      </c>
      <c r="H265" t="s">
        <v>49</v>
      </c>
      <c r="I265" t="s">
        <v>32</v>
      </c>
      <c r="J265" s="1">
        <v>44579</v>
      </c>
      <c r="K265" t="s">
        <v>25</v>
      </c>
      <c r="L265" t="s">
        <v>51</v>
      </c>
      <c r="M265" t="s">
        <v>1478</v>
      </c>
      <c r="N265">
        <v>2022</v>
      </c>
    </row>
    <row r="266" spans="1:14" x14ac:dyDescent="0.25">
      <c r="A266" t="s">
        <v>347</v>
      </c>
      <c r="B266" t="s">
        <v>348</v>
      </c>
      <c r="C266">
        <v>1366</v>
      </c>
      <c r="D266">
        <v>242</v>
      </c>
      <c r="E266" s="5">
        <v>0.17715959004392401</v>
      </c>
      <c r="F266">
        <v>17</v>
      </c>
      <c r="G266" t="s">
        <v>13</v>
      </c>
      <c r="H266" t="s">
        <v>14</v>
      </c>
      <c r="I266" t="s">
        <v>40</v>
      </c>
      <c r="J266" s="1">
        <v>45187</v>
      </c>
      <c r="K266" t="s">
        <v>98</v>
      </c>
      <c r="L266" t="s">
        <v>99</v>
      </c>
      <c r="M266" t="s">
        <v>1480</v>
      </c>
      <c r="N266">
        <v>2023</v>
      </c>
    </row>
    <row r="267" spans="1:14" x14ac:dyDescent="0.25">
      <c r="A267" t="s">
        <v>347</v>
      </c>
      <c r="B267" t="s">
        <v>348</v>
      </c>
      <c r="C267">
        <v>1518</v>
      </c>
      <c r="D267">
        <v>155</v>
      </c>
      <c r="E267" s="5">
        <v>0.102108036890646</v>
      </c>
      <c r="F267">
        <v>13</v>
      </c>
      <c r="G267" t="s">
        <v>30</v>
      </c>
      <c r="H267" t="s">
        <v>57</v>
      </c>
      <c r="I267" t="s">
        <v>47</v>
      </c>
      <c r="J267" s="1">
        <v>45187</v>
      </c>
      <c r="K267" t="s">
        <v>98</v>
      </c>
      <c r="L267" t="s">
        <v>99</v>
      </c>
      <c r="M267" t="s">
        <v>1480</v>
      </c>
      <c r="N267">
        <v>2023</v>
      </c>
    </row>
    <row r="268" spans="1:14" x14ac:dyDescent="0.25">
      <c r="A268" t="s">
        <v>349</v>
      </c>
      <c r="B268" t="s">
        <v>350</v>
      </c>
      <c r="C268">
        <v>2962</v>
      </c>
      <c r="D268">
        <v>1470</v>
      </c>
      <c r="E268" s="5">
        <v>0.49628629304524002</v>
      </c>
      <c r="F268">
        <v>1</v>
      </c>
      <c r="G268" t="s">
        <v>13</v>
      </c>
      <c r="H268" t="s">
        <v>82</v>
      </c>
      <c r="I268" t="s">
        <v>65</v>
      </c>
      <c r="J268" s="1">
        <v>44328</v>
      </c>
      <c r="K268" t="s">
        <v>25</v>
      </c>
      <c r="L268" t="s">
        <v>26</v>
      </c>
      <c r="M268" t="s">
        <v>1473</v>
      </c>
      <c r="N268">
        <v>2021</v>
      </c>
    </row>
    <row r="269" spans="1:14" x14ac:dyDescent="0.25">
      <c r="A269" t="s">
        <v>349</v>
      </c>
      <c r="B269" t="s">
        <v>351</v>
      </c>
      <c r="C269">
        <v>2962</v>
      </c>
      <c r="D269">
        <v>1470</v>
      </c>
      <c r="E269" s="5">
        <v>0.49628629304524002</v>
      </c>
      <c r="F269">
        <v>1</v>
      </c>
      <c r="G269" t="s">
        <v>13</v>
      </c>
      <c r="H269" t="s">
        <v>82</v>
      </c>
      <c r="I269" t="s">
        <v>65</v>
      </c>
      <c r="J269" s="1">
        <v>45186</v>
      </c>
      <c r="K269" t="s">
        <v>17</v>
      </c>
      <c r="L269" t="s">
        <v>150</v>
      </c>
      <c r="M269" t="s">
        <v>1480</v>
      </c>
      <c r="N269">
        <v>2023</v>
      </c>
    </row>
    <row r="270" spans="1:14" x14ac:dyDescent="0.25">
      <c r="A270" t="s">
        <v>349</v>
      </c>
      <c r="B270" t="s">
        <v>350</v>
      </c>
      <c r="C270">
        <v>7131</v>
      </c>
      <c r="D270">
        <v>718</v>
      </c>
      <c r="E270" s="5">
        <v>0.100687140653485</v>
      </c>
      <c r="F270">
        <v>12</v>
      </c>
      <c r="G270" t="s">
        <v>13</v>
      </c>
      <c r="H270" t="s">
        <v>28</v>
      </c>
      <c r="I270" t="s">
        <v>15</v>
      </c>
      <c r="J270" s="1">
        <v>44328</v>
      </c>
      <c r="K270" t="s">
        <v>25</v>
      </c>
      <c r="L270" t="s">
        <v>26</v>
      </c>
      <c r="M270" t="s">
        <v>1473</v>
      </c>
      <c r="N270">
        <v>2021</v>
      </c>
    </row>
    <row r="271" spans="1:14" x14ac:dyDescent="0.25">
      <c r="A271" t="s">
        <v>349</v>
      </c>
      <c r="B271" t="s">
        <v>351</v>
      </c>
      <c r="C271">
        <v>7131</v>
      </c>
      <c r="D271">
        <v>718</v>
      </c>
      <c r="E271" s="5">
        <v>0.100687140653485</v>
      </c>
      <c r="F271">
        <v>12</v>
      </c>
      <c r="G271" t="s">
        <v>13</v>
      </c>
      <c r="H271" t="s">
        <v>28</v>
      </c>
      <c r="I271" t="s">
        <v>15</v>
      </c>
      <c r="J271" s="1">
        <v>45186</v>
      </c>
      <c r="K271" t="s">
        <v>17</v>
      </c>
      <c r="L271" t="s">
        <v>150</v>
      </c>
      <c r="M271" t="s">
        <v>1480</v>
      </c>
      <c r="N271">
        <v>2023</v>
      </c>
    </row>
    <row r="272" spans="1:14" x14ac:dyDescent="0.25">
      <c r="A272" t="s">
        <v>349</v>
      </c>
      <c r="B272" t="s">
        <v>350</v>
      </c>
      <c r="C272">
        <v>4200</v>
      </c>
      <c r="D272">
        <v>855</v>
      </c>
      <c r="E272" s="5">
        <v>0.20357142857142899</v>
      </c>
      <c r="F272">
        <v>10</v>
      </c>
      <c r="G272" t="s">
        <v>30</v>
      </c>
      <c r="H272" t="s">
        <v>57</v>
      </c>
      <c r="I272" t="s">
        <v>40</v>
      </c>
      <c r="J272" s="1">
        <v>44328</v>
      </c>
      <c r="K272" t="s">
        <v>25</v>
      </c>
      <c r="L272" t="s">
        <v>26</v>
      </c>
      <c r="M272" t="s">
        <v>1473</v>
      </c>
      <c r="N272">
        <v>2021</v>
      </c>
    </row>
    <row r="273" spans="1:14" x14ac:dyDescent="0.25">
      <c r="A273" t="s">
        <v>349</v>
      </c>
      <c r="B273" t="s">
        <v>351</v>
      </c>
      <c r="C273">
        <v>4200</v>
      </c>
      <c r="D273">
        <v>855</v>
      </c>
      <c r="E273" s="5">
        <v>0.20357142857142899</v>
      </c>
      <c r="F273">
        <v>10</v>
      </c>
      <c r="G273" t="s">
        <v>30</v>
      </c>
      <c r="H273" t="s">
        <v>57</v>
      </c>
      <c r="I273" t="s">
        <v>40</v>
      </c>
      <c r="J273" s="1">
        <v>45186</v>
      </c>
      <c r="K273" t="s">
        <v>17</v>
      </c>
      <c r="L273" t="s">
        <v>150</v>
      </c>
      <c r="M273" t="s">
        <v>1480</v>
      </c>
      <c r="N273">
        <v>2023</v>
      </c>
    </row>
    <row r="274" spans="1:14" x14ac:dyDescent="0.25">
      <c r="A274" t="s">
        <v>352</v>
      </c>
      <c r="B274" t="s">
        <v>353</v>
      </c>
      <c r="C274">
        <v>5934</v>
      </c>
      <c r="D274">
        <v>1563</v>
      </c>
      <c r="E274" s="5">
        <v>0.26339737108190098</v>
      </c>
      <c r="F274">
        <v>2</v>
      </c>
      <c r="G274" t="s">
        <v>30</v>
      </c>
      <c r="H274" t="s">
        <v>57</v>
      </c>
      <c r="I274" t="s">
        <v>40</v>
      </c>
      <c r="J274" s="1">
        <v>45541</v>
      </c>
      <c r="K274" t="s">
        <v>21</v>
      </c>
      <c r="L274" t="s">
        <v>172</v>
      </c>
      <c r="M274" t="s">
        <v>1480</v>
      </c>
      <c r="N274">
        <v>2024</v>
      </c>
    </row>
    <row r="275" spans="1:14" x14ac:dyDescent="0.25">
      <c r="A275" t="s">
        <v>354</v>
      </c>
      <c r="B275" t="s">
        <v>355</v>
      </c>
      <c r="C275">
        <v>2701</v>
      </c>
      <c r="D275">
        <v>322</v>
      </c>
      <c r="E275" s="5">
        <v>0.119215105516475</v>
      </c>
      <c r="F275">
        <v>11</v>
      </c>
      <c r="G275" t="s">
        <v>13</v>
      </c>
      <c r="H275" t="s">
        <v>28</v>
      </c>
      <c r="I275" t="s">
        <v>15</v>
      </c>
      <c r="J275" s="1">
        <v>44730</v>
      </c>
      <c r="K275" t="s">
        <v>25</v>
      </c>
      <c r="L275" t="s">
        <v>51</v>
      </c>
      <c r="M275" t="s">
        <v>1470</v>
      </c>
      <c r="N275">
        <v>2022</v>
      </c>
    </row>
    <row r="276" spans="1:14" x14ac:dyDescent="0.25">
      <c r="A276" t="s">
        <v>354</v>
      </c>
      <c r="B276" t="s">
        <v>355</v>
      </c>
      <c r="C276">
        <v>7273</v>
      </c>
      <c r="D276">
        <v>2702</v>
      </c>
      <c r="E276" s="5">
        <v>0.37151106833493702</v>
      </c>
      <c r="F276">
        <v>18</v>
      </c>
      <c r="G276" t="s">
        <v>30</v>
      </c>
      <c r="H276" t="s">
        <v>64</v>
      </c>
      <c r="I276" t="s">
        <v>65</v>
      </c>
      <c r="J276" s="1">
        <v>44730</v>
      </c>
      <c r="K276" t="s">
        <v>25</v>
      </c>
      <c r="L276" t="s">
        <v>51</v>
      </c>
      <c r="M276" t="s">
        <v>1470</v>
      </c>
      <c r="N276">
        <v>2022</v>
      </c>
    </row>
    <row r="277" spans="1:14" x14ac:dyDescent="0.25">
      <c r="A277" t="s">
        <v>356</v>
      </c>
      <c r="B277" t="s">
        <v>357</v>
      </c>
      <c r="C277">
        <v>2465</v>
      </c>
      <c r="D277">
        <v>699</v>
      </c>
      <c r="E277" s="5">
        <v>0.28356997971602399</v>
      </c>
      <c r="F277">
        <v>18</v>
      </c>
      <c r="G277" t="s">
        <v>30</v>
      </c>
      <c r="H277" t="s">
        <v>57</v>
      </c>
      <c r="I277" t="s">
        <v>32</v>
      </c>
      <c r="J277" s="1">
        <v>43973</v>
      </c>
      <c r="K277" t="s">
        <v>42</v>
      </c>
      <c r="L277" t="s">
        <v>92</v>
      </c>
      <c r="M277" t="s">
        <v>1473</v>
      </c>
      <c r="N277">
        <v>2020</v>
      </c>
    </row>
    <row r="278" spans="1:14" x14ac:dyDescent="0.25">
      <c r="A278" t="s">
        <v>358</v>
      </c>
      <c r="B278" t="s">
        <v>359</v>
      </c>
      <c r="C278">
        <v>3479</v>
      </c>
      <c r="D278">
        <v>1087</v>
      </c>
      <c r="E278" s="5">
        <v>0.31244610520264399</v>
      </c>
      <c r="F278">
        <v>2</v>
      </c>
      <c r="G278" t="s">
        <v>30</v>
      </c>
      <c r="H278" t="s">
        <v>57</v>
      </c>
      <c r="I278" t="s">
        <v>40</v>
      </c>
      <c r="J278" s="1">
        <v>45582</v>
      </c>
      <c r="K278" t="s">
        <v>71</v>
      </c>
      <c r="L278" t="s">
        <v>72</v>
      </c>
      <c r="M278" t="s">
        <v>1474</v>
      </c>
      <c r="N278">
        <v>2024</v>
      </c>
    </row>
    <row r="279" spans="1:14" x14ac:dyDescent="0.25">
      <c r="A279" t="s">
        <v>358</v>
      </c>
      <c r="B279" t="s">
        <v>359</v>
      </c>
      <c r="C279">
        <v>5457</v>
      </c>
      <c r="D279">
        <v>1765</v>
      </c>
      <c r="E279" s="5">
        <v>0.323437786329485</v>
      </c>
      <c r="F279">
        <v>7</v>
      </c>
      <c r="G279" t="s">
        <v>13</v>
      </c>
      <c r="H279" t="s">
        <v>28</v>
      </c>
      <c r="I279" t="s">
        <v>40</v>
      </c>
      <c r="J279" s="1">
        <v>45582</v>
      </c>
      <c r="K279" t="s">
        <v>71</v>
      </c>
      <c r="L279" t="s">
        <v>72</v>
      </c>
      <c r="M279" t="s">
        <v>1474</v>
      </c>
      <c r="N279">
        <v>2024</v>
      </c>
    </row>
    <row r="280" spans="1:14" x14ac:dyDescent="0.25">
      <c r="A280" t="s">
        <v>361</v>
      </c>
      <c r="B280" t="s">
        <v>362</v>
      </c>
      <c r="C280">
        <v>4957</v>
      </c>
      <c r="D280">
        <v>1152</v>
      </c>
      <c r="E280" s="5">
        <v>0.23239862820254201</v>
      </c>
      <c r="F280">
        <v>8</v>
      </c>
      <c r="G280" t="s">
        <v>30</v>
      </c>
      <c r="H280" t="s">
        <v>57</v>
      </c>
      <c r="I280" t="s">
        <v>47</v>
      </c>
      <c r="J280" s="1">
        <v>44642</v>
      </c>
      <c r="K280" t="s">
        <v>98</v>
      </c>
      <c r="L280" t="s">
        <v>117</v>
      </c>
      <c r="M280" t="s">
        <v>1476</v>
      </c>
      <c r="N280">
        <v>2022</v>
      </c>
    </row>
    <row r="281" spans="1:14" x14ac:dyDescent="0.25">
      <c r="A281" t="s">
        <v>363</v>
      </c>
      <c r="B281" t="s">
        <v>364</v>
      </c>
      <c r="C281">
        <v>4404</v>
      </c>
      <c r="D281">
        <v>858</v>
      </c>
      <c r="E281" s="5">
        <v>0.19482288828337899</v>
      </c>
      <c r="F281">
        <v>17</v>
      </c>
      <c r="G281" t="s">
        <v>30</v>
      </c>
      <c r="H281" t="s">
        <v>31</v>
      </c>
      <c r="I281" t="s">
        <v>32</v>
      </c>
      <c r="J281" s="1">
        <v>45368</v>
      </c>
      <c r="K281" t="s">
        <v>98</v>
      </c>
      <c r="L281" t="s">
        <v>99</v>
      </c>
      <c r="M281" t="s">
        <v>1476</v>
      </c>
      <c r="N281">
        <v>2024</v>
      </c>
    </row>
    <row r="282" spans="1:14" x14ac:dyDescent="0.25">
      <c r="A282" t="s">
        <v>363</v>
      </c>
      <c r="B282" t="s">
        <v>364</v>
      </c>
      <c r="C282">
        <v>8776</v>
      </c>
      <c r="D282">
        <v>2529</v>
      </c>
      <c r="E282" s="5">
        <v>0.288172288058341</v>
      </c>
      <c r="F282">
        <v>15</v>
      </c>
      <c r="G282" t="s">
        <v>45</v>
      </c>
      <c r="H282" t="s">
        <v>60</v>
      </c>
      <c r="I282" t="s">
        <v>47</v>
      </c>
      <c r="J282" s="1">
        <v>45368</v>
      </c>
      <c r="K282" t="s">
        <v>98</v>
      </c>
      <c r="L282" t="s">
        <v>99</v>
      </c>
      <c r="M282" t="s">
        <v>1476</v>
      </c>
      <c r="N282">
        <v>2024</v>
      </c>
    </row>
    <row r="283" spans="1:14" x14ac:dyDescent="0.25">
      <c r="A283" t="s">
        <v>365</v>
      </c>
      <c r="B283" t="s">
        <v>366</v>
      </c>
      <c r="C283">
        <v>9536</v>
      </c>
      <c r="D283">
        <v>1437</v>
      </c>
      <c r="E283" s="5">
        <v>0.15069211409395999</v>
      </c>
      <c r="F283">
        <v>9</v>
      </c>
      <c r="G283" t="s">
        <v>13</v>
      </c>
      <c r="H283" t="s">
        <v>82</v>
      </c>
      <c r="I283" t="s">
        <v>15</v>
      </c>
      <c r="J283" s="1">
        <v>43923</v>
      </c>
      <c r="K283" t="s">
        <v>17</v>
      </c>
      <c r="L283" t="s">
        <v>34</v>
      </c>
      <c r="M283" t="s">
        <v>1481</v>
      </c>
      <c r="N283">
        <v>2020</v>
      </c>
    </row>
    <row r="284" spans="1:14" x14ac:dyDescent="0.25">
      <c r="A284" t="s">
        <v>365</v>
      </c>
      <c r="B284" t="s">
        <v>366</v>
      </c>
      <c r="C284">
        <v>2225</v>
      </c>
      <c r="D284">
        <v>589</v>
      </c>
      <c r="E284" s="5">
        <v>0.26471910112359498</v>
      </c>
      <c r="F284">
        <v>7</v>
      </c>
      <c r="G284" t="s">
        <v>45</v>
      </c>
      <c r="H284" t="s">
        <v>60</v>
      </c>
      <c r="I284" t="s">
        <v>47</v>
      </c>
      <c r="J284" s="1">
        <v>43923</v>
      </c>
      <c r="K284" t="s">
        <v>17</v>
      </c>
      <c r="L284" t="s">
        <v>34</v>
      </c>
      <c r="M284" t="s">
        <v>1481</v>
      </c>
      <c r="N284">
        <v>2020</v>
      </c>
    </row>
    <row r="285" spans="1:14" x14ac:dyDescent="0.25">
      <c r="A285" t="s">
        <v>367</v>
      </c>
      <c r="B285" t="s">
        <v>368</v>
      </c>
      <c r="C285">
        <v>9574</v>
      </c>
      <c r="D285">
        <v>4045</v>
      </c>
      <c r="E285" s="5">
        <v>0.42249843325673703</v>
      </c>
      <c r="F285">
        <v>19</v>
      </c>
      <c r="G285" t="s">
        <v>45</v>
      </c>
      <c r="H285" t="s">
        <v>109</v>
      </c>
      <c r="I285" t="s">
        <v>15</v>
      </c>
      <c r="J285" s="1">
        <v>45364</v>
      </c>
      <c r="K285" t="s">
        <v>42</v>
      </c>
      <c r="L285" t="s">
        <v>92</v>
      </c>
      <c r="M285" t="s">
        <v>1476</v>
      </c>
      <c r="N285">
        <v>2024</v>
      </c>
    </row>
    <row r="286" spans="1:14" x14ac:dyDescent="0.25">
      <c r="A286" t="s">
        <v>367</v>
      </c>
      <c r="B286" t="s">
        <v>368</v>
      </c>
      <c r="C286">
        <v>4382</v>
      </c>
      <c r="D286">
        <v>482</v>
      </c>
      <c r="E286" s="5">
        <v>0.10999543587403</v>
      </c>
      <c r="F286">
        <v>17</v>
      </c>
      <c r="G286" t="s">
        <v>13</v>
      </c>
      <c r="H286" t="s">
        <v>14</v>
      </c>
      <c r="I286" t="s">
        <v>65</v>
      </c>
      <c r="J286" s="1">
        <v>45364</v>
      </c>
      <c r="K286" t="s">
        <v>42</v>
      </c>
      <c r="L286" t="s">
        <v>92</v>
      </c>
      <c r="M286" t="s">
        <v>1476</v>
      </c>
      <c r="N286">
        <v>2024</v>
      </c>
    </row>
    <row r="287" spans="1:14" x14ac:dyDescent="0.25">
      <c r="A287" t="s">
        <v>369</v>
      </c>
      <c r="B287" t="s">
        <v>370</v>
      </c>
      <c r="C287">
        <v>8200</v>
      </c>
      <c r="D287">
        <v>257</v>
      </c>
      <c r="E287" s="5">
        <v>3.1341463414634098E-2</v>
      </c>
      <c r="F287">
        <v>19</v>
      </c>
      <c r="G287" t="s">
        <v>13</v>
      </c>
      <c r="H287" t="s">
        <v>39</v>
      </c>
      <c r="I287" t="s">
        <v>65</v>
      </c>
      <c r="J287" s="1">
        <v>45006</v>
      </c>
      <c r="K287" t="s">
        <v>98</v>
      </c>
      <c r="L287" t="s">
        <v>107</v>
      </c>
      <c r="M287" t="s">
        <v>1476</v>
      </c>
      <c r="N287">
        <v>2023</v>
      </c>
    </row>
    <row r="288" spans="1:14" x14ac:dyDescent="0.25">
      <c r="A288" t="s">
        <v>369</v>
      </c>
      <c r="B288" t="s">
        <v>370</v>
      </c>
      <c r="C288">
        <v>9316</v>
      </c>
      <c r="D288">
        <v>3003</v>
      </c>
      <c r="E288" s="5">
        <v>0.32234864748819197</v>
      </c>
      <c r="F288">
        <v>13</v>
      </c>
      <c r="G288" t="s">
        <v>45</v>
      </c>
      <c r="H288" t="s">
        <v>60</v>
      </c>
      <c r="I288" t="s">
        <v>47</v>
      </c>
      <c r="J288" s="1">
        <v>45006</v>
      </c>
      <c r="K288" t="s">
        <v>98</v>
      </c>
      <c r="L288" t="s">
        <v>107</v>
      </c>
      <c r="M288" t="s">
        <v>1476</v>
      </c>
      <c r="N288">
        <v>2023</v>
      </c>
    </row>
    <row r="289" spans="1:14" x14ac:dyDescent="0.25">
      <c r="A289" t="s">
        <v>369</v>
      </c>
      <c r="B289" t="s">
        <v>370</v>
      </c>
      <c r="C289">
        <v>6379</v>
      </c>
      <c r="D289">
        <v>3128</v>
      </c>
      <c r="E289" s="5">
        <v>0.49035899043737302</v>
      </c>
      <c r="F289">
        <v>15</v>
      </c>
      <c r="G289" t="s">
        <v>13</v>
      </c>
      <c r="H289" t="s">
        <v>14</v>
      </c>
      <c r="I289" t="s">
        <v>65</v>
      </c>
      <c r="J289" s="1">
        <v>45006</v>
      </c>
      <c r="K289" t="s">
        <v>98</v>
      </c>
      <c r="L289" t="s">
        <v>107</v>
      </c>
      <c r="M289" t="s">
        <v>1476</v>
      </c>
      <c r="N289">
        <v>2023</v>
      </c>
    </row>
    <row r="290" spans="1:14" x14ac:dyDescent="0.25">
      <c r="A290" t="s">
        <v>371</v>
      </c>
      <c r="B290" t="s">
        <v>372</v>
      </c>
      <c r="C290">
        <v>3348</v>
      </c>
      <c r="D290">
        <v>568</v>
      </c>
      <c r="E290" s="5">
        <v>0.169653524492234</v>
      </c>
      <c r="F290">
        <v>5</v>
      </c>
      <c r="G290" t="s">
        <v>30</v>
      </c>
      <c r="H290" t="s">
        <v>57</v>
      </c>
      <c r="I290" t="s">
        <v>47</v>
      </c>
      <c r="J290" s="1">
        <v>45353</v>
      </c>
      <c r="K290" t="s">
        <v>98</v>
      </c>
      <c r="L290" t="s">
        <v>117</v>
      </c>
      <c r="M290" t="s">
        <v>1476</v>
      </c>
      <c r="N290">
        <v>2024</v>
      </c>
    </row>
    <row r="291" spans="1:14" x14ac:dyDescent="0.25">
      <c r="A291" t="s">
        <v>371</v>
      </c>
      <c r="B291" t="s">
        <v>373</v>
      </c>
      <c r="C291">
        <v>3348</v>
      </c>
      <c r="D291">
        <v>568</v>
      </c>
      <c r="E291" s="5">
        <v>0.169653524492234</v>
      </c>
      <c r="F291">
        <v>5</v>
      </c>
      <c r="G291" t="s">
        <v>30</v>
      </c>
      <c r="H291" t="s">
        <v>57</v>
      </c>
      <c r="I291" t="s">
        <v>47</v>
      </c>
      <c r="J291" s="1">
        <v>44316</v>
      </c>
      <c r="K291" t="s">
        <v>25</v>
      </c>
      <c r="L291" t="s">
        <v>68</v>
      </c>
      <c r="M291" t="s">
        <v>1481</v>
      </c>
      <c r="N291">
        <v>2021</v>
      </c>
    </row>
    <row r="292" spans="1:14" x14ac:dyDescent="0.25">
      <c r="A292" t="s">
        <v>371</v>
      </c>
      <c r="B292" t="s">
        <v>372</v>
      </c>
      <c r="C292">
        <v>8856</v>
      </c>
      <c r="D292">
        <v>2020</v>
      </c>
      <c r="E292" s="5">
        <v>0.22809394760614299</v>
      </c>
      <c r="F292">
        <v>9</v>
      </c>
      <c r="G292" t="s">
        <v>30</v>
      </c>
      <c r="H292" t="s">
        <v>31</v>
      </c>
      <c r="I292" t="s">
        <v>32</v>
      </c>
      <c r="J292" s="1">
        <v>45353</v>
      </c>
      <c r="K292" t="s">
        <v>98</v>
      </c>
      <c r="L292" t="s">
        <v>117</v>
      </c>
      <c r="M292" t="s">
        <v>1476</v>
      </c>
      <c r="N292">
        <v>2024</v>
      </c>
    </row>
    <row r="293" spans="1:14" x14ac:dyDescent="0.25">
      <c r="A293" t="s">
        <v>371</v>
      </c>
      <c r="B293" t="s">
        <v>373</v>
      </c>
      <c r="C293">
        <v>8856</v>
      </c>
      <c r="D293">
        <v>2020</v>
      </c>
      <c r="E293" s="5">
        <v>0.22809394760614299</v>
      </c>
      <c r="F293">
        <v>9</v>
      </c>
      <c r="G293" t="s">
        <v>30</v>
      </c>
      <c r="H293" t="s">
        <v>31</v>
      </c>
      <c r="I293" t="s">
        <v>32</v>
      </c>
      <c r="J293" s="1">
        <v>44316</v>
      </c>
      <c r="K293" t="s">
        <v>25</v>
      </c>
      <c r="L293" t="s">
        <v>68</v>
      </c>
      <c r="M293" t="s">
        <v>1481</v>
      </c>
      <c r="N293">
        <v>2021</v>
      </c>
    </row>
    <row r="294" spans="1:14" x14ac:dyDescent="0.25">
      <c r="A294" t="s">
        <v>374</v>
      </c>
      <c r="B294" t="s">
        <v>375</v>
      </c>
      <c r="C294">
        <v>1760</v>
      </c>
      <c r="D294">
        <v>619</v>
      </c>
      <c r="E294" s="5">
        <v>0.35170454545454499</v>
      </c>
      <c r="F294">
        <v>16</v>
      </c>
      <c r="G294" t="s">
        <v>45</v>
      </c>
      <c r="H294" t="s">
        <v>60</v>
      </c>
      <c r="I294" t="s">
        <v>32</v>
      </c>
      <c r="J294" s="1">
        <v>44454</v>
      </c>
      <c r="K294" t="s">
        <v>98</v>
      </c>
      <c r="L294" t="s">
        <v>99</v>
      </c>
      <c r="M294" t="s">
        <v>1480</v>
      </c>
      <c r="N294">
        <v>2021</v>
      </c>
    </row>
    <row r="295" spans="1:14" x14ac:dyDescent="0.25">
      <c r="A295" t="s">
        <v>374</v>
      </c>
      <c r="B295" t="s">
        <v>376</v>
      </c>
      <c r="C295">
        <v>1760</v>
      </c>
      <c r="D295">
        <v>619</v>
      </c>
      <c r="E295" s="5">
        <v>0.35170454545454499</v>
      </c>
      <c r="F295">
        <v>16</v>
      </c>
      <c r="G295" t="s">
        <v>45</v>
      </c>
      <c r="H295" t="s">
        <v>60</v>
      </c>
      <c r="I295" t="s">
        <v>32</v>
      </c>
      <c r="J295" s="1">
        <v>44954</v>
      </c>
      <c r="K295" t="s">
        <v>71</v>
      </c>
      <c r="L295" t="s">
        <v>138</v>
      </c>
      <c r="M295" t="s">
        <v>1478</v>
      </c>
      <c r="N295">
        <v>2023</v>
      </c>
    </row>
    <row r="296" spans="1:14" x14ac:dyDescent="0.25">
      <c r="A296" t="s">
        <v>374</v>
      </c>
      <c r="B296" t="s">
        <v>375</v>
      </c>
      <c r="C296">
        <v>6351</v>
      </c>
      <c r="D296">
        <v>986</v>
      </c>
      <c r="E296" s="5">
        <v>0.15525114155251099</v>
      </c>
      <c r="F296">
        <v>15</v>
      </c>
      <c r="G296" t="s">
        <v>13</v>
      </c>
      <c r="H296" t="s">
        <v>28</v>
      </c>
      <c r="I296" t="s">
        <v>15</v>
      </c>
      <c r="J296" s="1">
        <v>44454</v>
      </c>
      <c r="K296" t="s">
        <v>98</v>
      </c>
      <c r="L296" t="s">
        <v>99</v>
      </c>
      <c r="M296" t="s">
        <v>1480</v>
      </c>
      <c r="N296">
        <v>2021</v>
      </c>
    </row>
    <row r="297" spans="1:14" x14ac:dyDescent="0.25">
      <c r="A297" t="s">
        <v>374</v>
      </c>
      <c r="B297" t="s">
        <v>376</v>
      </c>
      <c r="C297">
        <v>6351</v>
      </c>
      <c r="D297">
        <v>986</v>
      </c>
      <c r="E297" s="5">
        <v>0.15525114155251099</v>
      </c>
      <c r="F297">
        <v>15</v>
      </c>
      <c r="G297" t="s">
        <v>13</v>
      </c>
      <c r="H297" t="s">
        <v>28</v>
      </c>
      <c r="I297" t="s">
        <v>15</v>
      </c>
      <c r="J297" s="1">
        <v>44954</v>
      </c>
      <c r="K297" t="s">
        <v>71</v>
      </c>
      <c r="L297" t="s">
        <v>138</v>
      </c>
      <c r="M297" t="s">
        <v>1478</v>
      </c>
      <c r="N297">
        <v>2023</v>
      </c>
    </row>
    <row r="298" spans="1:14" x14ac:dyDescent="0.25">
      <c r="A298" t="s">
        <v>377</v>
      </c>
      <c r="B298" t="s">
        <v>378</v>
      </c>
      <c r="C298">
        <v>869</v>
      </c>
      <c r="D298">
        <v>373</v>
      </c>
      <c r="E298" s="5">
        <v>0.42922899884925197</v>
      </c>
      <c r="F298">
        <v>14</v>
      </c>
      <c r="G298" t="s">
        <v>30</v>
      </c>
      <c r="H298" t="s">
        <v>64</v>
      </c>
      <c r="I298" t="s">
        <v>47</v>
      </c>
      <c r="J298" s="1">
        <v>44385</v>
      </c>
      <c r="K298" t="s">
        <v>25</v>
      </c>
      <c r="L298" t="s">
        <v>51</v>
      </c>
      <c r="M298" t="s">
        <v>1472</v>
      </c>
      <c r="N298">
        <v>2021</v>
      </c>
    </row>
    <row r="299" spans="1:14" x14ac:dyDescent="0.25">
      <c r="A299" t="s">
        <v>377</v>
      </c>
      <c r="B299" t="s">
        <v>379</v>
      </c>
      <c r="C299">
        <v>869</v>
      </c>
      <c r="D299">
        <v>373</v>
      </c>
      <c r="E299" s="5">
        <v>0.42922899884925197</v>
      </c>
      <c r="F299">
        <v>14</v>
      </c>
      <c r="G299" t="s">
        <v>30</v>
      </c>
      <c r="H299" t="s">
        <v>64</v>
      </c>
      <c r="I299" t="s">
        <v>47</v>
      </c>
      <c r="J299" s="1">
        <v>43929</v>
      </c>
      <c r="K299" t="s">
        <v>98</v>
      </c>
      <c r="L299" t="s">
        <v>117</v>
      </c>
      <c r="M299" t="s">
        <v>1481</v>
      </c>
      <c r="N299">
        <v>2020</v>
      </c>
    </row>
    <row r="300" spans="1:14" x14ac:dyDescent="0.25">
      <c r="A300" t="s">
        <v>377</v>
      </c>
      <c r="B300" t="s">
        <v>378</v>
      </c>
      <c r="C300">
        <v>1486</v>
      </c>
      <c r="D300">
        <v>114</v>
      </c>
      <c r="E300" s="5">
        <v>7.6716016150740196E-2</v>
      </c>
      <c r="F300">
        <v>7</v>
      </c>
      <c r="G300" t="s">
        <v>45</v>
      </c>
      <c r="H300" t="s">
        <v>109</v>
      </c>
      <c r="I300" t="s">
        <v>15</v>
      </c>
      <c r="J300" s="1">
        <v>44385</v>
      </c>
      <c r="K300" t="s">
        <v>25</v>
      </c>
      <c r="L300" t="s">
        <v>51</v>
      </c>
      <c r="M300" t="s">
        <v>1472</v>
      </c>
      <c r="N300">
        <v>2021</v>
      </c>
    </row>
    <row r="301" spans="1:14" x14ac:dyDescent="0.25">
      <c r="A301" t="s">
        <v>377</v>
      </c>
      <c r="B301" t="s">
        <v>379</v>
      </c>
      <c r="C301">
        <v>1486</v>
      </c>
      <c r="D301">
        <v>114</v>
      </c>
      <c r="E301" s="5">
        <v>7.6716016150740196E-2</v>
      </c>
      <c r="F301">
        <v>7</v>
      </c>
      <c r="G301" t="s">
        <v>45</v>
      </c>
      <c r="H301" t="s">
        <v>109</v>
      </c>
      <c r="I301" t="s">
        <v>15</v>
      </c>
      <c r="J301" s="1">
        <v>43929</v>
      </c>
      <c r="K301" t="s">
        <v>98</v>
      </c>
      <c r="L301" t="s">
        <v>117</v>
      </c>
      <c r="M301" t="s">
        <v>1481</v>
      </c>
      <c r="N301">
        <v>2020</v>
      </c>
    </row>
    <row r="302" spans="1:14" x14ac:dyDescent="0.25">
      <c r="A302" t="s">
        <v>380</v>
      </c>
      <c r="B302" t="s">
        <v>381</v>
      </c>
      <c r="C302">
        <v>2999</v>
      </c>
      <c r="D302">
        <v>145</v>
      </c>
      <c r="E302" s="5">
        <v>4.8349449816605501E-2</v>
      </c>
      <c r="F302">
        <v>13</v>
      </c>
      <c r="G302" t="s">
        <v>30</v>
      </c>
      <c r="H302" t="s">
        <v>78</v>
      </c>
      <c r="I302" t="s">
        <v>65</v>
      </c>
      <c r="J302" s="1">
        <v>44796</v>
      </c>
      <c r="K302" t="s">
        <v>21</v>
      </c>
      <c r="L302" t="s">
        <v>22</v>
      </c>
      <c r="M302" t="s">
        <v>1479</v>
      </c>
      <c r="N302">
        <v>2022</v>
      </c>
    </row>
    <row r="303" spans="1:14" x14ac:dyDescent="0.25">
      <c r="A303" t="s">
        <v>380</v>
      </c>
      <c r="B303" t="s">
        <v>381</v>
      </c>
      <c r="C303">
        <v>5142</v>
      </c>
      <c r="D303">
        <v>1916</v>
      </c>
      <c r="E303" s="5">
        <v>0.37261765849863898</v>
      </c>
      <c r="F303">
        <v>20</v>
      </c>
      <c r="G303" t="s">
        <v>30</v>
      </c>
      <c r="H303" t="s">
        <v>64</v>
      </c>
      <c r="I303" t="s">
        <v>40</v>
      </c>
      <c r="J303" s="1">
        <v>44796</v>
      </c>
      <c r="K303" t="s">
        <v>21</v>
      </c>
      <c r="L303" t="s">
        <v>22</v>
      </c>
      <c r="M303" t="s">
        <v>1479</v>
      </c>
      <c r="N303">
        <v>2022</v>
      </c>
    </row>
    <row r="304" spans="1:14" x14ac:dyDescent="0.25">
      <c r="A304" t="s">
        <v>382</v>
      </c>
      <c r="B304" t="s">
        <v>383</v>
      </c>
      <c r="C304">
        <v>1239</v>
      </c>
      <c r="D304">
        <v>575</v>
      </c>
      <c r="E304" s="5">
        <v>0.46408393866021003</v>
      </c>
      <c r="F304">
        <v>17</v>
      </c>
      <c r="G304" t="s">
        <v>13</v>
      </c>
      <c r="H304" t="s">
        <v>39</v>
      </c>
      <c r="I304" t="s">
        <v>15</v>
      </c>
      <c r="J304" s="1">
        <v>44912</v>
      </c>
      <c r="K304" t="s">
        <v>25</v>
      </c>
      <c r="L304" t="s">
        <v>68</v>
      </c>
      <c r="M304" t="s">
        <v>1471</v>
      </c>
      <c r="N304">
        <v>2022</v>
      </c>
    </row>
    <row r="305" spans="1:14" x14ac:dyDescent="0.25">
      <c r="A305" t="s">
        <v>382</v>
      </c>
      <c r="B305" t="s">
        <v>384</v>
      </c>
      <c r="C305">
        <v>1239</v>
      </c>
      <c r="D305">
        <v>575</v>
      </c>
      <c r="E305" s="5">
        <v>0.46408393866021003</v>
      </c>
      <c r="F305">
        <v>17</v>
      </c>
      <c r="G305" t="s">
        <v>13</v>
      </c>
      <c r="H305" t="s">
        <v>39</v>
      </c>
      <c r="I305" t="s">
        <v>15</v>
      </c>
      <c r="J305" s="1">
        <v>44720</v>
      </c>
      <c r="K305" t="s">
        <v>21</v>
      </c>
      <c r="L305" t="s">
        <v>63</v>
      </c>
      <c r="M305" t="s">
        <v>1470</v>
      </c>
      <c r="N305">
        <v>2022</v>
      </c>
    </row>
    <row r="306" spans="1:14" x14ac:dyDescent="0.25">
      <c r="A306" t="s">
        <v>382</v>
      </c>
      <c r="B306" t="s">
        <v>383</v>
      </c>
      <c r="C306">
        <v>1262</v>
      </c>
      <c r="D306">
        <v>515</v>
      </c>
      <c r="E306" s="5">
        <v>0.40808240887480202</v>
      </c>
      <c r="F306">
        <v>16</v>
      </c>
      <c r="G306" t="s">
        <v>13</v>
      </c>
      <c r="H306" t="s">
        <v>14</v>
      </c>
      <c r="I306" t="s">
        <v>40</v>
      </c>
      <c r="J306" s="1">
        <v>44912</v>
      </c>
      <c r="K306" t="s">
        <v>25</v>
      </c>
      <c r="L306" t="s">
        <v>68</v>
      </c>
      <c r="M306" t="s">
        <v>1471</v>
      </c>
      <c r="N306">
        <v>2022</v>
      </c>
    </row>
    <row r="307" spans="1:14" x14ac:dyDescent="0.25">
      <c r="A307" t="s">
        <v>382</v>
      </c>
      <c r="B307" t="s">
        <v>384</v>
      </c>
      <c r="C307">
        <v>1262</v>
      </c>
      <c r="D307">
        <v>515</v>
      </c>
      <c r="E307" s="5">
        <v>0.40808240887480202</v>
      </c>
      <c r="F307">
        <v>16</v>
      </c>
      <c r="G307" t="s">
        <v>13</v>
      </c>
      <c r="H307" t="s">
        <v>14</v>
      </c>
      <c r="I307" t="s">
        <v>40</v>
      </c>
      <c r="J307" s="1">
        <v>44720</v>
      </c>
      <c r="K307" t="s">
        <v>21</v>
      </c>
      <c r="L307" t="s">
        <v>63</v>
      </c>
      <c r="M307" t="s">
        <v>1470</v>
      </c>
      <c r="N307">
        <v>2022</v>
      </c>
    </row>
    <row r="308" spans="1:14" x14ac:dyDescent="0.25">
      <c r="A308" t="s">
        <v>385</v>
      </c>
      <c r="B308" t="s">
        <v>386</v>
      </c>
      <c r="C308">
        <v>1033</v>
      </c>
      <c r="D308">
        <v>254</v>
      </c>
      <c r="E308" s="5">
        <v>0.24588576960309799</v>
      </c>
      <c r="F308">
        <v>5</v>
      </c>
      <c r="G308" t="s">
        <v>45</v>
      </c>
      <c r="H308" t="s">
        <v>109</v>
      </c>
      <c r="I308" t="s">
        <v>65</v>
      </c>
      <c r="J308" s="1">
        <v>44071</v>
      </c>
      <c r="K308" t="s">
        <v>25</v>
      </c>
      <c r="L308" t="s">
        <v>68</v>
      </c>
      <c r="M308" t="s">
        <v>1479</v>
      </c>
      <c r="N308">
        <v>2020</v>
      </c>
    </row>
    <row r="309" spans="1:14" x14ac:dyDescent="0.25">
      <c r="A309" t="s">
        <v>387</v>
      </c>
      <c r="B309" t="s">
        <v>388</v>
      </c>
      <c r="C309">
        <v>1518</v>
      </c>
      <c r="D309">
        <v>159</v>
      </c>
      <c r="E309" s="5">
        <v>0.10474308300395301</v>
      </c>
      <c r="F309">
        <v>19</v>
      </c>
      <c r="G309" t="s">
        <v>13</v>
      </c>
      <c r="H309" t="s">
        <v>28</v>
      </c>
      <c r="I309" t="s">
        <v>15</v>
      </c>
      <c r="J309" s="1">
        <v>44100</v>
      </c>
      <c r="K309" t="s">
        <v>42</v>
      </c>
      <c r="L309" t="s">
        <v>75</v>
      </c>
      <c r="M309" t="s">
        <v>1480</v>
      </c>
      <c r="N309">
        <v>2020</v>
      </c>
    </row>
    <row r="310" spans="1:14" x14ac:dyDescent="0.25">
      <c r="A310" t="s">
        <v>390</v>
      </c>
      <c r="B310" t="s">
        <v>391</v>
      </c>
      <c r="C310">
        <v>8581</v>
      </c>
      <c r="D310">
        <v>2444</v>
      </c>
      <c r="E310" s="5">
        <v>0.284815289593288</v>
      </c>
      <c r="F310">
        <v>2</v>
      </c>
      <c r="G310" t="s">
        <v>30</v>
      </c>
      <c r="H310" t="s">
        <v>64</v>
      </c>
      <c r="I310" t="s">
        <v>32</v>
      </c>
      <c r="J310" s="1">
        <v>44178</v>
      </c>
      <c r="K310" t="s">
        <v>21</v>
      </c>
      <c r="L310" t="s">
        <v>172</v>
      </c>
      <c r="M310" t="s">
        <v>1471</v>
      </c>
      <c r="N310">
        <v>2020</v>
      </c>
    </row>
    <row r="311" spans="1:14" x14ac:dyDescent="0.25">
      <c r="A311" t="s">
        <v>390</v>
      </c>
      <c r="B311" t="s">
        <v>392</v>
      </c>
      <c r="C311">
        <v>8581</v>
      </c>
      <c r="D311">
        <v>2444</v>
      </c>
      <c r="E311" s="5">
        <v>0.284815289593288</v>
      </c>
      <c r="F311">
        <v>2</v>
      </c>
      <c r="G311" t="s">
        <v>30</v>
      </c>
      <c r="H311" t="s">
        <v>64</v>
      </c>
      <c r="I311" t="s">
        <v>32</v>
      </c>
      <c r="J311" s="1">
        <v>44154</v>
      </c>
      <c r="K311" t="s">
        <v>17</v>
      </c>
      <c r="L311" t="s">
        <v>34</v>
      </c>
      <c r="M311" t="s">
        <v>1475</v>
      </c>
      <c r="N311">
        <v>2020</v>
      </c>
    </row>
    <row r="312" spans="1:14" x14ac:dyDescent="0.25">
      <c r="A312" t="s">
        <v>393</v>
      </c>
      <c r="B312" t="s">
        <v>394</v>
      </c>
      <c r="C312">
        <v>1167</v>
      </c>
      <c r="D312">
        <v>463</v>
      </c>
      <c r="E312" s="5">
        <v>0.39674378748928901</v>
      </c>
      <c r="F312">
        <v>5</v>
      </c>
      <c r="G312" t="s">
        <v>30</v>
      </c>
      <c r="H312" t="s">
        <v>31</v>
      </c>
      <c r="I312" t="s">
        <v>15</v>
      </c>
      <c r="J312" s="1">
        <v>45182</v>
      </c>
      <c r="K312" t="s">
        <v>71</v>
      </c>
      <c r="L312" t="s">
        <v>86</v>
      </c>
      <c r="M312" t="s">
        <v>1480</v>
      </c>
      <c r="N312">
        <v>2023</v>
      </c>
    </row>
    <row r="313" spans="1:14" x14ac:dyDescent="0.25">
      <c r="A313" t="s">
        <v>393</v>
      </c>
      <c r="B313" t="s">
        <v>394</v>
      </c>
      <c r="C313">
        <v>2841</v>
      </c>
      <c r="D313">
        <v>803</v>
      </c>
      <c r="E313" s="5">
        <v>0.28264695529743</v>
      </c>
      <c r="F313">
        <v>20</v>
      </c>
      <c r="G313" t="s">
        <v>13</v>
      </c>
      <c r="H313" t="s">
        <v>39</v>
      </c>
      <c r="I313" t="s">
        <v>47</v>
      </c>
      <c r="J313" s="1">
        <v>45182</v>
      </c>
      <c r="K313" t="s">
        <v>71</v>
      </c>
      <c r="L313" t="s">
        <v>86</v>
      </c>
      <c r="M313" t="s">
        <v>1480</v>
      </c>
      <c r="N313">
        <v>2023</v>
      </c>
    </row>
    <row r="314" spans="1:14" x14ac:dyDescent="0.25">
      <c r="A314" t="s">
        <v>393</v>
      </c>
      <c r="B314" t="s">
        <v>394</v>
      </c>
      <c r="C314">
        <v>5680</v>
      </c>
      <c r="D314">
        <v>2159</v>
      </c>
      <c r="E314" s="5">
        <v>0.38010563380281698</v>
      </c>
      <c r="F314">
        <v>19</v>
      </c>
      <c r="G314" t="s">
        <v>45</v>
      </c>
      <c r="H314" t="s">
        <v>46</v>
      </c>
      <c r="I314" t="s">
        <v>15</v>
      </c>
      <c r="J314" s="1">
        <v>45182</v>
      </c>
      <c r="K314" t="s">
        <v>71</v>
      </c>
      <c r="L314" t="s">
        <v>86</v>
      </c>
      <c r="M314" t="s">
        <v>1480</v>
      </c>
      <c r="N314">
        <v>2023</v>
      </c>
    </row>
    <row r="315" spans="1:14" x14ac:dyDescent="0.25">
      <c r="A315" t="s">
        <v>395</v>
      </c>
      <c r="B315" t="s">
        <v>396</v>
      </c>
      <c r="C315">
        <v>8204</v>
      </c>
      <c r="D315">
        <v>2382</v>
      </c>
      <c r="E315" s="5">
        <v>0.29034617259873202</v>
      </c>
      <c r="F315">
        <v>6</v>
      </c>
      <c r="G315" t="s">
        <v>30</v>
      </c>
      <c r="H315" t="s">
        <v>31</v>
      </c>
      <c r="I315" t="s">
        <v>15</v>
      </c>
      <c r="J315" s="1">
        <v>43921</v>
      </c>
      <c r="K315" t="s">
        <v>21</v>
      </c>
      <c r="L315" t="s">
        <v>22</v>
      </c>
      <c r="M315" t="s">
        <v>1476</v>
      </c>
      <c r="N315">
        <v>2020</v>
      </c>
    </row>
    <row r="316" spans="1:14" x14ac:dyDescent="0.25">
      <c r="A316" t="s">
        <v>395</v>
      </c>
      <c r="B316" t="s">
        <v>397</v>
      </c>
      <c r="C316">
        <v>8204</v>
      </c>
      <c r="D316">
        <v>2382</v>
      </c>
      <c r="E316" s="5">
        <v>0.29034617259873202</v>
      </c>
      <c r="F316">
        <v>6</v>
      </c>
      <c r="G316" t="s">
        <v>30</v>
      </c>
      <c r="H316" t="s">
        <v>31</v>
      </c>
      <c r="I316" t="s">
        <v>15</v>
      </c>
      <c r="J316" s="1">
        <v>44124</v>
      </c>
      <c r="K316" t="s">
        <v>25</v>
      </c>
      <c r="L316" t="s">
        <v>26</v>
      </c>
      <c r="M316" t="s">
        <v>1474</v>
      </c>
      <c r="N316">
        <v>2020</v>
      </c>
    </row>
    <row r="317" spans="1:14" x14ac:dyDescent="0.25">
      <c r="A317" t="s">
        <v>395</v>
      </c>
      <c r="B317" t="s">
        <v>396</v>
      </c>
      <c r="C317">
        <v>2850</v>
      </c>
      <c r="D317">
        <v>904</v>
      </c>
      <c r="E317" s="5">
        <v>0.31719298245614003</v>
      </c>
      <c r="F317">
        <v>6</v>
      </c>
      <c r="G317" t="s">
        <v>13</v>
      </c>
      <c r="H317" t="s">
        <v>82</v>
      </c>
      <c r="I317" t="s">
        <v>40</v>
      </c>
      <c r="J317" s="1">
        <v>43921</v>
      </c>
      <c r="K317" t="s">
        <v>21</v>
      </c>
      <c r="L317" t="s">
        <v>22</v>
      </c>
      <c r="M317" t="s">
        <v>1476</v>
      </c>
      <c r="N317">
        <v>2020</v>
      </c>
    </row>
    <row r="318" spans="1:14" x14ac:dyDescent="0.25">
      <c r="A318" t="s">
        <v>395</v>
      </c>
      <c r="B318" t="s">
        <v>397</v>
      </c>
      <c r="C318">
        <v>2850</v>
      </c>
      <c r="D318">
        <v>904</v>
      </c>
      <c r="E318" s="5">
        <v>0.31719298245614003</v>
      </c>
      <c r="F318">
        <v>6</v>
      </c>
      <c r="G318" t="s">
        <v>13</v>
      </c>
      <c r="H318" t="s">
        <v>82</v>
      </c>
      <c r="I318" t="s">
        <v>40</v>
      </c>
      <c r="J318" s="1">
        <v>44124</v>
      </c>
      <c r="K318" t="s">
        <v>25</v>
      </c>
      <c r="L318" t="s">
        <v>26</v>
      </c>
      <c r="M318" t="s">
        <v>1474</v>
      </c>
      <c r="N318">
        <v>2020</v>
      </c>
    </row>
    <row r="319" spans="1:14" x14ac:dyDescent="0.25">
      <c r="A319" t="s">
        <v>398</v>
      </c>
      <c r="B319" t="s">
        <v>399</v>
      </c>
      <c r="C319">
        <v>907</v>
      </c>
      <c r="D319">
        <v>391</v>
      </c>
      <c r="E319" s="5">
        <v>0.43109151047409</v>
      </c>
      <c r="F319">
        <v>9</v>
      </c>
      <c r="G319" t="s">
        <v>30</v>
      </c>
      <c r="H319" t="s">
        <v>31</v>
      </c>
      <c r="I319" t="s">
        <v>47</v>
      </c>
      <c r="J319" s="1">
        <v>45142</v>
      </c>
      <c r="K319" t="s">
        <v>25</v>
      </c>
      <c r="L319" t="s">
        <v>51</v>
      </c>
      <c r="M319" t="s">
        <v>1479</v>
      </c>
      <c r="N319">
        <v>2023</v>
      </c>
    </row>
    <row r="320" spans="1:14" x14ac:dyDescent="0.25">
      <c r="A320" t="s">
        <v>400</v>
      </c>
      <c r="B320" t="s">
        <v>401</v>
      </c>
      <c r="C320">
        <v>2174</v>
      </c>
      <c r="D320">
        <v>265</v>
      </c>
      <c r="E320" s="5">
        <v>0.121895124195032</v>
      </c>
      <c r="F320">
        <v>19</v>
      </c>
      <c r="G320" t="s">
        <v>30</v>
      </c>
      <c r="H320" t="s">
        <v>31</v>
      </c>
      <c r="I320" t="s">
        <v>47</v>
      </c>
      <c r="J320" s="1">
        <v>44662</v>
      </c>
      <c r="K320" t="s">
        <v>98</v>
      </c>
      <c r="L320" t="s">
        <v>107</v>
      </c>
      <c r="M320" t="s">
        <v>1481</v>
      </c>
      <c r="N320">
        <v>2022</v>
      </c>
    </row>
    <row r="321" spans="1:14" x14ac:dyDescent="0.25">
      <c r="A321" t="s">
        <v>400</v>
      </c>
      <c r="B321" t="s">
        <v>401</v>
      </c>
      <c r="C321">
        <v>8541</v>
      </c>
      <c r="D321">
        <v>2029</v>
      </c>
      <c r="E321" s="5">
        <v>0.237560004683292</v>
      </c>
      <c r="F321">
        <v>12</v>
      </c>
      <c r="G321" t="s">
        <v>13</v>
      </c>
      <c r="H321" t="s">
        <v>14</v>
      </c>
      <c r="I321" t="s">
        <v>47</v>
      </c>
      <c r="J321" s="1">
        <v>44662</v>
      </c>
      <c r="K321" t="s">
        <v>98</v>
      </c>
      <c r="L321" t="s">
        <v>107</v>
      </c>
      <c r="M321" t="s">
        <v>1481</v>
      </c>
      <c r="N321">
        <v>2022</v>
      </c>
    </row>
    <row r="322" spans="1:14" x14ac:dyDescent="0.25">
      <c r="A322" t="s">
        <v>400</v>
      </c>
      <c r="B322" t="s">
        <v>401</v>
      </c>
      <c r="C322">
        <v>1931</v>
      </c>
      <c r="D322">
        <v>551</v>
      </c>
      <c r="E322" s="5">
        <v>0.28534438114966298</v>
      </c>
      <c r="F322">
        <v>3</v>
      </c>
      <c r="G322" t="s">
        <v>45</v>
      </c>
      <c r="H322" t="s">
        <v>109</v>
      </c>
      <c r="I322" t="s">
        <v>40</v>
      </c>
      <c r="J322" s="1">
        <v>44662</v>
      </c>
      <c r="K322" t="s">
        <v>98</v>
      </c>
      <c r="L322" t="s">
        <v>107</v>
      </c>
      <c r="M322" t="s">
        <v>1481</v>
      </c>
      <c r="N322">
        <v>2022</v>
      </c>
    </row>
    <row r="323" spans="1:14" x14ac:dyDescent="0.25">
      <c r="A323" t="s">
        <v>402</v>
      </c>
      <c r="B323" t="s">
        <v>403</v>
      </c>
      <c r="C323">
        <v>1281</v>
      </c>
      <c r="D323">
        <v>340</v>
      </c>
      <c r="E323" s="5">
        <v>0.26541764246682298</v>
      </c>
      <c r="F323">
        <v>3</v>
      </c>
      <c r="G323" t="s">
        <v>13</v>
      </c>
      <c r="H323" t="s">
        <v>14</v>
      </c>
      <c r="I323" t="s">
        <v>32</v>
      </c>
      <c r="J323" s="1">
        <v>44561</v>
      </c>
      <c r="K323" t="s">
        <v>71</v>
      </c>
      <c r="L323" t="s">
        <v>86</v>
      </c>
      <c r="M323" t="s">
        <v>1471</v>
      </c>
      <c r="N323">
        <v>2021</v>
      </c>
    </row>
    <row r="324" spans="1:14" x14ac:dyDescent="0.25">
      <c r="A324" t="s">
        <v>402</v>
      </c>
      <c r="B324" t="s">
        <v>403</v>
      </c>
      <c r="C324">
        <v>2404</v>
      </c>
      <c r="D324">
        <v>253</v>
      </c>
      <c r="E324" s="5">
        <v>0.105241264559068</v>
      </c>
      <c r="F324">
        <v>15</v>
      </c>
      <c r="G324" t="s">
        <v>13</v>
      </c>
      <c r="H324" t="s">
        <v>39</v>
      </c>
      <c r="I324" t="s">
        <v>65</v>
      </c>
      <c r="J324" s="1">
        <v>44561</v>
      </c>
      <c r="K324" t="s">
        <v>71</v>
      </c>
      <c r="L324" t="s">
        <v>86</v>
      </c>
      <c r="M324" t="s">
        <v>1471</v>
      </c>
      <c r="N324">
        <v>2021</v>
      </c>
    </row>
    <row r="325" spans="1:14" x14ac:dyDescent="0.25">
      <c r="A325" t="s">
        <v>404</v>
      </c>
      <c r="B325" t="s">
        <v>405</v>
      </c>
      <c r="C325">
        <v>2119</v>
      </c>
      <c r="D325">
        <v>196</v>
      </c>
      <c r="E325" s="5">
        <v>9.2496460594620106E-2</v>
      </c>
      <c r="F325">
        <v>1</v>
      </c>
      <c r="G325" t="s">
        <v>45</v>
      </c>
      <c r="H325" t="s">
        <v>60</v>
      </c>
      <c r="I325" t="s">
        <v>65</v>
      </c>
      <c r="J325" s="1">
        <v>44059</v>
      </c>
      <c r="K325" t="s">
        <v>42</v>
      </c>
      <c r="L325" t="s">
        <v>43</v>
      </c>
      <c r="M325" t="s">
        <v>1479</v>
      </c>
      <c r="N325">
        <v>2020</v>
      </c>
    </row>
    <row r="326" spans="1:14" x14ac:dyDescent="0.25">
      <c r="A326" t="s">
        <v>406</v>
      </c>
      <c r="B326" t="s">
        <v>407</v>
      </c>
      <c r="C326">
        <v>3137</v>
      </c>
      <c r="D326">
        <v>571</v>
      </c>
      <c r="E326" s="5">
        <v>0.18202103920943599</v>
      </c>
      <c r="F326">
        <v>9</v>
      </c>
      <c r="G326" t="s">
        <v>30</v>
      </c>
      <c r="H326" t="s">
        <v>31</v>
      </c>
      <c r="I326" t="s">
        <v>32</v>
      </c>
      <c r="J326" s="1">
        <v>45690</v>
      </c>
      <c r="K326" t="s">
        <v>21</v>
      </c>
      <c r="L326" t="s">
        <v>22</v>
      </c>
      <c r="M326" t="s">
        <v>1477</v>
      </c>
      <c r="N326">
        <v>2025</v>
      </c>
    </row>
    <row r="327" spans="1:14" x14ac:dyDescent="0.25">
      <c r="A327" t="s">
        <v>408</v>
      </c>
      <c r="B327" t="s">
        <v>409</v>
      </c>
      <c r="C327">
        <v>2323</v>
      </c>
      <c r="D327">
        <v>727</v>
      </c>
      <c r="E327" s="5">
        <v>0.31295738269479101</v>
      </c>
      <c r="F327">
        <v>7</v>
      </c>
      <c r="G327" t="s">
        <v>45</v>
      </c>
      <c r="H327" t="s">
        <v>46</v>
      </c>
      <c r="I327" t="s">
        <v>65</v>
      </c>
      <c r="J327" s="1">
        <v>44616</v>
      </c>
      <c r="K327" t="s">
        <v>71</v>
      </c>
      <c r="L327" t="s">
        <v>72</v>
      </c>
      <c r="M327" t="s">
        <v>1477</v>
      </c>
      <c r="N327">
        <v>2022</v>
      </c>
    </row>
    <row r="328" spans="1:14" x14ac:dyDescent="0.25">
      <c r="A328" t="s">
        <v>408</v>
      </c>
      <c r="B328" t="s">
        <v>409</v>
      </c>
      <c r="C328">
        <v>1368</v>
      </c>
      <c r="D328">
        <v>406</v>
      </c>
      <c r="E328" s="5">
        <v>0.29678362573099398</v>
      </c>
      <c r="F328">
        <v>9</v>
      </c>
      <c r="G328" t="s">
        <v>45</v>
      </c>
      <c r="H328" t="s">
        <v>109</v>
      </c>
      <c r="I328" t="s">
        <v>15</v>
      </c>
      <c r="J328" s="1">
        <v>44616</v>
      </c>
      <c r="K328" t="s">
        <v>71</v>
      </c>
      <c r="L328" t="s">
        <v>72</v>
      </c>
      <c r="M328" t="s">
        <v>1477</v>
      </c>
      <c r="N328">
        <v>2022</v>
      </c>
    </row>
    <row r="329" spans="1:14" x14ac:dyDescent="0.25">
      <c r="A329" t="s">
        <v>410</v>
      </c>
      <c r="B329" t="s">
        <v>411</v>
      </c>
      <c r="C329">
        <v>9204</v>
      </c>
      <c r="D329">
        <v>3289</v>
      </c>
      <c r="E329" s="5">
        <v>0.35734463276836198</v>
      </c>
      <c r="F329">
        <v>16</v>
      </c>
      <c r="G329" t="s">
        <v>13</v>
      </c>
      <c r="H329" t="s">
        <v>39</v>
      </c>
      <c r="I329" t="s">
        <v>47</v>
      </c>
      <c r="J329" s="1">
        <v>45347</v>
      </c>
      <c r="K329" t="s">
        <v>17</v>
      </c>
      <c r="L329" t="s">
        <v>18</v>
      </c>
      <c r="M329" t="s">
        <v>1477</v>
      </c>
      <c r="N329">
        <v>2024</v>
      </c>
    </row>
    <row r="330" spans="1:14" x14ac:dyDescent="0.25">
      <c r="A330" t="s">
        <v>410</v>
      </c>
      <c r="B330" t="s">
        <v>412</v>
      </c>
      <c r="C330">
        <v>9204</v>
      </c>
      <c r="D330">
        <v>3289</v>
      </c>
      <c r="E330" s="5">
        <v>0.35734463276836198</v>
      </c>
      <c r="F330">
        <v>16</v>
      </c>
      <c r="G330" t="s">
        <v>13</v>
      </c>
      <c r="H330" t="s">
        <v>39</v>
      </c>
      <c r="I330" t="s">
        <v>47</v>
      </c>
      <c r="J330" s="1">
        <v>44362</v>
      </c>
      <c r="K330" t="s">
        <v>17</v>
      </c>
      <c r="L330" t="s">
        <v>18</v>
      </c>
      <c r="M330" t="s">
        <v>1470</v>
      </c>
      <c r="N330">
        <v>2021</v>
      </c>
    </row>
    <row r="331" spans="1:14" x14ac:dyDescent="0.25">
      <c r="A331" t="s">
        <v>410</v>
      </c>
      <c r="B331" t="s">
        <v>411</v>
      </c>
      <c r="C331">
        <v>9894</v>
      </c>
      <c r="D331">
        <v>3698</v>
      </c>
      <c r="E331" s="5">
        <v>0.37376187588437398</v>
      </c>
      <c r="F331">
        <v>20</v>
      </c>
      <c r="G331" t="s">
        <v>30</v>
      </c>
      <c r="H331" t="s">
        <v>64</v>
      </c>
      <c r="I331" t="s">
        <v>40</v>
      </c>
      <c r="J331" s="1">
        <v>45347</v>
      </c>
      <c r="K331" t="s">
        <v>17</v>
      </c>
      <c r="L331" t="s">
        <v>18</v>
      </c>
      <c r="M331" t="s">
        <v>1477</v>
      </c>
      <c r="N331">
        <v>2024</v>
      </c>
    </row>
    <row r="332" spans="1:14" x14ac:dyDescent="0.25">
      <c r="A332" t="s">
        <v>410</v>
      </c>
      <c r="B332" t="s">
        <v>412</v>
      </c>
      <c r="C332">
        <v>9894</v>
      </c>
      <c r="D332">
        <v>3698</v>
      </c>
      <c r="E332" s="5">
        <v>0.37376187588437398</v>
      </c>
      <c r="F332">
        <v>20</v>
      </c>
      <c r="G332" t="s">
        <v>30</v>
      </c>
      <c r="H332" t="s">
        <v>64</v>
      </c>
      <c r="I332" t="s">
        <v>40</v>
      </c>
      <c r="J332" s="1">
        <v>44362</v>
      </c>
      <c r="K332" t="s">
        <v>17</v>
      </c>
      <c r="L332" t="s">
        <v>18</v>
      </c>
      <c r="M332" t="s">
        <v>1470</v>
      </c>
      <c r="N332">
        <v>2021</v>
      </c>
    </row>
    <row r="333" spans="1:14" x14ac:dyDescent="0.25">
      <c r="A333" t="s">
        <v>413</v>
      </c>
      <c r="B333" t="s">
        <v>414</v>
      </c>
      <c r="C333">
        <v>5322</v>
      </c>
      <c r="D333">
        <v>1423</v>
      </c>
      <c r="E333" s="5">
        <v>0.26738068395340098</v>
      </c>
      <c r="F333">
        <v>18</v>
      </c>
      <c r="G333" t="s">
        <v>45</v>
      </c>
      <c r="H333" t="s">
        <v>60</v>
      </c>
      <c r="I333" t="s">
        <v>65</v>
      </c>
      <c r="J333" s="1">
        <v>44903</v>
      </c>
      <c r="K333" t="s">
        <v>71</v>
      </c>
      <c r="L333" t="s">
        <v>138</v>
      </c>
      <c r="M333" t="s">
        <v>1471</v>
      </c>
      <c r="N333">
        <v>2022</v>
      </c>
    </row>
    <row r="334" spans="1:14" x14ac:dyDescent="0.25">
      <c r="A334" t="s">
        <v>413</v>
      </c>
      <c r="B334" t="s">
        <v>415</v>
      </c>
      <c r="C334">
        <v>5322</v>
      </c>
      <c r="D334">
        <v>1423</v>
      </c>
      <c r="E334" s="5">
        <v>0.26738068395340098</v>
      </c>
      <c r="F334">
        <v>18</v>
      </c>
      <c r="G334" t="s">
        <v>45</v>
      </c>
      <c r="H334" t="s">
        <v>60</v>
      </c>
      <c r="I334" t="s">
        <v>65</v>
      </c>
      <c r="J334" s="1">
        <v>45269</v>
      </c>
      <c r="K334" t="s">
        <v>71</v>
      </c>
      <c r="L334" t="s">
        <v>72</v>
      </c>
      <c r="M334" t="s">
        <v>1471</v>
      </c>
      <c r="N334">
        <v>2023</v>
      </c>
    </row>
    <row r="335" spans="1:14" x14ac:dyDescent="0.25">
      <c r="A335" t="s">
        <v>416</v>
      </c>
      <c r="B335" t="s">
        <v>417</v>
      </c>
      <c r="C335">
        <v>2666</v>
      </c>
      <c r="D335">
        <v>559</v>
      </c>
      <c r="E335" s="5">
        <v>0.209677419354839</v>
      </c>
      <c r="F335">
        <v>14</v>
      </c>
      <c r="G335" t="s">
        <v>45</v>
      </c>
      <c r="H335" t="s">
        <v>49</v>
      </c>
      <c r="I335" t="s">
        <v>65</v>
      </c>
      <c r="J335" s="1">
        <v>44758</v>
      </c>
      <c r="K335" t="s">
        <v>98</v>
      </c>
      <c r="L335" t="s">
        <v>117</v>
      </c>
      <c r="M335" t="s">
        <v>1472</v>
      </c>
      <c r="N335">
        <v>2022</v>
      </c>
    </row>
    <row r="336" spans="1:14" x14ac:dyDescent="0.25">
      <c r="A336" t="s">
        <v>419</v>
      </c>
      <c r="B336" t="s">
        <v>420</v>
      </c>
      <c r="C336">
        <v>8383</v>
      </c>
      <c r="D336">
        <v>937</v>
      </c>
      <c r="E336" s="5">
        <v>0.111773827985208</v>
      </c>
      <c r="F336">
        <v>4</v>
      </c>
      <c r="G336" t="s">
        <v>45</v>
      </c>
      <c r="H336" t="s">
        <v>60</v>
      </c>
      <c r="I336" t="s">
        <v>15</v>
      </c>
      <c r="J336" s="1">
        <v>45417</v>
      </c>
      <c r="K336" t="s">
        <v>17</v>
      </c>
      <c r="L336" t="s">
        <v>34</v>
      </c>
      <c r="M336" t="s">
        <v>1473</v>
      </c>
      <c r="N336">
        <v>2024</v>
      </c>
    </row>
    <row r="337" spans="1:14" x14ac:dyDescent="0.25">
      <c r="A337" t="s">
        <v>421</v>
      </c>
      <c r="B337" t="s">
        <v>422</v>
      </c>
      <c r="C337">
        <v>7560</v>
      </c>
      <c r="D337">
        <v>821</v>
      </c>
      <c r="E337" s="5">
        <v>0.108597883597884</v>
      </c>
      <c r="F337">
        <v>4</v>
      </c>
      <c r="G337" t="s">
        <v>30</v>
      </c>
      <c r="H337" t="s">
        <v>64</v>
      </c>
      <c r="I337" t="s">
        <v>40</v>
      </c>
      <c r="J337" s="1">
        <v>44473</v>
      </c>
      <c r="K337" t="s">
        <v>21</v>
      </c>
      <c r="L337" t="s">
        <v>22</v>
      </c>
      <c r="M337" t="s">
        <v>1474</v>
      </c>
      <c r="N337">
        <v>2021</v>
      </c>
    </row>
    <row r="338" spans="1:14" x14ac:dyDescent="0.25">
      <c r="A338" t="s">
        <v>423</v>
      </c>
      <c r="B338" t="s">
        <v>424</v>
      </c>
      <c r="C338">
        <v>1314</v>
      </c>
      <c r="D338">
        <v>490</v>
      </c>
      <c r="E338" s="5">
        <v>0.37290715372907202</v>
      </c>
      <c r="F338">
        <v>16</v>
      </c>
      <c r="G338" t="s">
        <v>45</v>
      </c>
      <c r="H338" t="s">
        <v>60</v>
      </c>
      <c r="I338" t="s">
        <v>15</v>
      </c>
      <c r="J338" s="1">
        <v>44520</v>
      </c>
      <c r="K338" t="s">
        <v>25</v>
      </c>
      <c r="L338" t="s">
        <v>26</v>
      </c>
      <c r="M338" t="s">
        <v>1475</v>
      </c>
      <c r="N338">
        <v>2021</v>
      </c>
    </row>
    <row r="339" spans="1:14" x14ac:dyDescent="0.25">
      <c r="A339" t="s">
        <v>423</v>
      </c>
      <c r="B339" t="s">
        <v>424</v>
      </c>
      <c r="C339">
        <v>4390</v>
      </c>
      <c r="D339">
        <v>179</v>
      </c>
      <c r="E339" s="5">
        <v>4.0774487471526198E-2</v>
      </c>
      <c r="F339">
        <v>1</v>
      </c>
      <c r="G339" t="s">
        <v>45</v>
      </c>
      <c r="H339" t="s">
        <v>46</v>
      </c>
      <c r="I339" t="s">
        <v>32</v>
      </c>
      <c r="J339" s="1">
        <v>44520</v>
      </c>
      <c r="K339" t="s">
        <v>25</v>
      </c>
      <c r="L339" t="s">
        <v>26</v>
      </c>
      <c r="M339" t="s">
        <v>1475</v>
      </c>
      <c r="N339">
        <v>2021</v>
      </c>
    </row>
    <row r="340" spans="1:14" x14ac:dyDescent="0.25">
      <c r="A340" t="s">
        <v>423</v>
      </c>
      <c r="B340" t="s">
        <v>424</v>
      </c>
      <c r="C340">
        <v>1150</v>
      </c>
      <c r="D340">
        <v>58</v>
      </c>
      <c r="E340" s="5">
        <v>5.0434782608695702E-2</v>
      </c>
      <c r="F340">
        <v>7</v>
      </c>
      <c r="G340" t="s">
        <v>30</v>
      </c>
      <c r="H340" t="s">
        <v>78</v>
      </c>
      <c r="I340" t="s">
        <v>32</v>
      </c>
      <c r="J340" s="1">
        <v>44520</v>
      </c>
      <c r="K340" t="s">
        <v>25</v>
      </c>
      <c r="L340" t="s">
        <v>26</v>
      </c>
      <c r="M340" t="s">
        <v>1475</v>
      </c>
      <c r="N340">
        <v>2021</v>
      </c>
    </row>
    <row r="341" spans="1:14" x14ac:dyDescent="0.25">
      <c r="A341" t="s">
        <v>425</v>
      </c>
      <c r="B341" t="s">
        <v>426</v>
      </c>
      <c r="C341">
        <v>1574</v>
      </c>
      <c r="D341">
        <v>258</v>
      </c>
      <c r="E341" s="5">
        <v>0.16391359593392599</v>
      </c>
      <c r="F341">
        <v>17</v>
      </c>
      <c r="G341" t="s">
        <v>30</v>
      </c>
      <c r="H341" t="s">
        <v>31</v>
      </c>
      <c r="I341" t="s">
        <v>40</v>
      </c>
      <c r="J341" s="1">
        <v>44089</v>
      </c>
      <c r="K341" t="s">
        <v>42</v>
      </c>
      <c r="L341" t="s">
        <v>75</v>
      </c>
      <c r="M341" t="s">
        <v>1480</v>
      </c>
      <c r="N341">
        <v>2020</v>
      </c>
    </row>
    <row r="342" spans="1:14" x14ac:dyDescent="0.25">
      <c r="A342" t="s">
        <v>425</v>
      </c>
      <c r="B342" t="s">
        <v>426</v>
      </c>
      <c r="C342">
        <v>5635</v>
      </c>
      <c r="D342">
        <v>318</v>
      </c>
      <c r="E342" s="5">
        <v>5.6433007985803002E-2</v>
      </c>
      <c r="F342">
        <v>17</v>
      </c>
      <c r="G342" t="s">
        <v>30</v>
      </c>
      <c r="H342" t="s">
        <v>78</v>
      </c>
      <c r="I342" t="s">
        <v>15</v>
      </c>
      <c r="J342" s="1">
        <v>44089</v>
      </c>
      <c r="K342" t="s">
        <v>42</v>
      </c>
      <c r="L342" t="s">
        <v>75</v>
      </c>
      <c r="M342" t="s">
        <v>1480</v>
      </c>
      <c r="N342">
        <v>2020</v>
      </c>
    </row>
    <row r="343" spans="1:14" x14ac:dyDescent="0.25">
      <c r="A343" t="s">
        <v>425</v>
      </c>
      <c r="B343" t="s">
        <v>426</v>
      </c>
      <c r="C343">
        <v>6515</v>
      </c>
      <c r="D343">
        <v>961</v>
      </c>
      <c r="E343" s="5">
        <v>0.14750575594781301</v>
      </c>
      <c r="F343">
        <v>11</v>
      </c>
      <c r="G343" t="s">
        <v>45</v>
      </c>
      <c r="H343" t="s">
        <v>60</v>
      </c>
      <c r="I343" t="s">
        <v>32</v>
      </c>
      <c r="J343" s="1">
        <v>44089</v>
      </c>
      <c r="K343" t="s">
        <v>42</v>
      </c>
      <c r="L343" t="s">
        <v>75</v>
      </c>
      <c r="M343" t="s">
        <v>1480</v>
      </c>
      <c r="N343">
        <v>2020</v>
      </c>
    </row>
    <row r="344" spans="1:14" x14ac:dyDescent="0.25">
      <c r="A344" t="s">
        <v>427</v>
      </c>
      <c r="B344" t="s">
        <v>428</v>
      </c>
      <c r="C344">
        <v>1231</v>
      </c>
      <c r="D344">
        <v>214</v>
      </c>
      <c r="E344" s="5">
        <v>0.17384240454914701</v>
      </c>
      <c r="F344">
        <v>20</v>
      </c>
      <c r="G344" t="s">
        <v>13</v>
      </c>
      <c r="H344" t="s">
        <v>39</v>
      </c>
      <c r="I344" t="s">
        <v>32</v>
      </c>
      <c r="J344" s="1">
        <v>44943</v>
      </c>
      <c r="K344" t="s">
        <v>98</v>
      </c>
      <c r="L344" t="s">
        <v>99</v>
      </c>
      <c r="M344" t="s">
        <v>1478</v>
      </c>
      <c r="N344">
        <v>2023</v>
      </c>
    </row>
    <row r="345" spans="1:14" x14ac:dyDescent="0.25">
      <c r="A345" t="s">
        <v>427</v>
      </c>
      <c r="B345" t="s">
        <v>429</v>
      </c>
      <c r="C345">
        <v>1231</v>
      </c>
      <c r="D345">
        <v>214</v>
      </c>
      <c r="E345" s="5">
        <v>0.17384240454914701</v>
      </c>
      <c r="F345">
        <v>20</v>
      </c>
      <c r="G345" t="s">
        <v>13</v>
      </c>
      <c r="H345" t="s">
        <v>39</v>
      </c>
      <c r="I345" t="s">
        <v>32</v>
      </c>
      <c r="J345" s="1">
        <v>43998</v>
      </c>
      <c r="K345" t="s">
        <v>25</v>
      </c>
      <c r="L345" t="s">
        <v>68</v>
      </c>
      <c r="M345" t="s">
        <v>1470</v>
      </c>
      <c r="N345">
        <v>2020</v>
      </c>
    </row>
    <row r="346" spans="1:14" x14ac:dyDescent="0.25">
      <c r="A346" t="s">
        <v>430</v>
      </c>
      <c r="B346" t="s">
        <v>431</v>
      </c>
      <c r="C346">
        <v>6891</v>
      </c>
      <c r="D346">
        <v>2529</v>
      </c>
      <c r="E346" s="5">
        <v>0.36700043535045701</v>
      </c>
      <c r="F346">
        <v>3</v>
      </c>
      <c r="G346" t="s">
        <v>30</v>
      </c>
      <c r="H346" t="s">
        <v>78</v>
      </c>
      <c r="I346" t="s">
        <v>32</v>
      </c>
      <c r="J346" s="1">
        <v>45413</v>
      </c>
      <c r="K346" t="s">
        <v>98</v>
      </c>
      <c r="L346" t="s">
        <v>117</v>
      </c>
      <c r="M346" t="s">
        <v>1473</v>
      </c>
      <c r="N346">
        <v>2024</v>
      </c>
    </row>
    <row r="347" spans="1:14" x14ac:dyDescent="0.25">
      <c r="A347" t="s">
        <v>432</v>
      </c>
      <c r="B347" t="s">
        <v>433</v>
      </c>
      <c r="C347">
        <v>7524</v>
      </c>
      <c r="D347">
        <v>2308</v>
      </c>
      <c r="E347" s="5">
        <v>0.306751727804359</v>
      </c>
      <c r="F347">
        <v>15</v>
      </c>
      <c r="G347" t="s">
        <v>13</v>
      </c>
      <c r="H347" t="s">
        <v>39</v>
      </c>
      <c r="I347" t="s">
        <v>40</v>
      </c>
      <c r="J347" s="1">
        <v>45267</v>
      </c>
      <c r="K347" t="s">
        <v>71</v>
      </c>
      <c r="L347" t="s">
        <v>86</v>
      </c>
      <c r="M347" t="s">
        <v>1471</v>
      </c>
      <c r="N347">
        <v>2023</v>
      </c>
    </row>
    <row r="348" spans="1:14" x14ac:dyDescent="0.25">
      <c r="A348" t="s">
        <v>432</v>
      </c>
      <c r="B348" t="s">
        <v>433</v>
      </c>
      <c r="C348">
        <v>6864</v>
      </c>
      <c r="D348">
        <v>1824</v>
      </c>
      <c r="E348" s="5">
        <v>0.26573426573426601</v>
      </c>
      <c r="F348">
        <v>14</v>
      </c>
      <c r="G348" t="s">
        <v>13</v>
      </c>
      <c r="H348" t="s">
        <v>28</v>
      </c>
      <c r="I348" t="s">
        <v>47</v>
      </c>
      <c r="J348" s="1">
        <v>45267</v>
      </c>
      <c r="K348" t="s">
        <v>71</v>
      </c>
      <c r="L348" t="s">
        <v>86</v>
      </c>
      <c r="M348" t="s">
        <v>1471</v>
      </c>
      <c r="N348">
        <v>2023</v>
      </c>
    </row>
    <row r="349" spans="1:14" x14ac:dyDescent="0.25">
      <c r="A349" t="s">
        <v>434</v>
      </c>
      <c r="B349" t="s">
        <v>435</v>
      </c>
      <c r="C349">
        <v>4215</v>
      </c>
      <c r="D349">
        <v>432</v>
      </c>
      <c r="E349" s="5">
        <v>0.102491103202847</v>
      </c>
      <c r="F349">
        <v>14</v>
      </c>
      <c r="G349" t="s">
        <v>45</v>
      </c>
      <c r="H349" t="s">
        <v>49</v>
      </c>
      <c r="I349" t="s">
        <v>32</v>
      </c>
      <c r="J349" s="1">
        <v>45324</v>
      </c>
      <c r="K349" t="s">
        <v>98</v>
      </c>
      <c r="L349" t="s">
        <v>99</v>
      </c>
      <c r="M349" t="s">
        <v>1477</v>
      </c>
      <c r="N349">
        <v>2024</v>
      </c>
    </row>
    <row r="350" spans="1:14" x14ac:dyDescent="0.25">
      <c r="A350" t="s">
        <v>436</v>
      </c>
      <c r="B350" t="s">
        <v>437</v>
      </c>
      <c r="C350">
        <v>622</v>
      </c>
      <c r="D350">
        <v>218</v>
      </c>
      <c r="E350" s="5">
        <v>0.35048231511254002</v>
      </c>
      <c r="F350">
        <v>19</v>
      </c>
      <c r="G350" t="s">
        <v>45</v>
      </c>
      <c r="H350" t="s">
        <v>109</v>
      </c>
      <c r="I350" t="s">
        <v>47</v>
      </c>
      <c r="J350" s="1">
        <v>45466</v>
      </c>
      <c r="K350" t="s">
        <v>42</v>
      </c>
      <c r="L350" t="s">
        <v>75</v>
      </c>
      <c r="M350" t="s">
        <v>1470</v>
      </c>
      <c r="N350">
        <v>2024</v>
      </c>
    </row>
    <row r="351" spans="1:14" x14ac:dyDescent="0.25">
      <c r="A351" t="s">
        <v>436</v>
      </c>
      <c r="B351" t="s">
        <v>437</v>
      </c>
      <c r="C351">
        <v>1755</v>
      </c>
      <c r="D351">
        <v>495</v>
      </c>
      <c r="E351" s="5">
        <v>0.28205128205128199</v>
      </c>
      <c r="F351">
        <v>18</v>
      </c>
      <c r="G351" t="s">
        <v>30</v>
      </c>
      <c r="H351" t="s">
        <v>31</v>
      </c>
      <c r="I351" t="s">
        <v>15</v>
      </c>
      <c r="J351" s="1">
        <v>45466</v>
      </c>
      <c r="K351" t="s">
        <v>42</v>
      </c>
      <c r="L351" t="s">
        <v>75</v>
      </c>
      <c r="M351" t="s">
        <v>1470</v>
      </c>
      <c r="N351">
        <v>2024</v>
      </c>
    </row>
    <row r="352" spans="1:14" x14ac:dyDescent="0.25">
      <c r="A352" t="s">
        <v>436</v>
      </c>
      <c r="B352" t="s">
        <v>437</v>
      </c>
      <c r="C352">
        <v>8020</v>
      </c>
      <c r="D352">
        <v>3898</v>
      </c>
      <c r="E352" s="5">
        <v>0.48603491271820398</v>
      </c>
      <c r="F352">
        <v>20</v>
      </c>
      <c r="G352" t="s">
        <v>13</v>
      </c>
      <c r="H352" t="s">
        <v>14</v>
      </c>
      <c r="I352" t="s">
        <v>40</v>
      </c>
      <c r="J352" s="1">
        <v>45466</v>
      </c>
      <c r="K352" t="s">
        <v>42</v>
      </c>
      <c r="L352" t="s">
        <v>75</v>
      </c>
      <c r="M352" t="s">
        <v>1470</v>
      </c>
      <c r="N352">
        <v>2024</v>
      </c>
    </row>
    <row r="353" spans="1:14" x14ac:dyDescent="0.25">
      <c r="A353" t="s">
        <v>438</v>
      </c>
      <c r="B353" t="s">
        <v>439</v>
      </c>
      <c r="C353">
        <v>7333</v>
      </c>
      <c r="D353">
        <v>1576</v>
      </c>
      <c r="E353" s="5">
        <v>0.214918859948179</v>
      </c>
      <c r="F353">
        <v>4</v>
      </c>
      <c r="G353" t="s">
        <v>13</v>
      </c>
      <c r="H353" t="s">
        <v>39</v>
      </c>
      <c r="I353" t="s">
        <v>47</v>
      </c>
      <c r="J353" s="1">
        <v>45450</v>
      </c>
      <c r="K353" t="s">
        <v>25</v>
      </c>
      <c r="L353" t="s">
        <v>26</v>
      </c>
      <c r="M353" t="s">
        <v>1470</v>
      </c>
      <c r="N353">
        <v>2024</v>
      </c>
    </row>
    <row r="354" spans="1:14" x14ac:dyDescent="0.25">
      <c r="A354" t="s">
        <v>440</v>
      </c>
      <c r="B354" t="s">
        <v>441</v>
      </c>
      <c r="C354">
        <v>7690</v>
      </c>
      <c r="D354">
        <v>1134</v>
      </c>
      <c r="E354" s="5">
        <v>0.14746423927178201</v>
      </c>
      <c r="F354">
        <v>4</v>
      </c>
      <c r="G354" t="s">
        <v>13</v>
      </c>
      <c r="H354" t="s">
        <v>14</v>
      </c>
      <c r="I354" t="s">
        <v>65</v>
      </c>
      <c r="J354" s="1">
        <v>45212</v>
      </c>
      <c r="K354" t="s">
        <v>25</v>
      </c>
      <c r="L354" t="s">
        <v>68</v>
      </c>
      <c r="M354" t="s">
        <v>1474</v>
      </c>
      <c r="N354">
        <v>2023</v>
      </c>
    </row>
    <row r="355" spans="1:14" x14ac:dyDescent="0.25">
      <c r="A355" t="s">
        <v>440</v>
      </c>
      <c r="B355" t="s">
        <v>441</v>
      </c>
      <c r="C355">
        <v>912</v>
      </c>
      <c r="D355">
        <v>246</v>
      </c>
      <c r="E355" s="5">
        <v>0.269736842105263</v>
      </c>
      <c r="F355">
        <v>2</v>
      </c>
      <c r="G355" t="s">
        <v>45</v>
      </c>
      <c r="H355" t="s">
        <v>60</v>
      </c>
      <c r="I355" t="s">
        <v>40</v>
      </c>
      <c r="J355" s="1">
        <v>45212</v>
      </c>
      <c r="K355" t="s">
        <v>25</v>
      </c>
      <c r="L355" t="s">
        <v>68</v>
      </c>
      <c r="M355" t="s">
        <v>1474</v>
      </c>
      <c r="N355">
        <v>2023</v>
      </c>
    </row>
    <row r="356" spans="1:14" x14ac:dyDescent="0.25">
      <c r="A356" t="s">
        <v>443</v>
      </c>
      <c r="B356" t="s">
        <v>444</v>
      </c>
      <c r="C356">
        <v>2791</v>
      </c>
      <c r="D356">
        <v>894</v>
      </c>
      <c r="E356" s="5">
        <v>0.320315299175923</v>
      </c>
      <c r="F356">
        <v>14</v>
      </c>
      <c r="G356" t="s">
        <v>13</v>
      </c>
      <c r="H356" t="s">
        <v>39</v>
      </c>
      <c r="I356" t="s">
        <v>65</v>
      </c>
      <c r="J356" s="1">
        <v>44842</v>
      </c>
      <c r="K356" t="s">
        <v>71</v>
      </c>
      <c r="L356" t="s">
        <v>86</v>
      </c>
      <c r="M356" t="s">
        <v>1474</v>
      </c>
      <c r="N356">
        <v>2022</v>
      </c>
    </row>
    <row r="357" spans="1:14" x14ac:dyDescent="0.25">
      <c r="A357" t="s">
        <v>443</v>
      </c>
      <c r="B357" t="s">
        <v>445</v>
      </c>
      <c r="C357">
        <v>2791</v>
      </c>
      <c r="D357">
        <v>894</v>
      </c>
      <c r="E357" s="5">
        <v>0.320315299175923</v>
      </c>
      <c r="F357">
        <v>14</v>
      </c>
      <c r="G357" t="s">
        <v>13</v>
      </c>
      <c r="H357" t="s">
        <v>39</v>
      </c>
      <c r="I357" t="s">
        <v>65</v>
      </c>
      <c r="J357" s="1">
        <v>45226</v>
      </c>
      <c r="K357" t="s">
        <v>98</v>
      </c>
      <c r="L357" t="s">
        <v>107</v>
      </c>
      <c r="M357" t="s">
        <v>1474</v>
      </c>
      <c r="N357">
        <v>2023</v>
      </c>
    </row>
    <row r="358" spans="1:14" x14ac:dyDescent="0.25">
      <c r="A358" t="s">
        <v>443</v>
      </c>
      <c r="B358" t="s">
        <v>446</v>
      </c>
      <c r="C358">
        <v>2791</v>
      </c>
      <c r="D358">
        <v>894</v>
      </c>
      <c r="E358" s="5">
        <v>0.320315299175923</v>
      </c>
      <c r="F358">
        <v>14</v>
      </c>
      <c r="G358" t="s">
        <v>13</v>
      </c>
      <c r="H358" t="s">
        <v>39</v>
      </c>
      <c r="I358" t="s">
        <v>65</v>
      </c>
      <c r="J358" s="1">
        <v>44236</v>
      </c>
      <c r="K358" t="s">
        <v>71</v>
      </c>
      <c r="L358" t="s">
        <v>72</v>
      </c>
      <c r="M358" t="s">
        <v>1477</v>
      </c>
      <c r="N358">
        <v>2021</v>
      </c>
    </row>
    <row r="359" spans="1:14" x14ac:dyDescent="0.25">
      <c r="A359" t="s">
        <v>443</v>
      </c>
      <c r="B359" t="s">
        <v>444</v>
      </c>
      <c r="C359">
        <v>6223</v>
      </c>
      <c r="D359">
        <v>1478</v>
      </c>
      <c r="E359" s="5">
        <v>0.23750602603245999</v>
      </c>
      <c r="F359">
        <v>3</v>
      </c>
      <c r="G359" t="s">
        <v>45</v>
      </c>
      <c r="H359" t="s">
        <v>60</v>
      </c>
      <c r="I359" t="s">
        <v>32</v>
      </c>
      <c r="J359" s="1">
        <v>44842</v>
      </c>
      <c r="K359" t="s">
        <v>71</v>
      </c>
      <c r="L359" t="s">
        <v>86</v>
      </c>
      <c r="M359" t="s">
        <v>1474</v>
      </c>
      <c r="N359">
        <v>2022</v>
      </c>
    </row>
    <row r="360" spans="1:14" x14ac:dyDescent="0.25">
      <c r="A360" t="s">
        <v>443</v>
      </c>
      <c r="B360" t="s">
        <v>445</v>
      </c>
      <c r="C360">
        <v>6223</v>
      </c>
      <c r="D360">
        <v>1478</v>
      </c>
      <c r="E360" s="5">
        <v>0.23750602603245999</v>
      </c>
      <c r="F360">
        <v>3</v>
      </c>
      <c r="G360" t="s">
        <v>45</v>
      </c>
      <c r="H360" t="s">
        <v>60</v>
      </c>
      <c r="I360" t="s">
        <v>32</v>
      </c>
      <c r="J360" s="1">
        <v>45226</v>
      </c>
      <c r="K360" t="s">
        <v>98</v>
      </c>
      <c r="L360" t="s">
        <v>107</v>
      </c>
      <c r="M360" t="s">
        <v>1474</v>
      </c>
      <c r="N360">
        <v>2023</v>
      </c>
    </row>
    <row r="361" spans="1:14" x14ac:dyDescent="0.25">
      <c r="A361" t="s">
        <v>443</v>
      </c>
      <c r="B361" t="s">
        <v>446</v>
      </c>
      <c r="C361">
        <v>6223</v>
      </c>
      <c r="D361">
        <v>1478</v>
      </c>
      <c r="E361" s="5">
        <v>0.23750602603245999</v>
      </c>
      <c r="F361">
        <v>3</v>
      </c>
      <c r="G361" t="s">
        <v>45</v>
      </c>
      <c r="H361" t="s">
        <v>60</v>
      </c>
      <c r="I361" t="s">
        <v>32</v>
      </c>
      <c r="J361" s="1">
        <v>44236</v>
      </c>
      <c r="K361" t="s">
        <v>71</v>
      </c>
      <c r="L361" t="s">
        <v>72</v>
      </c>
      <c r="M361" t="s">
        <v>1477</v>
      </c>
      <c r="N361">
        <v>2021</v>
      </c>
    </row>
    <row r="362" spans="1:14" x14ac:dyDescent="0.25">
      <c r="A362" t="s">
        <v>443</v>
      </c>
      <c r="B362" t="s">
        <v>444</v>
      </c>
      <c r="C362">
        <v>8943</v>
      </c>
      <c r="D362">
        <v>3121</v>
      </c>
      <c r="E362" s="5">
        <v>0.34898803533489903</v>
      </c>
      <c r="F362">
        <v>17</v>
      </c>
      <c r="G362" t="s">
        <v>45</v>
      </c>
      <c r="H362" t="s">
        <v>49</v>
      </c>
      <c r="I362" t="s">
        <v>32</v>
      </c>
      <c r="J362" s="1">
        <v>44842</v>
      </c>
      <c r="K362" t="s">
        <v>71</v>
      </c>
      <c r="L362" t="s">
        <v>86</v>
      </c>
      <c r="M362" t="s">
        <v>1474</v>
      </c>
      <c r="N362">
        <v>2022</v>
      </c>
    </row>
    <row r="363" spans="1:14" x14ac:dyDescent="0.25">
      <c r="A363" t="s">
        <v>443</v>
      </c>
      <c r="B363" t="s">
        <v>445</v>
      </c>
      <c r="C363">
        <v>8943</v>
      </c>
      <c r="D363">
        <v>3121</v>
      </c>
      <c r="E363" s="5">
        <v>0.34898803533489903</v>
      </c>
      <c r="F363">
        <v>17</v>
      </c>
      <c r="G363" t="s">
        <v>45</v>
      </c>
      <c r="H363" t="s">
        <v>49</v>
      </c>
      <c r="I363" t="s">
        <v>32</v>
      </c>
      <c r="J363" s="1">
        <v>45226</v>
      </c>
      <c r="K363" t="s">
        <v>98</v>
      </c>
      <c r="L363" t="s">
        <v>107</v>
      </c>
      <c r="M363" t="s">
        <v>1474</v>
      </c>
      <c r="N363">
        <v>2023</v>
      </c>
    </row>
    <row r="364" spans="1:14" x14ac:dyDescent="0.25">
      <c r="A364" t="s">
        <v>443</v>
      </c>
      <c r="B364" t="s">
        <v>446</v>
      </c>
      <c r="C364">
        <v>8943</v>
      </c>
      <c r="D364">
        <v>3121</v>
      </c>
      <c r="E364" s="5">
        <v>0.34898803533489903</v>
      </c>
      <c r="F364">
        <v>17</v>
      </c>
      <c r="G364" t="s">
        <v>45</v>
      </c>
      <c r="H364" t="s">
        <v>49</v>
      </c>
      <c r="I364" t="s">
        <v>32</v>
      </c>
      <c r="J364" s="1">
        <v>44236</v>
      </c>
      <c r="K364" t="s">
        <v>71</v>
      </c>
      <c r="L364" t="s">
        <v>72</v>
      </c>
      <c r="M364" t="s">
        <v>1477</v>
      </c>
      <c r="N364">
        <v>2021</v>
      </c>
    </row>
    <row r="365" spans="1:14" x14ac:dyDescent="0.25">
      <c r="A365" t="s">
        <v>443</v>
      </c>
      <c r="B365" t="s">
        <v>444</v>
      </c>
      <c r="C365">
        <v>3297</v>
      </c>
      <c r="D365">
        <v>102</v>
      </c>
      <c r="E365" s="5">
        <v>3.0937215650591401E-2</v>
      </c>
      <c r="F365">
        <v>12</v>
      </c>
      <c r="G365" t="s">
        <v>13</v>
      </c>
      <c r="H365" t="s">
        <v>82</v>
      </c>
      <c r="I365" t="s">
        <v>47</v>
      </c>
      <c r="J365" s="1">
        <v>44842</v>
      </c>
      <c r="K365" t="s">
        <v>71</v>
      </c>
      <c r="L365" t="s">
        <v>86</v>
      </c>
      <c r="M365" t="s">
        <v>1474</v>
      </c>
      <c r="N365">
        <v>2022</v>
      </c>
    </row>
    <row r="366" spans="1:14" x14ac:dyDescent="0.25">
      <c r="A366" t="s">
        <v>443</v>
      </c>
      <c r="B366" t="s">
        <v>445</v>
      </c>
      <c r="C366">
        <v>3297</v>
      </c>
      <c r="D366">
        <v>102</v>
      </c>
      <c r="E366" s="5">
        <v>3.0937215650591401E-2</v>
      </c>
      <c r="F366">
        <v>12</v>
      </c>
      <c r="G366" t="s">
        <v>13</v>
      </c>
      <c r="H366" t="s">
        <v>82</v>
      </c>
      <c r="I366" t="s">
        <v>47</v>
      </c>
      <c r="J366" s="1">
        <v>45226</v>
      </c>
      <c r="K366" t="s">
        <v>98</v>
      </c>
      <c r="L366" t="s">
        <v>107</v>
      </c>
      <c r="M366" t="s">
        <v>1474</v>
      </c>
      <c r="N366">
        <v>2023</v>
      </c>
    </row>
    <row r="367" spans="1:14" x14ac:dyDescent="0.25">
      <c r="A367" t="s">
        <v>443</v>
      </c>
      <c r="B367" t="s">
        <v>446</v>
      </c>
      <c r="C367">
        <v>3297</v>
      </c>
      <c r="D367">
        <v>102</v>
      </c>
      <c r="E367" s="5">
        <v>3.0937215650591401E-2</v>
      </c>
      <c r="F367">
        <v>12</v>
      </c>
      <c r="G367" t="s">
        <v>13</v>
      </c>
      <c r="H367" t="s">
        <v>82</v>
      </c>
      <c r="I367" t="s">
        <v>47</v>
      </c>
      <c r="J367" s="1">
        <v>44236</v>
      </c>
      <c r="K367" t="s">
        <v>71</v>
      </c>
      <c r="L367" t="s">
        <v>72</v>
      </c>
      <c r="M367" t="s">
        <v>1477</v>
      </c>
      <c r="N367">
        <v>2021</v>
      </c>
    </row>
    <row r="368" spans="1:14" x14ac:dyDescent="0.25">
      <c r="A368" t="s">
        <v>447</v>
      </c>
      <c r="B368" t="s">
        <v>448</v>
      </c>
      <c r="C368">
        <v>8769</v>
      </c>
      <c r="D368">
        <v>1989</v>
      </c>
      <c r="E368" s="5">
        <v>0.22682175846732799</v>
      </c>
      <c r="F368">
        <v>20</v>
      </c>
      <c r="G368" t="s">
        <v>30</v>
      </c>
      <c r="H368" t="s">
        <v>64</v>
      </c>
      <c r="I368" t="s">
        <v>15</v>
      </c>
      <c r="J368" s="1">
        <v>44138</v>
      </c>
      <c r="K368" t="s">
        <v>21</v>
      </c>
      <c r="L368" t="s">
        <v>22</v>
      </c>
      <c r="M368" t="s">
        <v>1475</v>
      </c>
      <c r="N368">
        <v>2020</v>
      </c>
    </row>
    <row r="369" spans="1:14" x14ac:dyDescent="0.25">
      <c r="A369" t="s">
        <v>449</v>
      </c>
      <c r="B369" t="s">
        <v>450</v>
      </c>
      <c r="C369">
        <v>9057</v>
      </c>
      <c r="D369">
        <v>1888</v>
      </c>
      <c r="E369" s="5">
        <v>0.20845754664900101</v>
      </c>
      <c r="F369">
        <v>19</v>
      </c>
      <c r="G369" t="s">
        <v>13</v>
      </c>
      <c r="H369" t="s">
        <v>28</v>
      </c>
      <c r="I369" t="s">
        <v>65</v>
      </c>
      <c r="J369" s="1">
        <v>44711</v>
      </c>
      <c r="K369" t="s">
        <v>17</v>
      </c>
      <c r="L369" t="s">
        <v>34</v>
      </c>
      <c r="M369" t="s">
        <v>1473</v>
      </c>
      <c r="N369">
        <v>2022</v>
      </c>
    </row>
    <row r="370" spans="1:14" x14ac:dyDescent="0.25">
      <c r="A370" t="s">
        <v>449</v>
      </c>
      <c r="B370" t="s">
        <v>450</v>
      </c>
      <c r="C370">
        <v>6864</v>
      </c>
      <c r="D370">
        <v>3275</v>
      </c>
      <c r="E370" s="5">
        <v>0.47712703962704001</v>
      </c>
      <c r="F370">
        <v>11</v>
      </c>
      <c r="G370" t="s">
        <v>45</v>
      </c>
      <c r="H370" t="s">
        <v>46</v>
      </c>
      <c r="I370" t="s">
        <v>47</v>
      </c>
      <c r="J370" s="1">
        <v>44711</v>
      </c>
      <c r="K370" t="s">
        <v>17</v>
      </c>
      <c r="L370" t="s">
        <v>34</v>
      </c>
      <c r="M370" t="s">
        <v>1473</v>
      </c>
      <c r="N370">
        <v>2022</v>
      </c>
    </row>
    <row r="371" spans="1:14" x14ac:dyDescent="0.25">
      <c r="A371" t="s">
        <v>449</v>
      </c>
      <c r="B371" t="s">
        <v>450</v>
      </c>
      <c r="C371">
        <v>9200</v>
      </c>
      <c r="D371">
        <v>809</v>
      </c>
      <c r="E371" s="5">
        <v>8.7934782608695597E-2</v>
      </c>
      <c r="F371">
        <v>13</v>
      </c>
      <c r="G371" t="s">
        <v>13</v>
      </c>
      <c r="H371" t="s">
        <v>39</v>
      </c>
      <c r="I371" t="s">
        <v>65</v>
      </c>
      <c r="J371" s="1">
        <v>44711</v>
      </c>
      <c r="K371" t="s">
        <v>17</v>
      </c>
      <c r="L371" t="s">
        <v>34</v>
      </c>
      <c r="M371" t="s">
        <v>1473</v>
      </c>
      <c r="N371">
        <v>2022</v>
      </c>
    </row>
    <row r="372" spans="1:14" x14ac:dyDescent="0.25">
      <c r="A372" t="s">
        <v>451</v>
      </c>
      <c r="B372" t="s">
        <v>452</v>
      </c>
      <c r="C372">
        <v>6113</v>
      </c>
      <c r="D372">
        <v>2508</v>
      </c>
      <c r="E372" s="5">
        <v>0.41027318828725701</v>
      </c>
      <c r="F372">
        <v>6</v>
      </c>
      <c r="G372" t="s">
        <v>13</v>
      </c>
      <c r="H372" t="s">
        <v>39</v>
      </c>
      <c r="I372" t="s">
        <v>15</v>
      </c>
      <c r="J372" s="1">
        <v>45459</v>
      </c>
      <c r="K372" t="s">
        <v>17</v>
      </c>
      <c r="L372" t="s">
        <v>34</v>
      </c>
      <c r="M372" t="s">
        <v>1470</v>
      </c>
      <c r="N372">
        <v>2024</v>
      </c>
    </row>
    <row r="373" spans="1:14" x14ac:dyDescent="0.25">
      <c r="A373" t="s">
        <v>451</v>
      </c>
      <c r="B373" t="s">
        <v>452</v>
      </c>
      <c r="C373">
        <v>7733</v>
      </c>
      <c r="D373">
        <v>2784</v>
      </c>
      <c r="E373" s="5">
        <v>0.36001551791025499</v>
      </c>
      <c r="F373">
        <v>15</v>
      </c>
      <c r="G373" t="s">
        <v>45</v>
      </c>
      <c r="H373" t="s">
        <v>46</v>
      </c>
      <c r="I373" t="s">
        <v>40</v>
      </c>
      <c r="J373" s="1">
        <v>45459</v>
      </c>
      <c r="K373" t="s">
        <v>17</v>
      </c>
      <c r="L373" t="s">
        <v>34</v>
      </c>
      <c r="M373" t="s">
        <v>1470</v>
      </c>
      <c r="N373">
        <v>2024</v>
      </c>
    </row>
    <row r="374" spans="1:14" x14ac:dyDescent="0.25">
      <c r="A374" t="s">
        <v>451</v>
      </c>
      <c r="B374" t="s">
        <v>452</v>
      </c>
      <c r="C374">
        <v>8524</v>
      </c>
      <c r="D374">
        <v>154</v>
      </c>
      <c r="E374" s="5">
        <v>1.8066635382449601E-2</v>
      </c>
      <c r="F374">
        <v>14</v>
      </c>
      <c r="G374" t="s">
        <v>45</v>
      </c>
      <c r="H374" t="s">
        <v>46</v>
      </c>
      <c r="I374" t="s">
        <v>65</v>
      </c>
      <c r="J374" s="1">
        <v>45459</v>
      </c>
      <c r="K374" t="s">
        <v>17</v>
      </c>
      <c r="L374" t="s">
        <v>34</v>
      </c>
      <c r="M374" t="s">
        <v>1470</v>
      </c>
      <c r="N374">
        <v>2024</v>
      </c>
    </row>
    <row r="375" spans="1:14" x14ac:dyDescent="0.25">
      <c r="A375" t="s">
        <v>451</v>
      </c>
      <c r="B375" t="s">
        <v>452</v>
      </c>
      <c r="C375">
        <v>6187</v>
      </c>
      <c r="D375">
        <v>2344</v>
      </c>
      <c r="E375" s="5">
        <v>0.37885889768870201</v>
      </c>
      <c r="F375">
        <v>15</v>
      </c>
      <c r="G375" t="s">
        <v>45</v>
      </c>
      <c r="H375" t="s">
        <v>109</v>
      </c>
      <c r="I375" t="s">
        <v>40</v>
      </c>
      <c r="J375" s="1">
        <v>45459</v>
      </c>
      <c r="K375" t="s">
        <v>17</v>
      </c>
      <c r="L375" t="s">
        <v>34</v>
      </c>
      <c r="M375" t="s">
        <v>1470</v>
      </c>
      <c r="N375">
        <v>2024</v>
      </c>
    </row>
    <row r="376" spans="1:14" x14ac:dyDescent="0.25">
      <c r="A376" t="s">
        <v>453</v>
      </c>
      <c r="B376" t="s">
        <v>454</v>
      </c>
      <c r="C376">
        <v>4364</v>
      </c>
      <c r="D376">
        <v>148</v>
      </c>
      <c r="E376" s="5">
        <v>3.3913840513290598E-2</v>
      </c>
      <c r="F376">
        <v>18</v>
      </c>
      <c r="G376" t="s">
        <v>45</v>
      </c>
      <c r="H376" t="s">
        <v>46</v>
      </c>
      <c r="I376" t="s">
        <v>40</v>
      </c>
      <c r="J376" s="1">
        <v>44757</v>
      </c>
      <c r="K376" t="s">
        <v>98</v>
      </c>
      <c r="L376" t="s">
        <v>107</v>
      </c>
      <c r="M376" t="s">
        <v>1472</v>
      </c>
      <c r="N376">
        <v>2022</v>
      </c>
    </row>
    <row r="377" spans="1:14" x14ac:dyDescent="0.25">
      <c r="A377" t="s">
        <v>453</v>
      </c>
      <c r="B377" t="s">
        <v>454</v>
      </c>
      <c r="C377">
        <v>736</v>
      </c>
      <c r="D377">
        <v>286</v>
      </c>
      <c r="E377" s="5">
        <v>0.38858695652173902</v>
      </c>
      <c r="F377">
        <v>12</v>
      </c>
      <c r="G377" t="s">
        <v>30</v>
      </c>
      <c r="H377" t="s">
        <v>31</v>
      </c>
      <c r="I377" t="s">
        <v>40</v>
      </c>
      <c r="J377" s="1">
        <v>44757</v>
      </c>
      <c r="K377" t="s">
        <v>98</v>
      </c>
      <c r="L377" t="s">
        <v>107</v>
      </c>
      <c r="M377" t="s">
        <v>1472</v>
      </c>
      <c r="N377">
        <v>2022</v>
      </c>
    </row>
    <row r="378" spans="1:14" x14ac:dyDescent="0.25">
      <c r="A378" t="s">
        <v>455</v>
      </c>
      <c r="B378" t="s">
        <v>456</v>
      </c>
      <c r="C378">
        <v>9905</v>
      </c>
      <c r="D378">
        <v>633</v>
      </c>
      <c r="E378" s="5">
        <v>6.3907117617365006E-2</v>
      </c>
      <c r="F378">
        <v>17</v>
      </c>
      <c r="G378" t="s">
        <v>30</v>
      </c>
      <c r="H378" t="s">
        <v>31</v>
      </c>
      <c r="I378" t="s">
        <v>40</v>
      </c>
      <c r="J378" s="1">
        <v>44395</v>
      </c>
      <c r="K378" t="s">
        <v>71</v>
      </c>
      <c r="L378" t="s">
        <v>72</v>
      </c>
      <c r="M378" t="s">
        <v>1472</v>
      </c>
      <c r="N378">
        <v>2021</v>
      </c>
    </row>
    <row r="379" spans="1:14" x14ac:dyDescent="0.25">
      <c r="A379" t="s">
        <v>455</v>
      </c>
      <c r="B379" t="s">
        <v>457</v>
      </c>
      <c r="C379">
        <v>9905</v>
      </c>
      <c r="D379">
        <v>633</v>
      </c>
      <c r="E379" s="5">
        <v>6.3907117617365006E-2</v>
      </c>
      <c r="F379">
        <v>17</v>
      </c>
      <c r="G379" t="s">
        <v>30</v>
      </c>
      <c r="H379" t="s">
        <v>31</v>
      </c>
      <c r="I379" t="s">
        <v>40</v>
      </c>
      <c r="J379" s="1">
        <v>44471</v>
      </c>
      <c r="K379" t="s">
        <v>17</v>
      </c>
      <c r="L379" t="s">
        <v>150</v>
      </c>
      <c r="M379" t="s">
        <v>1474</v>
      </c>
      <c r="N379">
        <v>2021</v>
      </c>
    </row>
    <row r="380" spans="1:14" x14ac:dyDescent="0.25">
      <c r="A380" t="s">
        <v>458</v>
      </c>
      <c r="B380" t="s">
        <v>459</v>
      </c>
      <c r="C380">
        <v>2493</v>
      </c>
      <c r="D380">
        <v>1221</v>
      </c>
      <c r="E380" s="5">
        <v>0.489771359807461</v>
      </c>
      <c r="F380">
        <v>9</v>
      </c>
      <c r="G380" t="s">
        <v>30</v>
      </c>
      <c r="H380" t="s">
        <v>64</v>
      </c>
      <c r="I380" t="s">
        <v>47</v>
      </c>
      <c r="J380" s="1">
        <v>45398</v>
      </c>
      <c r="K380" t="s">
        <v>21</v>
      </c>
      <c r="L380" t="s">
        <v>63</v>
      </c>
      <c r="M380" t="s">
        <v>1481</v>
      </c>
      <c r="N380">
        <v>2024</v>
      </c>
    </row>
    <row r="381" spans="1:14" x14ac:dyDescent="0.25">
      <c r="A381" t="s">
        <v>458</v>
      </c>
      <c r="B381" t="s">
        <v>459</v>
      </c>
      <c r="C381">
        <v>9849</v>
      </c>
      <c r="D381">
        <v>963</v>
      </c>
      <c r="E381" s="5">
        <v>9.7776424002436801E-2</v>
      </c>
      <c r="F381">
        <v>1</v>
      </c>
      <c r="G381" t="s">
        <v>30</v>
      </c>
      <c r="H381" t="s">
        <v>31</v>
      </c>
      <c r="I381" t="s">
        <v>47</v>
      </c>
      <c r="J381" s="1">
        <v>45398</v>
      </c>
      <c r="K381" t="s">
        <v>21</v>
      </c>
      <c r="L381" t="s">
        <v>63</v>
      </c>
      <c r="M381" t="s">
        <v>1481</v>
      </c>
      <c r="N381">
        <v>2024</v>
      </c>
    </row>
    <row r="382" spans="1:14" x14ac:dyDescent="0.25">
      <c r="A382" t="s">
        <v>460</v>
      </c>
      <c r="B382" t="s">
        <v>461</v>
      </c>
      <c r="C382">
        <v>3423</v>
      </c>
      <c r="D382">
        <v>804</v>
      </c>
      <c r="E382" s="5">
        <v>0.23488168273444299</v>
      </c>
      <c r="F382">
        <v>4</v>
      </c>
      <c r="G382" t="s">
        <v>13</v>
      </c>
      <c r="H382" t="s">
        <v>28</v>
      </c>
      <c r="I382" t="s">
        <v>47</v>
      </c>
      <c r="J382" s="1">
        <v>44021</v>
      </c>
      <c r="K382" t="s">
        <v>21</v>
      </c>
      <c r="L382" t="s">
        <v>172</v>
      </c>
      <c r="M382" t="s">
        <v>1472</v>
      </c>
      <c r="N382">
        <v>2020</v>
      </c>
    </row>
    <row r="383" spans="1:14" x14ac:dyDescent="0.25">
      <c r="A383" t="s">
        <v>460</v>
      </c>
      <c r="B383" t="s">
        <v>463</v>
      </c>
      <c r="C383">
        <v>3423</v>
      </c>
      <c r="D383">
        <v>804</v>
      </c>
      <c r="E383" s="5">
        <v>0.23488168273444299</v>
      </c>
      <c r="F383">
        <v>4</v>
      </c>
      <c r="G383" t="s">
        <v>13</v>
      </c>
      <c r="H383" t="s">
        <v>28</v>
      </c>
      <c r="I383" t="s">
        <v>47</v>
      </c>
      <c r="J383" s="1">
        <v>44037</v>
      </c>
      <c r="K383" t="s">
        <v>71</v>
      </c>
      <c r="L383" t="s">
        <v>72</v>
      </c>
      <c r="M383" t="s">
        <v>1472</v>
      </c>
      <c r="N383">
        <v>2020</v>
      </c>
    </row>
    <row r="384" spans="1:14" x14ac:dyDescent="0.25">
      <c r="A384" t="s">
        <v>460</v>
      </c>
      <c r="B384" t="s">
        <v>464</v>
      </c>
      <c r="C384">
        <v>3423</v>
      </c>
      <c r="D384">
        <v>804</v>
      </c>
      <c r="E384" s="5">
        <v>0.23488168273444299</v>
      </c>
      <c r="F384">
        <v>4</v>
      </c>
      <c r="G384" t="s">
        <v>13</v>
      </c>
      <c r="H384" t="s">
        <v>28</v>
      </c>
      <c r="I384" t="s">
        <v>47</v>
      </c>
      <c r="J384" s="1">
        <v>45315</v>
      </c>
      <c r="K384" t="s">
        <v>71</v>
      </c>
      <c r="L384" t="s">
        <v>86</v>
      </c>
      <c r="M384" t="s">
        <v>1478</v>
      </c>
      <c r="N384">
        <v>2024</v>
      </c>
    </row>
    <row r="385" spans="1:14" x14ac:dyDescent="0.25">
      <c r="A385" t="s">
        <v>460</v>
      </c>
      <c r="B385" t="s">
        <v>465</v>
      </c>
      <c r="C385">
        <v>3423</v>
      </c>
      <c r="D385">
        <v>804</v>
      </c>
      <c r="E385" s="5">
        <v>0.23488168273444299</v>
      </c>
      <c r="F385">
        <v>4</v>
      </c>
      <c r="G385" t="s">
        <v>13</v>
      </c>
      <c r="H385" t="s">
        <v>28</v>
      </c>
      <c r="I385" t="s">
        <v>47</v>
      </c>
      <c r="J385" s="1">
        <v>43955</v>
      </c>
      <c r="K385" t="s">
        <v>71</v>
      </c>
      <c r="L385" t="s">
        <v>72</v>
      </c>
      <c r="M385" t="s">
        <v>1473</v>
      </c>
      <c r="N385">
        <v>2020</v>
      </c>
    </row>
    <row r="386" spans="1:14" x14ac:dyDescent="0.25">
      <c r="A386" t="s">
        <v>460</v>
      </c>
      <c r="B386" t="s">
        <v>466</v>
      </c>
      <c r="C386">
        <v>3423</v>
      </c>
      <c r="D386">
        <v>804</v>
      </c>
      <c r="E386" s="5">
        <v>0.23488168273444299</v>
      </c>
      <c r="F386">
        <v>4</v>
      </c>
      <c r="G386" t="s">
        <v>13</v>
      </c>
      <c r="H386" t="s">
        <v>28</v>
      </c>
      <c r="I386" t="s">
        <v>47</v>
      </c>
      <c r="J386" s="1">
        <v>44513</v>
      </c>
      <c r="K386" t="s">
        <v>98</v>
      </c>
      <c r="L386" t="s">
        <v>107</v>
      </c>
      <c r="M386" t="s">
        <v>1475</v>
      </c>
      <c r="N386">
        <v>2021</v>
      </c>
    </row>
    <row r="387" spans="1:14" x14ac:dyDescent="0.25">
      <c r="A387" t="s">
        <v>467</v>
      </c>
      <c r="B387" t="s">
        <v>468</v>
      </c>
      <c r="C387">
        <v>3900</v>
      </c>
      <c r="D387">
        <v>115</v>
      </c>
      <c r="E387" s="5">
        <v>2.94871794871795E-2</v>
      </c>
      <c r="F387">
        <v>9</v>
      </c>
      <c r="G387" t="s">
        <v>45</v>
      </c>
      <c r="H387" t="s">
        <v>49</v>
      </c>
      <c r="I387" t="s">
        <v>65</v>
      </c>
      <c r="J387" s="1">
        <v>45206</v>
      </c>
      <c r="K387" t="s">
        <v>21</v>
      </c>
      <c r="L387" t="s">
        <v>63</v>
      </c>
      <c r="M387" t="s">
        <v>1474</v>
      </c>
      <c r="N387">
        <v>2023</v>
      </c>
    </row>
    <row r="388" spans="1:14" x14ac:dyDescent="0.25">
      <c r="A388" t="s">
        <v>469</v>
      </c>
      <c r="B388" t="s">
        <v>470</v>
      </c>
      <c r="C388">
        <v>8568</v>
      </c>
      <c r="D388">
        <v>2419</v>
      </c>
      <c r="E388" s="5">
        <v>0.28232959850606898</v>
      </c>
      <c r="F388">
        <v>11</v>
      </c>
      <c r="G388" t="s">
        <v>13</v>
      </c>
      <c r="H388" t="s">
        <v>14</v>
      </c>
      <c r="I388" t="s">
        <v>15</v>
      </c>
      <c r="J388" s="1">
        <v>44492</v>
      </c>
      <c r="K388" t="s">
        <v>25</v>
      </c>
      <c r="L388" t="s">
        <v>68</v>
      </c>
      <c r="M388" t="s">
        <v>1474</v>
      </c>
      <c r="N388">
        <v>2021</v>
      </c>
    </row>
    <row r="389" spans="1:14" x14ac:dyDescent="0.25">
      <c r="A389" t="s">
        <v>469</v>
      </c>
      <c r="B389" t="s">
        <v>470</v>
      </c>
      <c r="C389">
        <v>3283</v>
      </c>
      <c r="D389">
        <v>71</v>
      </c>
      <c r="E389" s="5">
        <v>2.16265610721901E-2</v>
      </c>
      <c r="F389">
        <v>6</v>
      </c>
      <c r="G389" t="s">
        <v>30</v>
      </c>
      <c r="H389" t="s">
        <v>31</v>
      </c>
      <c r="I389" t="s">
        <v>40</v>
      </c>
      <c r="J389" s="1">
        <v>44492</v>
      </c>
      <c r="K389" t="s">
        <v>25</v>
      </c>
      <c r="L389" t="s">
        <v>68</v>
      </c>
      <c r="M389" t="s">
        <v>1474</v>
      </c>
      <c r="N389">
        <v>2021</v>
      </c>
    </row>
    <row r="390" spans="1:14" x14ac:dyDescent="0.25">
      <c r="A390" t="s">
        <v>471</v>
      </c>
      <c r="B390" t="s">
        <v>472</v>
      </c>
      <c r="C390">
        <v>7643</v>
      </c>
      <c r="D390">
        <v>3720</v>
      </c>
      <c r="E390" s="5">
        <v>0.48671987439487102</v>
      </c>
      <c r="F390">
        <v>19</v>
      </c>
      <c r="G390" t="s">
        <v>13</v>
      </c>
      <c r="H390" t="s">
        <v>14</v>
      </c>
      <c r="I390" t="s">
        <v>40</v>
      </c>
      <c r="J390" s="1">
        <v>44760</v>
      </c>
      <c r="K390" t="s">
        <v>71</v>
      </c>
      <c r="L390" t="s">
        <v>72</v>
      </c>
      <c r="M390" t="s">
        <v>1472</v>
      </c>
      <c r="N390">
        <v>2022</v>
      </c>
    </row>
    <row r="391" spans="1:14" x14ac:dyDescent="0.25">
      <c r="A391" t="s">
        <v>473</v>
      </c>
      <c r="B391" t="s">
        <v>474</v>
      </c>
      <c r="C391">
        <v>3461</v>
      </c>
      <c r="D391">
        <v>1537</v>
      </c>
      <c r="E391" s="5">
        <v>0.444091303091592</v>
      </c>
      <c r="F391">
        <v>15</v>
      </c>
      <c r="G391" t="s">
        <v>45</v>
      </c>
      <c r="H391" t="s">
        <v>60</v>
      </c>
      <c r="I391" t="s">
        <v>40</v>
      </c>
      <c r="J391" s="1">
        <v>45527</v>
      </c>
      <c r="K391" t="s">
        <v>21</v>
      </c>
      <c r="L391" t="s">
        <v>22</v>
      </c>
      <c r="M391" t="s">
        <v>1479</v>
      </c>
      <c r="N391">
        <v>2024</v>
      </c>
    </row>
    <row r="392" spans="1:14" x14ac:dyDescent="0.25">
      <c r="A392" t="s">
        <v>473</v>
      </c>
      <c r="B392" t="s">
        <v>474</v>
      </c>
      <c r="C392">
        <v>5714</v>
      </c>
      <c r="D392">
        <v>1438</v>
      </c>
      <c r="E392" s="5">
        <v>0.25166258312915601</v>
      </c>
      <c r="F392">
        <v>6</v>
      </c>
      <c r="G392" t="s">
        <v>13</v>
      </c>
      <c r="H392" t="s">
        <v>14</v>
      </c>
      <c r="I392" t="s">
        <v>47</v>
      </c>
      <c r="J392" s="1">
        <v>45527</v>
      </c>
      <c r="K392" t="s">
        <v>21</v>
      </c>
      <c r="L392" t="s">
        <v>22</v>
      </c>
      <c r="M392" t="s">
        <v>1479</v>
      </c>
      <c r="N392">
        <v>2024</v>
      </c>
    </row>
    <row r="393" spans="1:14" x14ac:dyDescent="0.25">
      <c r="A393" t="s">
        <v>473</v>
      </c>
      <c r="B393" t="s">
        <v>474</v>
      </c>
      <c r="C393">
        <v>3853</v>
      </c>
      <c r="D393">
        <v>1457</v>
      </c>
      <c r="E393" s="5">
        <v>0.37814689852063299</v>
      </c>
      <c r="F393">
        <v>10</v>
      </c>
      <c r="G393" t="s">
        <v>30</v>
      </c>
      <c r="H393" t="s">
        <v>78</v>
      </c>
      <c r="I393" t="s">
        <v>65</v>
      </c>
      <c r="J393" s="1">
        <v>45527</v>
      </c>
      <c r="K393" t="s">
        <v>21</v>
      </c>
      <c r="L393" t="s">
        <v>22</v>
      </c>
      <c r="M393" t="s">
        <v>1479</v>
      </c>
      <c r="N393">
        <v>2024</v>
      </c>
    </row>
    <row r="394" spans="1:14" x14ac:dyDescent="0.25">
      <c r="A394" t="s">
        <v>475</v>
      </c>
      <c r="B394" t="s">
        <v>476</v>
      </c>
      <c r="C394">
        <v>6016</v>
      </c>
      <c r="D394">
        <v>431</v>
      </c>
      <c r="E394" s="5">
        <v>7.1642287234042604E-2</v>
      </c>
      <c r="F394">
        <v>20</v>
      </c>
      <c r="G394" t="s">
        <v>30</v>
      </c>
      <c r="H394" t="s">
        <v>31</v>
      </c>
      <c r="I394" t="s">
        <v>15</v>
      </c>
      <c r="J394" s="1">
        <v>44132</v>
      </c>
      <c r="K394" t="s">
        <v>21</v>
      </c>
      <c r="L394" t="s">
        <v>22</v>
      </c>
      <c r="M394" t="s">
        <v>1474</v>
      </c>
      <c r="N394">
        <v>2020</v>
      </c>
    </row>
    <row r="395" spans="1:14" x14ac:dyDescent="0.25">
      <c r="A395" t="s">
        <v>477</v>
      </c>
      <c r="B395" t="s">
        <v>478</v>
      </c>
      <c r="C395">
        <v>1290</v>
      </c>
      <c r="D395">
        <v>204</v>
      </c>
      <c r="E395" s="5">
        <v>0.15813953488372101</v>
      </c>
      <c r="F395">
        <v>12</v>
      </c>
      <c r="G395" t="s">
        <v>30</v>
      </c>
      <c r="H395" t="s">
        <v>57</v>
      </c>
      <c r="I395" t="s">
        <v>15</v>
      </c>
      <c r="J395" s="1">
        <v>45458</v>
      </c>
      <c r="K395" t="s">
        <v>25</v>
      </c>
      <c r="L395" t="s">
        <v>26</v>
      </c>
      <c r="M395" t="s">
        <v>1470</v>
      </c>
      <c r="N395">
        <v>2024</v>
      </c>
    </row>
    <row r="396" spans="1:14" x14ac:dyDescent="0.25">
      <c r="A396" t="s">
        <v>477</v>
      </c>
      <c r="B396" t="s">
        <v>479</v>
      </c>
      <c r="C396">
        <v>1290</v>
      </c>
      <c r="D396">
        <v>204</v>
      </c>
      <c r="E396" s="5">
        <v>0.15813953488372101</v>
      </c>
      <c r="F396">
        <v>12</v>
      </c>
      <c r="G396" t="s">
        <v>30</v>
      </c>
      <c r="H396" t="s">
        <v>57</v>
      </c>
      <c r="I396" t="s">
        <v>15</v>
      </c>
      <c r="J396" s="1">
        <v>45645</v>
      </c>
      <c r="K396" t="s">
        <v>42</v>
      </c>
      <c r="L396" t="s">
        <v>92</v>
      </c>
      <c r="M396" t="s">
        <v>1471</v>
      </c>
      <c r="N396">
        <v>2024</v>
      </c>
    </row>
    <row r="397" spans="1:14" x14ac:dyDescent="0.25">
      <c r="A397" t="s">
        <v>480</v>
      </c>
      <c r="B397" t="s">
        <v>481</v>
      </c>
      <c r="C397">
        <v>4569</v>
      </c>
      <c r="D397">
        <v>1693</v>
      </c>
      <c r="E397" s="5">
        <v>0.37054059969358699</v>
      </c>
      <c r="F397">
        <v>10</v>
      </c>
      <c r="G397" t="s">
        <v>13</v>
      </c>
      <c r="H397" t="s">
        <v>28</v>
      </c>
      <c r="I397" t="s">
        <v>15</v>
      </c>
      <c r="J397" s="1">
        <v>44078</v>
      </c>
      <c r="K397" t="s">
        <v>21</v>
      </c>
      <c r="L397" t="s">
        <v>63</v>
      </c>
      <c r="M397" t="s">
        <v>1480</v>
      </c>
      <c r="N397">
        <v>2020</v>
      </c>
    </row>
    <row r="398" spans="1:14" x14ac:dyDescent="0.25">
      <c r="A398" t="s">
        <v>482</v>
      </c>
      <c r="B398" t="s">
        <v>483</v>
      </c>
      <c r="C398">
        <v>3083</v>
      </c>
      <c r="D398">
        <v>1151</v>
      </c>
      <c r="E398" s="5">
        <v>0.37333765812520298</v>
      </c>
      <c r="F398">
        <v>16</v>
      </c>
      <c r="G398" t="s">
        <v>45</v>
      </c>
      <c r="H398" t="s">
        <v>109</v>
      </c>
      <c r="I398" t="s">
        <v>32</v>
      </c>
      <c r="J398" s="1">
        <v>44667</v>
      </c>
      <c r="K398" t="s">
        <v>17</v>
      </c>
      <c r="L398" t="s">
        <v>34</v>
      </c>
      <c r="M398" t="s">
        <v>1481</v>
      </c>
      <c r="N398">
        <v>2022</v>
      </c>
    </row>
    <row r="399" spans="1:14" x14ac:dyDescent="0.25">
      <c r="A399" t="s">
        <v>484</v>
      </c>
      <c r="B399" t="s">
        <v>485</v>
      </c>
      <c r="C399">
        <v>3522</v>
      </c>
      <c r="D399">
        <v>898</v>
      </c>
      <c r="E399" s="5">
        <v>0.25496876774559901</v>
      </c>
      <c r="F399">
        <v>15</v>
      </c>
      <c r="G399" t="s">
        <v>30</v>
      </c>
      <c r="H399" t="s">
        <v>31</v>
      </c>
      <c r="I399" t="s">
        <v>47</v>
      </c>
      <c r="J399" s="1">
        <v>45533</v>
      </c>
      <c r="K399" t="s">
        <v>98</v>
      </c>
      <c r="L399" t="s">
        <v>117</v>
      </c>
      <c r="M399" t="s">
        <v>1479</v>
      </c>
      <c r="N399">
        <v>2024</v>
      </c>
    </row>
    <row r="400" spans="1:14" x14ac:dyDescent="0.25">
      <c r="A400" t="s">
        <v>484</v>
      </c>
      <c r="B400" t="s">
        <v>486</v>
      </c>
      <c r="C400">
        <v>3522</v>
      </c>
      <c r="D400">
        <v>898</v>
      </c>
      <c r="E400" s="5">
        <v>0.25496876774559901</v>
      </c>
      <c r="F400">
        <v>15</v>
      </c>
      <c r="G400" t="s">
        <v>30</v>
      </c>
      <c r="H400" t="s">
        <v>31</v>
      </c>
      <c r="I400" t="s">
        <v>47</v>
      </c>
      <c r="J400" s="1">
        <v>44575</v>
      </c>
      <c r="K400" t="s">
        <v>42</v>
      </c>
      <c r="L400" t="s">
        <v>43</v>
      </c>
      <c r="M400" t="s">
        <v>1478</v>
      </c>
      <c r="N400">
        <v>2022</v>
      </c>
    </row>
    <row r="401" spans="1:14" x14ac:dyDescent="0.25">
      <c r="A401" t="s">
        <v>487</v>
      </c>
      <c r="B401" t="s">
        <v>488</v>
      </c>
      <c r="C401">
        <v>7301</v>
      </c>
      <c r="D401">
        <v>3602</v>
      </c>
      <c r="E401" s="5">
        <v>0.493357074373374</v>
      </c>
      <c r="F401">
        <v>3</v>
      </c>
      <c r="G401" t="s">
        <v>30</v>
      </c>
      <c r="H401" t="s">
        <v>78</v>
      </c>
      <c r="I401" t="s">
        <v>32</v>
      </c>
      <c r="J401" s="1">
        <v>45389</v>
      </c>
      <c r="K401" t="s">
        <v>71</v>
      </c>
      <c r="L401" t="s">
        <v>138</v>
      </c>
      <c r="M401" t="s">
        <v>1481</v>
      </c>
      <c r="N401">
        <v>2024</v>
      </c>
    </row>
    <row r="402" spans="1:14" x14ac:dyDescent="0.25">
      <c r="A402" t="s">
        <v>489</v>
      </c>
      <c r="B402" t="s">
        <v>490</v>
      </c>
      <c r="C402">
        <v>4462</v>
      </c>
      <c r="D402">
        <v>121</v>
      </c>
      <c r="E402" s="5">
        <v>2.71178843567907E-2</v>
      </c>
      <c r="F402">
        <v>8</v>
      </c>
      <c r="G402" t="s">
        <v>13</v>
      </c>
      <c r="H402" t="s">
        <v>39</v>
      </c>
      <c r="I402" t="s">
        <v>65</v>
      </c>
      <c r="J402" s="1">
        <v>44675</v>
      </c>
      <c r="K402" t="s">
        <v>21</v>
      </c>
      <c r="L402" t="s">
        <v>63</v>
      </c>
      <c r="M402" t="s">
        <v>1481</v>
      </c>
      <c r="N402">
        <v>2022</v>
      </c>
    </row>
    <row r="403" spans="1:14" x14ac:dyDescent="0.25">
      <c r="A403" t="s">
        <v>489</v>
      </c>
      <c r="B403" t="s">
        <v>490</v>
      </c>
      <c r="C403">
        <v>6212</v>
      </c>
      <c r="D403">
        <v>1881</v>
      </c>
      <c r="E403" s="5">
        <v>0.30280103026400501</v>
      </c>
      <c r="F403">
        <v>17</v>
      </c>
      <c r="G403" t="s">
        <v>13</v>
      </c>
      <c r="H403" t="s">
        <v>82</v>
      </c>
      <c r="I403" t="s">
        <v>65</v>
      </c>
      <c r="J403" s="1">
        <v>44675</v>
      </c>
      <c r="K403" t="s">
        <v>21</v>
      </c>
      <c r="L403" t="s">
        <v>63</v>
      </c>
      <c r="M403" t="s">
        <v>1481</v>
      </c>
      <c r="N403">
        <v>2022</v>
      </c>
    </row>
    <row r="404" spans="1:14" x14ac:dyDescent="0.25">
      <c r="A404" t="s">
        <v>491</v>
      </c>
      <c r="B404" t="s">
        <v>492</v>
      </c>
      <c r="C404">
        <v>4027</v>
      </c>
      <c r="D404">
        <v>1386</v>
      </c>
      <c r="E404" s="5">
        <v>0.344176806555749</v>
      </c>
      <c r="F404">
        <v>3</v>
      </c>
      <c r="G404" t="s">
        <v>45</v>
      </c>
      <c r="H404" t="s">
        <v>109</v>
      </c>
      <c r="I404" t="s">
        <v>40</v>
      </c>
      <c r="J404" s="1">
        <v>44070</v>
      </c>
      <c r="K404" t="s">
        <v>17</v>
      </c>
      <c r="L404" t="s">
        <v>150</v>
      </c>
      <c r="M404" t="s">
        <v>1479</v>
      </c>
      <c r="N404">
        <v>2020</v>
      </c>
    </row>
    <row r="405" spans="1:14" x14ac:dyDescent="0.25">
      <c r="A405" t="s">
        <v>493</v>
      </c>
      <c r="B405" t="s">
        <v>494</v>
      </c>
      <c r="C405">
        <v>1676</v>
      </c>
      <c r="D405">
        <v>330</v>
      </c>
      <c r="E405" s="5">
        <v>0.19689737470167101</v>
      </c>
      <c r="F405">
        <v>14</v>
      </c>
      <c r="G405" t="s">
        <v>13</v>
      </c>
      <c r="H405" t="s">
        <v>39</v>
      </c>
      <c r="I405" t="s">
        <v>40</v>
      </c>
      <c r="J405" s="1">
        <v>44986</v>
      </c>
      <c r="K405" t="s">
        <v>98</v>
      </c>
      <c r="L405" t="s">
        <v>117</v>
      </c>
      <c r="M405" t="s">
        <v>1476</v>
      </c>
      <c r="N405">
        <v>2023</v>
      </c>
    </row>
    <row r="406" spans="1:14" x14ac:dyDescent="0.25">
      <c r="A406" t="s">
        <v>493</v>
      </c>
      <c r="B406" t="s">
        <v>494</v>
      </c>
      <c r="C406">
        <v>3927</v>
      </c>
      <c r="D406">
        <v>1133</v>
      </c>
      <c r="E406" s="5">
        <v>0.28851540616246502</v>
      </c>
      <c r="F406">
        <v>12</v>
      </c>
      <c r="G406" t="s">
        <v>45</v>
      </c>
      <c r="H406" t="s">
        <v>109</v>
      </c>
      <c r="I406" t="s">
        <v>65</v>
      </c>
      <c r="J406" s="1">
        <v>44986</v>
      </c>
      <c r="K406" t="s">
        <v>98</v>
      </c>
      <c r="L406" t="s">
        <v>117</v>
      </c>
      <c r="M406" t="s">
        <v>1476</v>
      </c>
      <c r="N406">
        <v>2023</v>
      </c>
    </row>
    <row r="407" spans="1:14" x14ac:dyDescent="0.25">
      <c r="A407" t="s">
        <v>493</v>
      </c>
      <c r="B407" t="s">
        <v>494</v>
      </c>
      <c r="C407">
        <v>2776</v>
      </c>
      <c r="D407">
        <v>887</v>
      </c>
      <c r="E407" s="5">
        <v>0.31952449567723301</v>
      </c>
      <c r="F407">
        <v>9</v>
      </c>
      <c r="G407" t="s">
        <v>13</v>
      </c>
      <c r="H407" t="s">
        <v>82</v>
      </c>
      <c r="I407" t="s">
        <v>32</v>
      </c>
      <c r="J407" s="1">
        <v>44986</v>
      </c>
      <c r="K407" t="s">
        <v>98</v>
      </c>
      <c r="L407" t="s">
        <v>117</v>
      </c>
      <c r="M407" t="s">
        <v>1476</v>
      </c>
      <c r="N407">
        <v>2023</v>
      </c>
    </row>
    <row r="408" spans="1:14" x14ac:dyDescent="0.25">
      <c r="A408" t="s">
        <v>495</v>
      </c>
      <c r="B408" t="s">
        <v>496</v>
      </c>
      <c r="C408">
        <v>7684</v>
      </c>
      <c r="D408">
        <v>1157</v>
      </c>
      <c r="E408" s="5">
        <v>0.15057261842790201</v>
      </c>
      <c r="F408">
        <v>12</v>
      </c>
      <c r="G408" t="s">
        <v>45</v>
      </c>
      <c r="H408" t="s">
        <v>60</v>
      </c>
      <c r="I408" t="s">
        <v>65</v>
      </c>
      <c r="J408" s="1">
        <v>44106</v>
      </c>
      <c r="K408" t="s">
        <v>21</v>
      </c>
      <c r="L408" t="s">
        <v>22</v>
      </c>
      <c r="M408" t="s">
        <v>1474</v>
      </c>
      <c r="N408">
        <v>2020</v>
      </c>
    </row>
    <row r="409" spans="1:14" x14ac:dyDescent="0.25">
      <c r="A409" t="s">
        <v>495</v>
      </c>
      <c r="B409" t="s">
        <v>497</v>
      </c>
      <c r="C409">
        <v>7684</v>
      </c>
      <c r="D409">
        <v>1157</v>
      </c>
      <c r="E409" s="5">
        <v>0.15057261842790201</v>
      </c>
      <c r="F409">
        <v>12</v>
      </c>
      <c r="G409" t="s">
        <v>45</v>
      </c>
      <c r="H409" t="s">
        <v>60</v>
      </c>
      <c r="I409" t="s">
        <v>65</v>
      </c>
      <c r="J409" s="1">
        <v>44005</v>
      </c>
      <c r="K409" t="s">
        <v>25</v>
      </c>
      <c r="L409" t="s">
        <v>26</v>
      </c>
      <c r="M409" t="s">
        <v>1470</v>
      </c>
      <c r="N409">
        <v>2020</v>
      </c>
    </row>
    <row r="410" spans="1:14" x14ac:dyDescent="0.25">
      <c r="A410" t="s">
        <v>495</v>
      </c>
      <c r="B410" t="s">
        <v>498</v>
      </c>
      <c r="C410">
        <v>7684</v>
      </c>
      <c r="D410">
        <v>1157</v>
      </c>
      <c r="E410" s="5">
        <v>0.15057261842790201</v>
      </c>
      <c r="F410">
        <v>12</v>
      </c>
      <c r="G410" t="s">
        <v>45</v>
      </c>
      <c r="H410" t="s">
        <v>60</v>
      </c>
      <c r="I410" t="s">
        <v>65</v>
      </c>
      <c r="J410" s="1">
        <v>45159</v>
      </c>
      <c r="K410" t="s">
        <v>98</v>
      </c>
      <c r="L410" t="s">
        <v>99</v>
      </c>
      <c r="M410" t="s">
        <v>1479</v>
      </c>
      <c r="N410">
        <v>2023</v>
      </c>
    </row>
    <row r="411" spans="1:14" x14ac:dyDescent="0.25">
      <c r="A411" t="s">
        <v>499</v>
      </c>
      <c r="B411" t="s">
        <v>500</v>
      </c>
      <c r="C411">
        <v>6008</v>
      </c>
      <c r="D411">
        <v>2498</v>
      </c>
      <c r="E411" s="5">
        <v>0.41577896138482001</v>
      </c>
      <c r="F411">
        <v>17</v>
      </c>
      <c r="G411" t="s">
        <v>13</v>
      </c>
      <c r="H411" t="s">
        <v>82</v>
      </c>
      <c r="I411" t="s">
        <v>47</v>
      </c>
      <c r="J411" s="1">
        <v>44758</v>
      </c>
      <c r="K411" t="s">
        <v>17</v>
      </c>
      <c r="L411" t="s">
        <v>18</v>
      </c>
      <c r="M411" t="s">
        <v>1472</v>
      </c>
      <c r="N411">
        <v>2022</v>
      </c>
    </row>
    <row r="412" spans="1:14" x14ac:dyDescent="0.25">
      <c r="A412" t="s">
        <v>501</v>
      </c>
      <c r="B412" t="s">
        <v>502</v>
      </c>
      <c r="C412">
        <v>7344</v>
      </c>
      <c r="D412">
        <v>2598</v>
      </c>
      <c r="E412" s="5">
        <v>0.35375816993464099</v>
      </c>
      <c r="F412">
        <v>20</v>
      </c>
      <c r="G412" t="s">
        <v>45</v>
      </c>
      <c r="H412" t="s">
        <v>109</v>
      </c>
      <c r="I412" t="s">
        <v>65</v>
      </c>
      <c r="J412" s="1">
        <v>44774</v>
      </c>
      <c r="K412" t="s">
        <v>71</v>
      </c>
      <c r="L412" t="s">
        <v>72</v>
      </c>
      <c r="M412" t="s">
        <v>1479</v>
      </c>
      <c r="N412">
        <v>2022</v>
      </c>
    </row>
    <row r="413" spans="1:14" x14ac:dyDescent="0.25">
      <c r="A413" t="s">
        <v>503</v>
      </c>
      <c r="B413" t="s">
        <v>504</v>
      </c>
      <c r="C413">
        <v>6932</v>
      </c>
      <c r="D413">
        <v>3218</v>
      </c>
      <c r="E413" s="5">
        <v>0.464223889209463</v>
      </c>
      <c r="F413">
        <v>20</v>
      </c>
      <c r="G413" t="s">
        <v>30</v>
      </c>
      <c r="H413" t="s">
        <v>31</v>
      </c>
      <c r="I413" t="s">
        <v>65</v>
      </c>
      <c r="J413" s="1">
        <v>44028</v>
      </c>
      <c r="K413" t="s">
        <v>17</v>
      </c>
      <c r="L413" t="s">
        <v>34</v>
      </c>
      <c r="M413" t="s">
        <v>1472</v>
      </c>
      <c r="N413">
        <v>2020</v>
      </c>
    </row>
    <row r="414" spans="1:14" x14ac:dyDescent="0.25">
      <c r="A414" t="s">
        <v>505</v>
      </c>
      <c r="B414" t="s">
        <v>506</v>
      </c>
      <c r="C414">
        <v>7748</v>
      </c>
      <c r="D414">
        <v>1706</v>
      </c>
      <c r="E414" s="5">
        <v>0.22018585441404201</v>
      </c>
      <c r="F414">
        <v>16</v>
      </c>
      <c r="G414" t="s">
        <v>13</v>
      </c>
      <c r="H414" t="s">
        <v>14</v>
      </c>
      <c r="I414" t="s">
        <v>40</v>
      </c>
      <c r="J414" s="1">
        <v>43953</v>
      </c>
      <c r="K414" t="s">
        <v>98</v>
      </c>
      <c r="L414" t="s">
        <v>107</v>
      </c>
      <c r="M414" t="s">
        <v>1473</v>
      </c>
      <c r="N414">
        <v>2020</v>
      </c>
    </row>
    <row r="415" spans="1:14" x14ac:dyDescent="0.25">
      <c r="A415" t="s">
        <v>505</v>
      </c>
      <c r="B415" t="s">
        <v>506</v>
      </c>
      <c r="C415">
        <v>6381</v>
      </c>
      <c r="D415">
        <v>2763</v>
      </c>
      <c r="E415" s="5">
        <v>0.43300423131170701</v>
      </c>
      <c r="F415">
        <v>20</v>
      </c>
      <c r="G415" t="s">
        <v>30</v>
      </c>
      <c r="H415" t="s">
        <v>57</v>
      </c>
      <c r="I415" t="s">
        <v>15</v>
      </c>
      <c r="J415" s="1">
        <v>43953</v>
      </c>
      <c r="K415" t="s">
        <v>98</v>
      </c>
      <c r="L415" t="s">
        <v>107</v>
      </c>
      <c r="M415" t="s">
        <v>1473</v>
      </c>
      <c r="N415">
        <v>2020</v>
      </c>
    </row>
    <row r="416" spans="1:14" x14ac:dyDescent="0.25">
      <c r="A416" t="s">
        <v>505</v>
      </c>
      <c r="B416" t="s">
        <v>506</v>
      </c>
      <c r="C416">
        <v>992</v>
      </c>
      <c r="D416">
        <v>64</v>
      </c>
      <c r="E416" s="5">
        <v>6.4516129032258104E-2</v>
      </c>
      <c r="F416">
        <v>6</v>
      </c>
      <c r="G416" t="s">
        <v>13</v>
      </c>
      <c r="H416" t="s">
        <v>82</v>
      </c>
      <c r="I416" t="s">
        <v>47</v>
      </c>
      <c r="J416" s="1">
        <v>43953</v>
      </c>
      <c r="K416" t="s">
        <v>98</v>
      </c>
      <c r="L416" t="s">
        <v>107</v>
      </c>
      <c r="M416" t="s">
        <v>1473</v>
      </c>
      <c r="N416">
        <v>2020</v>
      </c>
    </row>
    <row r="417" spans="1:14" x14ac:dyDescent="0.25">
      <c r="A417" t="s">
        <v>507</v>
      </c>
      <c r="B417" t="s">
        <v>508</v>
      </c>
      <c r="C417">
        <v>8649</v>
      </c>
      <c r="D417">
        <v>2631</v>
      </c>
      <c r="E417" s="5">
        <v>0.30419701699618401</v>
      </c>
      <c r="F417">
        <v>13</v>
      </c>
      <c r="G417" t="s">
        <v>13</v>
      </c>
      <c r="H417" t="s">
        <v>39</v>
      </c>
      <c r="I417" t="s">
        <v>40</v>
      </c>
      <c r="J417" s="1">
        <v>45301</v>
      </c>
      <c r="K417" t="s">
        <v>42</v>
      </c>
      <c r="L417" t="s">
        <v>92</v>
      </c>
      <c r="M417" t="s">
        <v>1478</v>
      </c>
      <c r="N417">
        <v>2024</v>
      </c>
    </row>
    <row r="418" spans="1:14" x14ac:dyDescent="0.25">
      <c r="A418" t="s">
        <v>507</v>
      </c>
      <c r="B418" t="s">
        <v>509</v>
      </c>
      <c r="C418">
        <v>8649</v>
      </c>
      <c r="D418">
        <v>2631</v>
      </c>
      <c r="E418" s="5">
        <v>0.30419701699618401</v>
      </c>
      <c r="F418">
        <v>13</v>
      </c>
      <c r="G418" t="s">
        <v>13</v>
      </c>
      <c r="H418" t="s">
        <v>39</v>
      </c>
      <c r="I418" t="s">
        <v>40</v>
      </c>
      <c r="J418" s="1">
        <v>44104</v>
      </c>
      <c r="K418" t="s">
        <v>25</v>
      </c>
      <c r="L418" t="s">
        <v>68</v>
      </c>
      <c r="M418" t="s">
        <v>1480</v>
      </c>
      <c r="N418">
        <v>2020</v>
      </c>
    </row>
    <row r="419" spans="1:14" x14ac:dyDescent="0.25">
      <c r="A419" t="s">
        <v>510</v>
      </c>
      <c r="B419" t="s">
        <v>511</v>
      </c>
      <c r="C419">
        <v>4099</v>
      </c>
      <c r="D419">
        <v>52</v>
      </c>
      <c r="E419" s="5">
        <v>1.2686020980727001E-2</v>
      </c>
      <c r="F419">
        <v>18</v>
      </c>
      <c r="G419" t="s">
        <v>13</v>
      </c>
      <c r="H419" t="s">
        <v>39</v>
      </c>
      <c r="I419" t="s">
        <v>15</v>
      </c>
      <c r="J419" s="1">
        <v>44648</v>
      </c>
      <c r="K419" t="s">
        <v>25</v>
      </c>
      <c r="L419" t="s">
        <v>51</v>
      </c>
      <c r="M419" t="s">
        <v>1476</v>
      </c>
      <c r="N419">
        <v>2022</v>
      </c>
    </row>
    <row r="420" spans="1:14" x14ac:dyDescent="0.25">
      <c r="A420" t="s">
        <v>512</v>
      </c>
      <c r="B420" t="s">
        <v>513</v>
      </c>
      <c r="C420">
        <v>2539</v>
      </c>
      <c r="D420">
        <v>324</v>
      </c>
      <c r="E420" s="5">
        <v>0.127609294998031</v>
      </c>
      <c r="F420">
        <v>5</v>
      </c>
      <c r="G420" t="s">
        <v>13</v>
      </c>
      <c r="H420" t="s">
        <v>14</v>
      </c>
      <c r="I420" t="s">
        <v>15</v>
      </c>
      <c r="J420" s="1">
        <v>44226</v>
      </c>
      <c r="K420" t="s">
        <v>42</v>
      </c>
      <c r="L420" t="s">
        <v>92</v>
      </c>
      <c r="M420" t="s">
        <v>1478</v>
      </c>
      <c r="N420">
        <v>2021</v>
      </c>
    </row>
    <row r="421" spans="1:14" x14ac:dyDescent="0.25">
      <c r="A421" t="s">
        <v>514</v>
      </c>
      <c r="B421" t="s">
        <v>515</v>
      </c>
      <c r="C421">
        <v>9845</v>
      </c>
      <c r="D421">
        <v>3062</v>
      </c>
      <c r="E421" s="5">
        <v>0.31102082275266602</v>
      </c>
      <c r="F421">
        <v>9</v>
      </c>
      <c r="G421" t="s">
        <v>30</v>
      </c>
      <c r="H421" t="s">
        <v>64</v>
      </c>
      <c r="I421" t="s">
        <v>65</v>
      </c>
      <c r="J421" s="1">
        <v>45730</v>
      </c>
      <c r="K421" t="s">
        <v>17</v>
      </c>
      <c r="L421" t="s">
        <v>34</v>
      </c>
      <c r="M421" t="s">
        <v>1476</v>
      </c>
      <c r="N421">
        <v>2025</v>
      </c>
    </row>
    <row r="422" spans="1:14" x14ac:dyDescent="0.25">
      <c r="A422" t="s">
        <v>516</v>
      </c>
      <c r="B422" t="s">
        <v>517</v>
      </c>
      <c r="C422">
        <v>2901</v>
      </c>
      <c r="D422">
        <v>1411</v>
      </c>
      <c r="E422" s="5">
        <v>0.48638400551534</v>
      </c>
      <c r="F422">
        <v>2</v>
      </c>
      <c r="G422" t="s">
        <v>30</v>
      </c>
      <c r="H422" t="s">
        <v>64</v>
      </c>
      <c r="I422" t="s">
        <v>32</v>
      </c>
      <c r="J422" s="1">
        <v>44495</v>
      </c>
      <c r="K422" t="s">
        <v>71</v>
      </c>
      <c r="L422" t="s">
        <v>86</v>
      </c>
      <c r="M422" t="s">
        <v>1474</v>
      </c>
      <c r="N422">
        <v>2021</v>
      </c>
    </row>
    <row r="423" spans="1:14" x14ac:dyDescent="0.25">
      <c r="A423" t="s">
        <v>516</v>
      </c>
      <c r="B423" t="s">
        <v>518</v>
      </c>
      <c r="C423">
        <v>2901</v>
      </c>
      <c r="D423">
        <v>1411</v>
      </c>
      <c r="E423" s="5">
        <v>0.48638400551534</v>
      </c>
      <c r="F423">
        <v>2</v>
      </c>
      <c r="G423" t="s">
        <v>30</v>
      </c>
      <c r="H423" t="s">
        <v>64</v>
      </c>
      <c r="I423" t="s">
        <v>32</v>
      </c>
      <c r="J423" s="1">
        <v>44937</v>
      </c>
      <c r="K423" t="s">
        <v>42</v>
      </c>
      <c r="L423" t="s">
        <v>43</v>
      </c>
      <c r="M423" t="s">
        <v>1478</v>
      </c>
      <c r="N423">
        <v>2023</v>
      </c>
    </row>
    <row r="424" spans="1:14" x14ac:dyDescent="0.25">
      <c r="A424" t="s">
        <v>516</v>
      </c>
      <c r="B424" t="s">
        <v>517</v>
      </c>
      <c r="C424">
        <v>6934</v>
      </c>
      <c r="D424">
        <v>1152</v>
      </c>
      <c r="E424" s="5">
        <v>0.16613787135852301</v>
      </c>
      <c r="F424">
        <v>6</v>
      </c>
      <c r="G424" t="s">
        <v>30</v>
      </c>
      <c r="H424" t="s">
        <v>31</v>
      </c>
      <c r="I424" t="s">
        <v>47</v>
      </c>
      <c r="J424" s="1">
        <v>44495</v>
      </c>
      <c r="K424" t="s">
        <v>71</v>
      </c>
      <c r="L424" t="s">
        <v>86</v>
      </c>
      <c r="M424" t="s">
        <v>1474</v>
      </c>
      <c r="N424">
        <v>2021</v>
      </c>
    </row>
    <row r="425" spans="1:14" x14ac:dyDescent="0.25">
      <c r="A425" t="s">
        <v>516</v>
      </c>
      <c r="B425" t="s">
        <v>518</v>
      </c>
      <c r="C425">
        <v>6934</v>
      </c>
      <c r="D425">
        <v>1152</v>
      </c>
      <c r="E425" s="5">
        <v>0.16613787135852301</v>
      </c>
      <c r="F425">
        <v>6</v>
      </c>
      <c r="G425" t="s">
        <v>30</v>
      </c>
      <c r="H425" t="s">
        <v>31</v>
      </c>
      <c r="I425" t="s">
        <v>47</v>
      </c>
      <c r="J425" s="1">
        <v>44937</v>
      </c>
      <c r="K425" t="s">
        <v>42</v>
      </c>
      <c r="L425" t="s">
        <v>43</v>
      </c>
      <c r="M425" t="s">
        <v>1478</v>
      </c>
      <c r="N425">
        <v>2023</v>
      </c>
    </row>
    <row r="426" spans="1:14" x14ac:dyDescent="0.25">
      <c r="A426" t="s">
        <v>519</v>
      </c>
      <c r="B426" t="s">
        <v>520</v>
      </c>
      <c r="C426">
        <v>9640</v>
      </c>
      <c r="D426">
        <v>2606</v>
      </c>
      <c r="E426" s="5">
        <v>0.27033195020746897</v>
      </c>
      <c r="F426">
        <v>2</v>
      </c>
      <c r="G426" t="s">
        <v>45</v>
      </c>
      <c r="H426" t="s">
        <v>109</v>
      </c>
      <c r="I426" t="s">
        <v>47</v>
      </c>
      <c r="J426" s="1">
        <v>44500</v>
      </c>
      <c r="K426" t="s">
        <v>21</v>
      </c>
      <c r="L426" t="s">
        <v>172</v>
      </c>
      <c r="M426" t="s">
        <v>1474</v>
      </c>
      <c r="N426">
        <v>2021</v>
      </c>
    </row>
    <row r="427" spans="1:14" x14ac:dyDescent="0.25">
      <c r="A427" t="s">
        <v>521</v>
      </c>
      <c r="B427" t="s">
        <v>522</v>
      </c>
      <c r="C427">
        <v>7930</v>
      </c>
      <c r="D427">
        <v>1981</v>
      </c>
      <c r="E427" s="5">
        <v>0.249810844892812</v>
      </c>
      <c r="F427">
        <v>13</v>
      </c>
      <c r="G427" t="s">
        <v>45</v>
      </c>
      <c r="H427" t="s">
        <v>49</v>
      </c>
      <c r="I427" t="s">
        <v>47</v>
      </c>
      <c r="J427" s="1">
        <v>45050</v>
      </c>
      <c r="K427" t="s">
        <v>98</v>
      </c>
      <c r="L427" t="s">
        <v>117</v>
      </c>
      <c r="M427" t="s">
        <v>1473</v>
      </c>
      <c r="N427">
        <v>2023</v>
      </c>
    </row>
    <row r="428" spans="1:14" x14ac:dyDescent="0.25">
      <c r="A428" t="s">
        <v>521</v>
      </c>
      <c r="B428" t="s">
        <v>523</v>
      </c>
      <c r="C428">
        <v>7930</v>
      </c>
      <c r="D428">
        <v>1981</v>
      </c>
      <c r="E428" s="5">
        <v>0.249810844892812</v>
      </c>
      <c r="F428">
        <v>13</v>
      </c>
      <c r="G428" t="s">
        <v>45</v>
      </c>
      <c r="H428" t="s">
        <v>49</v>
      </c>
      <c r="I428" t="s">
        <v>47</v>
      </c>
      <c r="J428" s="1">
        <v>45513</v>
      </c>
      <c r="K428" t="s">
        <v>21</v>
      </c>
      <c r="L428" t="s">
        <v>63</v>
      </c>
      <c r="M428" t="s">
        <v>1479</v>
      </c>
      <c r="N428">
        <v>2024</v>
      </c>
    </row>
    <row r="429" spans="1:14" x14ac:dyDescent="0.25">
      <c r="A429" t="s">
        <v>524</v>
      </c>
      <c r="B429" t="s">
        <v>525</v>
      </c>
      <c r="C429">
        <v>9894</v>
      </c>
      <c r="D429">
        <v>829</v>
      </c>
      <c r="E429" s="5">
        <v>8.3788154437032497E-2</v>
      </c>
      <c r="F429">
        <v>1</v>
      </c>
      <c r="G429" t="s">
        <v>30</v>
      </c>
      <c r="H429" t="s">
        <v>78</v>
      </c>
      <c r="I429" t="s">
        <v>65</v>
      </c>
      <c r="J429" s="1">
        <v>44794</v>
      </c>
      <c r="K429" t="s">
        <v>42</v>
      </c>
      <c r="L429" t="s">
        <v>75</v>
      </c>
      <c r="M429" t="s">
        <v>1479</v>
      </c>
      <c r="N429">
        <v>2022</v>
      </c>
    </row>
    <row r="430" spans="1:14" x14ac:dyDescent="0.25">
      <c r="A430" t="s">
        <v>524</v>
      </c>
      <c r="B430" t="s">
        <v>525</v>
      </c>
      <c r="C430">
        <v>4534</v>
      </c>
      <c r="D430">
        <v>2235</v>
      </c>
      <c r="E430" s="5">
        <v>0.492942214380238</v>
      </c>
      <c r="F430">
        <v>4</v>
      </c>
      <c r="G430" t="s">
        <v>45</v>
      </c>
      <c r="H430" t="s">
        <v>46</v>
      </c>
      <c r="I430" t="s">
        <v>65</v>
      </c>
      <c r="J430" s="1">
        <v>44794</v>
      </c>
      <c r="K430" t="s">
        <v>42</v>
      </c>
      <c r="L430" t="s">
        <v>75</v>
      </c>
      <c r="M430" t="s">
        <v>1479</v>
      </c>
      <c r="N430">
        <v>2022</v>
      </c>
    </row>
    <row r="431" spans="1:14" x14ac:dyDescent="0.25">
      <c r="A431" t="s">
        <v>526</v>
      </c>
      <c r="B431" t="s">
        <v>527</v>
      </c>
      <c r="C431">
        <v>4911</v>
      </c>
      <c r="D431">
        <v>186</v>
      </c>
      <c r="E431" s="5">
        <v>3.7874160048869898E-2</v>
      </c>
      <c r="F431">
        <v>20</v>
      </c>
      <c r="G431" t="s">
        <v>13</v>
      </c>
      <c r="H431" t="s">
        <v>82</v>
      </c>
      <c r="I431" t="s">
        <v>32</v>
      </c>
      <c r="J431" s="1">
        <v>44731</v>
      </c>
      <c r="K431" t="s">
        <v>25</v>
      </c>
      <c r="L431" t="s">
        <v>26</v>
      </c>
      <c r="M431" t="s">
        <v>1470</v>
      </c>
      <c r="N431">
        <v>2022</v>
      </c>
    </row>
    <row r="432" spans="1:14" x14ac:dyDescent="0.25">
      <c r="A432" t="s">
        <v>526</v>
      </c>
      <c r="B432" t="s">
        <v>527</v>
      </c>
      <c r="C432">
        <v>531</v>
      </c>
      <c r="D432">
        <v>189</v>
      </c>
      <c r="E432" s="5">
        <v>0.35593220338983</v>
      </c>
      <c r="F432">
        <v>20</v>
      </c>
      <c r="G432" t="s">
        <v>45</v>
      </c>
      <c r="H432" t="s">
        <v>109</v>
      </c>
      <c r="I432" t="s">
        <v>32</v>
      </c>
      <c r="J432" s="1">
        <v>44731</v>
      </c>
      <c r="K432" t="s">
        <v>25</v>
      </c>
      <c r="L432" t="s">
        <v>26</v>
      </c>
      <c r="M432" t="s">
        <v>1470</v>
      </c>
      <c r="N432">
        <v>2022</v>
      </c>
    </row>
    <row r="433" spans="1:14" x14ac:dyDescent="0.25">
      <c r="A433" t="s">
        <v>528</v>
      </c>
      <c r="B433" t="s">
        <v>529</v>
      </c>
      <c r="C433">
        <v>9707</v>
      </c>
      <c r="D433">
        <v>3483</v>
      </c>
      <c r="E433" s="5">
        <v>0.35881322756773498</v>
      </c>
      <c r="F433">
        <v>10</v>
      </c>
      <c r="G433" t="s">
        <v>13</v>
      </c>
      <c r="H433" t="s">
        <v>14</v>
      </c>
      <c r="I433" t="s">
        <v>40</v>
      </c>
      <c r="J433" s="1">
        <v>45686</v>
      </c>
      <c r="K433" t="s">
        <v>21</v>
      </c>
      <c r="L433" t="s">
        <v>172</v>
      </c>
      <c r="M433" t="s">
        <v>1478</v>
      </c>
      <c r="N433">
        <v>2025</v>
      </c>
    </row>
    <row r="434" spans="1:14" x14ac:dyDescent="0.25">
      <c r="A434" t="s">
        <v>528</v>
      </c>
      <c r="B434" t="s">
        <v>529</v>
      </c>
      <c r="C434">
        <v>8521</v>
      </c>
      <c r="D434">
        <v>2584</v>
      </c>
      <c r="E434" s="5">
        <v>0.30325079216054401</v>
      </c>
      <c r="F434">
        <v>7</v>
      </c>
      <c r="G434" t="s">
        <v>30</v>
      </c>
      <c r="H434" t="s">
        <v>64</v>
      </c>
      <c r="I434" t="s">
        <v>65</v>
      </c>
      <c r="J434" s="1">
        <v>45686</v>
      </c>
      <c r="K434" t="s">
        <v>21</v>
      </c>
      <c r="L434" t="s">
        <v>172</v>
      </c>
      <c r="M434" t="s">
        <v>1478</v>
      </c>
      <c r="N434">
        <v>2025</v>
      </c>
    </row>
    <row r="435" spans="1:14" x14ac:dyDescent="0.25">
      <c r="A435" t="s">
        <v>530</v>
      </c>
      <c r="B435" t="s">
        <v>531</v>
      </c>
      <c r="C435">
        <v>8438</v>
      </c>
      <c r="D435">
        <v>3427</v>
      </c>
      <c r="E435" s="5">
        <v>0.40613889547286097</v>
      </c>
      <c r="F435">
        <v>12</v>
      </c>
      <c r="G435" t="s">
        <v>30</v>
      </c>
      <c r="H435" t="s">
        <v>78</v>
      </c>
      <c r="I435" t="s">
        <v>47</v>
      </c>
      <c r="J435" s="1">
        <v>44575</v>
      </c>
      <c r="K435" t="s">
        <v>25</v>
      </c>
      <c r="L435" t="s">
        <v>26</v>
      </c>
      <c r="M435" t="s">
        <v>1478</v>
      </c>
      <c r="N435">
        <v>2022</v>
      </c>
    </row>
    <row r="436" spans="1:14" x14ac:dyDescent="0.25">
      <c r="A436" t="s">
        <v>530</v>
      </c>
      <c r="B436" t="s">
        <v>531</v>
      </c>
      <c r="C436">
        <v>1689</v>
      </c>
      <c r="D436">
        <v>109</v>
      </c>
      <c r="E436" s="5">
        <v>6.4535227945529905E-2</v>
      </c>
      <c r="F436">
        <v>9</v>
      </c>
      <c r="G436" t="s">
        <v>13</v>
      </c>
      <c r="H436" t="s">
        <v>14</v>
      </c>
      <c r="I436" t="s">
        <v>15</v>
      </c>
      <c r="J436" s="1">
        <v>44575</v>
      </c>
      <c r="K436" t="s">
        <v>25</v>
      </c>
      <c r="L436" t="s">
        <v>26</v>
      </c>
      <c r="M436" t="s">
        <v>1478</v>
      </c>
      <c r="N436">
        <v>2022</v>
      </c>
    </row>
    <row r="437" spans="1:14" x14ac:dyDescent="0.25">
      <c r="A437" t="s">
        <v>530</v>
      </c>
      <c r="B437" t="s">
        <v>531</v>
      </c>
      <c r="C437">
        <v>3936</v>
      </c>
      <c r="D437">
        <v>1626</v>
      </c>
      <c r="E437" s="5">
        <v>0.41310975609756101</v>
      </c>
      <c r="F437">
        <v>14</v>
      </c>
      <c r="G437" t="s">
        <v>30</v>
      </c>
      <c r="H437" t="s">
        <v>64</v>
      </c>
      <c r="I437" t="s">
        <v>65</v>
      </c>
      <c r="J437" s="1">
        <v>44575</v>
      </c>
      <c r="K437" t="s">
        <v>25</v>
      </c>
      <c r="L437" t="s">
        <v>26</v>
      </c>
      <c r="M437" t="s">
        <v>1478</v>
      </c>
      <c r="N437">
        <v>2022</v>
      </c>
    </row>
    <row r="438" spans="1:14" x14ac:dyDescent="0.25">
      <c r="A438" t="s">
        <v>532</v>
      </c>
      <c r="B438" t="s">
        <v>533</v>
      </c>
      <c r="C438">
        <v>7664</v>
      </c>
      <c r="D438">
        <v>1753</v>
      </c>
      <c r="E438" s="5">
        <v>0.22873173277661801</v>
      </c>
      <c r="F438">
        <v>19</v>
      </c>
      <c r="G438" t="s">
        <v>13</v>
      </c>
      <c r="H438" t="s">
        <v>82</v>
      </c>
      <c r="I438" t="s">
        <v>32</v>
      </c>
      <c r="J438" s="1">
        <v>45092</v>
      </c>
      <c r="K438" t="s">
        <v>98</v>
      </c>
      <c r="L438" t="s">
        <v>107</v>
      </c>
      <c r="M438" t="s">
        <v>1470</v>
      </c>
      <c r="N438">
        <v>2023</v>
      </c>
    </row>
    <row r="439" spans="1:14" x14ac:dyDescent="0.25">
      <c r="A439" t="s">
        <v>534</v>
      </c>
      <c r="B439" t="s">
        <v>535</v>
      </c>
      <c r="C439">
        <v>721</v>
      </c>
      <c r="D439">
        <v>258</v>
      </c>
      <c r="E439" s="5">
        <v>0.35783633841886298</v>
      </c>
      <c r="F439">
        <v>13</v>
      </c>
      <c r="G439" t="s">
        <v>13</v>
      </c>
      <c r="H439" t="s">
        <v>39</v>
      </c>
      <c r="I439" t="s">
        <v>32</v>
      </c>
      <c r="J439" s="1">
        <v>45217</v>
      </c>
      <c r="K439" t="s">
        <v>21</v>
      </c>
      <c r="L439" t="s">
        <v>172</v>
      </c>
      <c r="M439" t="s">
        <v>1474</v>
      </c>
      <c r="N439">
        <v>2023</v>
      </c>
    </row>
    <row r="440" spans="1:14" x14ac:dyDescent="0.25">
      <c r="A440" t="s">
        <v>534</v>
      </c>
      <c r="B440" t="s">
        <v>536</v>
      </c>
      <c r="C440">
        <v>721</v>
      </c>
      <c r="D440">
        <v>258</v>
      </c>
      <c r="E440" s="5">
        <v>0.35783633841886298</v>
      </c>
      <c r="F440">
        <v>13</v>
      </c>
      <c r="G440" t="s">
        <v>13</v>
      </c>
      <c r="H440" t="s">
        <v>39</v>
      </c>
      <c r="I440" t="s">
        <v>32</v>
      </c>
      <c r="J440" s="1">
        <v>44725</v>
      </c>
      <c r="K440" t="s">
        <v>25</v>
      </c>
      <c r="L440" t="s">
        <v>26</v>
      </c>
      <c r="M440" t="s">
        <v>1470</v>
      </c>
      <c r="N440">
        <v>2022</v>
      </c>
    </row>
    <row r="441" spans="1:14" x14ac:dyDescent="0.25">
      <c r="A441" t="s">
        <v>534</v>
      </c>
      <c r="B441" t="s">
        <v>535</v>
      </c>
      <c r="C441">
        <v>8364</v>
      </c>
      <c r="D441">
        <v>3055</v>
      </c>
      <c r="E441" s="5">
        <v>0.365255858440937</v>
      </c>
      <c r="F441">
        <v>17</v>
      </c>
      <c r="G441" t="s">
        <v>13</v>
      </c>
      <c r="H441" t="s">
        <v>39</v>
      </c>
      <c r="I441" t="s">
        <v>47</v>
      </c>
      <c r="J441" s="1">
        <v>45217</v>
      </c>
      <c r="K441" t="s">
        <v>21</v>
      </c>
      <c r="L441" t="s">
        <v>172</v>
      </c>
      <c r="M441" t="s">
        <v>1474</v>
      </c>
      <c r="N441">
        <v>2023</v>
      </c>
    </row>
    <row r="442" spans="1:14" x14ac:dyDescent="0.25">
      <c r="A442" t="s">
        <v>534</v>
      </c>
      <c r="B442" t="s">
        <v>536</v>
      </c>
      <c r="C442">
        <v>8364</v>
      </c>
      <c r="D442">
        <v>3055</v>
      </c>
      <c r="E442" s="5">
        <v>0.365255858440937</v>
      </c>
      <c r="F442">
        <v>17</v>
      </c>
      <c r="G442" t="s">
        <v>13</v>
      </c>
      <c r="H442" t="s">
        <v>39</v>
      </c>
      <c r="I442" t="s">
        <v>47</v>
      </c>
      <c r="J442" s="1">
        <v>44725</v>
      </c>
      <c r="K442" t="s">
        <v>25</v>
      </c>
      <c r="L442" t="s">
        <v>26</v>
      </c>
      <c r="M442" t="s">
        <v>1470</v>
      </c>
      <c r="N442">
        <v>2022</v>
      </c>
    </row>
    <row r="443" spans="1:14" x14ac:dyDescent="0.25">
      <c r="A443" t="s">
        <v>534</v>
      </c>
      <c r="B443" t="s">
        <v>535</v>
      </c>
      <c r="C443">
        <v>5234</v>
      </c>
      <c r="D443">
        <v>2021</v>
      </c>
      <c r="E443" s="5">
        <v>0.38612915552159</v>
      </c>
      <c r="F443">
        <v>15</v>
      </c>
      <c r="G443" t="s">
        <v>45</v>
      </c>
      <c r="H443" t="s">
        <v>109</v>
      </c>
      <c r="I443" t="s">
        <v>40</v>
      </c>
      <c r="J443" s="1">
        <v>45217</v>
      </c>
      <c r="K443" t="s">
        <v>21</v>
      </c>
      <c r="L443" t="s">
        <v>172</v>
      </c>
      <c r="M443" t="s">
        <v>1474</v>
      </c>
      <c r="N443">
        <v>2023</v>
      </c>
    </row>
    <row r="444" spans="1:14" x14ac:dyDescent="0.25">
      <c r="A444" t="s">
        <v>534</v>
      </c>
      <c r="B444" t="s">
        <v>536</v>
      </c>
      <c r="C444">
        <v>5234</v>
      </c>
      <c r="D444">
        <v>2021</v>
      </c>
      <c r="E444" s="5">
        <v>0.38612915552159</v>
      </c>
      <c r="F444">
        <v>15</v>
      </c>
      <c r="G444" t="s">
        <v>45</v>
      </c>
      <c r="H444" t="s">
        <v>109</v>
      </c>
      <c r="I444" t="s">
        <v>40</v>
      </c>
      <c r="J444" s="1">
        <v>44725</v>
      </c>
      <c r="K444" t="s">
        <v>25</v>
      </c>
      <c r="L444" t="s">
        <v>26</v>
      </c>
      <c r="M444" t="s">
        <v>1470</v>
      </c>
      <c r="N444">
        <v>2022</v>
      </c>
    </row>
    <row r="445" spans="1:14" x14ac:dyDescent="0.25">
      <c r="A445" t="s">
        <v>537</v>
      </c>
      <c r="B445" t="s">
        <v>538</v>
      </c>
      <c r="C445">
        <v>3944</v>
      </c>
      <c r="D445">
        <v>1559</v>
      </c>
      <c r="E445" s="5">
        <v>0.39528397565922901</v>
      </c>
      <c r="F445">
        <v>18</v>
      </c>
      <c r="G445" t="s">
        <v>13</v>
      </c>
      <c r="H445" t="s">
        <v>82</v>
      </c>
      <c r="I445" t="s">
        <v>47</v>
      </c>
      <c r="J445" s="1">
        <v>45455</v>
      </c>
      <c r="K445" t="s">
        <v>42</v>
      </c>
      <c r="L445" t="s">
        <v>92</v>
      </c>
      <c r="M445" t="s">
        <v>1470</v>
      </c>
      <c r="N445">
        <v>2024</v>
      </c>
    </row>
    <row r="446" spans="1:14" x14ac:dyDescent="0.25">
      <c r="A446" t="s">
        <v>537</v>
      </c>
      <c r="B446" t="s">
        <v>538</v>
      </c>
      <c r="C446">
        <v>6711</v>
      </c>
      <c r="D446">
        <v>1045</v>
      </c>
      <c r="E446" s="5">
        <v>0.155714498584414</v>
      </c>
      <c r="F446">
        <v>12</v>
      </c>
      <c r="G446" t="s">
        <v>30</v>
      </c>
      <c r="H446" t="s">
        <v>31</v>
      </c>
      <c r="I446" t="s">
        <v>47</v>
      </c>
      <c r="J446" s="1">
        <v>45455</v>
      </c>
      <c r="K446" t="s">
        <v>42</v>
      </c>
      <c r="L446" t="s">
        <v>92</v>
      </c>
      <c r="M446" t="s">
        <v>1470</v>
      </c>
      <c r="N446">
        <v>2024</v>
      </c>
    </row>
    <row r="447" spans="1:14" x14ac:dyDescent="0.25">
      <c r="A447" t="s">
        <v>537</v>
      </c>
      <c r="B447" t="s">
        <v>538</v>
      </c>
      <c r="C447">
        <v>5031</v>
      </c>
      <c r="D447">
        <v>714</v>
      </c>
      <c r="E447" s="5">
        <v>0.14192009540846801</v>
      </c>
      <c r="F447">
        <v>4</v>
      </c>
      <c r="G447" t="s">
        <v>45</v>
      </c>
      <c r="H447" t="s">
        <v>46</v>
      </c>
      <c r="I447" t="s">
        <v>47</v>
      </c>
      <c r="J447" s="1">
        <v>45455</v>
      </c>
      <c r="K447" t="s">
        <v>42</v>
      </c>
      <c r="L447" t="s">
        <v>92</v>
      </c>
      <c r="M447" t="s">
        <v>1470</v>
      </c>
      <c r="N447">
        <v>2024</v>
      </c>
    </row>
    <row r="448" spans="1:14" x14ac:dyDescent="0.25">
      <c r="A448" t="s">
        <v>537</v>
      </c>
      <c r="B448" t="s">
        <v>538</v>
      </c>
      <c r="C448">
        <v>6295</v>
      </c>
      <c r="D448">
        <v>2469</v>
      </c>
      <c r="E448" s="5">
        <v>0.39221604447974601</v>
      </c>
      <c r="F448">
        <v>14</v>
      </c>
      <c r="G448" t="s">
        <v>30</v>
      </c>
      <c r="H448" t="s">
        <v>78</v>
      </c>
      <c r="I448" t="s">
        <v>40</v>
      </c>
      <c r="J448" s="1">
        <v>45455</v>
      </c>
      <c r="K448" t="s">
        <v>42</v>
      </c>
      <c r="L448" t="s">
        <v>92</v>
      </c>
      <c r="M448" t="s">
        <v>1470</v>
      </c>
      <c r="N448">
        <v>2024</v>
      </c>
    </row>
    <row r="449" spans="1:14" x14ac:dyDescent="0.25">
      <c r="A449" t="s">
        <v>539</v>
      </c>
      <c r="B449" t="s">
        <v>540</v>
      </c>
      <c r="C449">
        <v>9654</v>
      </c>
      <c r="D449">
        <v>4111</v>
      </c>
      <c r="E449" s="5">
        <v>0.42583385125336598</v>
      </c>
      <c r="F449">
        <v>1</v>
      </c>
      <c r="G449" t="s">
        <v>30</v>
      </c>
      <c r="H449" t="s">
        <v>64</v>
      </c>
      <c r="I449" t="s">
        <v>15</v>
      </c>
      <c r="J449" s="1">
        <v>44739</v>
      </c>
      <c r="K449" t="s">
        <v>42</v>
      </c>
      <c r="L449" t="s">
        <v>92</v>
      </c>
      <c r="M449" t="s">
        <v>1470</v>
      </c>
      <c r="N449">
        <v>2022</v>
      </c>
    </row>
    <row r="450" spans="1:14" x14ac:dyDescent="0.25">
      <c r="A450" t="s">
        <v>539</v>
      </c>
      <c r="B450" t="s">
        <v>540</v>
      </c>
      <c r="C450">
        <v>3112</v>
      </c>
      <c r="D450">
        <v>1065</v>
      </c>
      <c r="E450" s="5">
        <v>0.34222365038560398</v>
      </c>
      <c r="F450">
        <v>20</v>
      </c>
      <c r="G450" t="s">
        <v>30</v>
      </c>
      <c r="H450" t="s">
        <v>78</v>
      </c>
      <c r="I450" t="s">
        <v>65</v>
      </c>
      <c r="J450" s="1">
        <v>44739</v>
      </c>
      <c r="K450" t="s">
        <v>42</v>
      </c>
      <c r="L450" t="s">
        <v>92</v>
      </c>
      <c r="M450" t="s">
        <v>1470</v>
      </c>
      <c r="N450">
        <v>2022</v>
      </c>
    </row>
    <row r="451" spans="1:14" x14ac:dyDescent="0.25">
      <c r="A451" t="s">
        <v>541</v>
      </c>
      <c r="B451" t="s">
        <v>542</v>
      </c>
      <c r="C451">
        <v>7838</v>
      </c>
      <c r="D451">
        <v>1142</v>
      </c>
      <c r="E451" s="5">
        <v>0.145700433784129</v>
      </c>
      <c r="F451">
        <v>13</v>
      </c>
      <c r="G451" t="s">
        <v>13</v>
      </c>
      <c r="H451" t="s">
        <v>82</v>
      </c>
      <c r="I451" t="s">
        <v>15</v>
      </c>
      <c r="J451" s="1">
        <v>44245</v>
      </c>
      <c r="K451" t="s">
        <v>42</v>
      </c>
      <c r="L451" t="s">
        <v>92</v>
      </c>
      <c r="M451" t="s">
        <v>1477</v>
      </c>
      <c r="N451">
        <v>2021</v>
      </c>
    </row>
    <row r="452" spans="1:14" x14ac:dyDescent="0.25">
      <c r="A452" t="s">
        <v>541</v>
      </c>
      <c r="B452" t="s">
        <v>542</v>
      </c>
      <c r="C452">
        <v>9300</v>
      </c>
      <c r="D452">
        <v>3146</v>
      </c>
      <c r="E452" s="5">
        <v>0.33827956989247299</v>
      </c>
      <c r="F452">
        <v>6</v>
      </c>
      <c r="G452" t="s">
        <v>13</v>
      </c>
      <c r="H452" t="s">
        <v>82</v>
      </c>
      <c r="I452" t="s">
        <v>47</v>
      </c>
      <c r="J452" s="1">
        <v>44245</v>
      </c>
      <c r="K452" t="s">
        <v>42</v>
      </c>
      <c r="L452" t="s">
        <v>92</v>
      </c>
      <c r="M452" t="s">
        <v>1477</v>
      </c>
      <c r="N452">
        <v>2021</v>
      </c>
    </row>
    <row r="453" spans="1:14" x14ac:dyDescent="0.25">
      <c r="A453" t="s">
        <v>541</v>
      </c>
      <c r="B453" t="s">
        <v>542</v>
      </c>
      <c r="C453">
        <v>1733</v>
      </c>
      <c r="D453">
        <v>133</v>
      </c>
      <c r="E453" s="5">
        <v>7.6745527986151196E-2</v>
      </c>
      <c r="F453">
        <v>17</v>
      </c>
      <c r="G453" t="s">
        <v>30</v>
      </c>
      <c r="H453" t="s">
        <v>64</v>
      </c>
      <c r="I453" t="s">
        <v>32</v>
      </c>
      <c r="J453" s="1">
        <v>44245</v>
      </c>
      <c r="K453" t="s">
        <v>42</v>
      </c>
      <c r="L453" t="s">
        <v>92</v>
      </c>
      <c r="M453" t="s">
        <v>1477</v>
      </c>
      <c r="N453">
        <v>2021</v>
      </c>
    </row>
    <row r="454" spans="1:14" x14ac:dyDescent="0.25">
      <c r="A454" t="s">
        <v>543</v>
      </c>
      <c r="B454" t="s">
        <v>544</v>
      </c>
      <c r="C454">
        <v>874</v>
      </c>
      <c r="D454">
        <v>235</v>
      </c>
      <c r="E454" s="5">
        <v>0.26887871853546902</v>
      </c>
      <c r="F454">
        <v>15</v>
      </c>
      <c r="G454" t="s">
        <v>30</v>
      </c>
      <c r="H454" t="s">
        <v>78</v>
      </c>
      <c r="I454" t="s">
        <v>32</v>
      </c>
      <c r="J454" s="1">
        <v>45075</v>
      </c>
      <c r="K454" t="s">
        <v>25</v>
      </c>
      <c r="L454" t="s">
        <v>68</v>
      </c>
      <c r="M454" t="s">
        <v>1473</v>
      </c>
      <c r="N454">
        <v>2023</v>
      </c>
    </row>
    <row r="455" spans="1:14" x14ac:dyDescent="0.25">
      <c r="A455" t="s">
        <v>543</v>
      </c>
      <c r="B455" t="s">
        <v>545</v>
      </c>
      <c r="C455">
        <v>874</v>
      </c>
      <c r="D455">
        <v>235</v>
      </c>
      <c r="E455" s="5">
        <v>0.26887871853546902</v>
      </c>
      <c r="F455">
        <v>15</v>
      </c>
      <c r="G455" t="s">
        <v>30</v>
      </c>
      <c r="H455" t="s">
        <v>78</v>
      </c>
      <c r="I455" t="s">
        <v>32</v>
      </c>
      <c r="J455" s="1">
        <v>44351</v>
      </c>
      <c r="K455" t="s">
        <v>17</v>
      </c>
      <c r="L455" t="s">
        <v>18</v>
      </c>
      <c r="M455" t="s">
        <v>1470</v>
      </c>
      <c r="N455">
        <v>2021</v>
      </c>
    </row>
    <row r="456" spans="1:14" x14ac:dyDescent="0.25">
      <c r="A456" t="s">
        <v>546</v>
      </c>
      <c r="B456" t="s">
        <v>547</v>
      </c>
      <c r="C456">
        <v>1248</v>
      </c>
      <c r="D456">
        <v>584</v>
      </c>
      <c r="E456" s="5">
        <v>0.46794871794871801</v>
      </c>
      <c r="F456">
        <v>13</v>
      </c>
      <c r="G456" t="s">
        <v>30</v>
      </c>
      <c r="H456" t="s">
        <v>31</v>
      </c>
      <c r="I456" t="s">
        <v>40</v>
      </c>
      <c r="J456" s="1">
        <v>45313</v>
      </c>
      <c r="K456" t="s">
        <v>98</v>
      </c>
      <c r="L456" t="s">
        <v>99</v>
      </c>
      <c r="M456" t="s">
        <v>1478</v>
      </c>
      <c r="N456">
        <v>2024</v>
      </c>
    </row>
    <row r="457" spans="1:14" x14ac:dyDescent="0.25">
      <c r="A457" t="s">
        <v>546</v>
      </c>
      <c r="B457" t="s">
        <v>548</v>
      </c>
      <c r="C457">
        <v>1248</v>
      </c>
      <c r="D457">
        <v>584</v>
      </c>
      <c r="E457" s="5">
        <v>0.46794871794871801</v>
      </c>
      <c r="F457">
        <v>13</v>
      </c>
      <c r="G457" t="s">
        <v>30</v>
      </c>
      <c r="H457" t="s">
        <v>31</v>
      </c>
      <c r="I457" t="s">
        <v>40</v>
      </c>
      <c r="J457" s="1">
        <v>44922</v>
      </c>
      <c r="K457" t="s">
        <v>42</v>
      </c>
      <c r="L457" t="s">
        <v>92</v>
      </c>
      <c r="M457" t="s">
        <v>1471</v>
      </c>
      <c r="N457">
        <v>2022</v>
      </c>
    </row>
    <row r="458" spans="1:14" x14ac:dyDescent="0.25">
      <c r="A458" t="s">
        <v>546</v>
      </c>
      <c r="B458" t="s">
        <v>547</v>
      </c>
      <c r="C458">
        <v>3669</v>
      </c>
      <c r="D458">
        <v>154</v>
      </c>
      <c r="E458" s="5">
        <v>4.19732897247206E-2</v>
      </c>
      <c r="F458">
        <v>14</v>
      </c>
      <c r="G458" t="s">
        <v>30</v>
      </c>
      <c r="H458" t="s">
        <v>57</v>
      </c>
      <c r="I458" t="s">
        <v>40</v>
      </c>
      <c r="J458" s="1">
        <v>45313</v>
      </c>
      <c r="K458" t="s">
        <v>98</v>
      </c>
      <c r="L458" t="s">
        <v>99</v>
      </c>
      <c r="M458" t="s">
        <v>1478</v>
      </c>
      <c r="N458">
        <v>2024</v>
      </c>
    </row>
    <row r="459" spans="1:14" x14ac:dyDescent="0.25">
      <c r="A459" t="s">
        <v>546</v>
      </c>
      <c r="B459" t="s">
        <v>548</v>
      </c>
      <c r="C459">
        <v>3669</v>
      </c>
      <c r="D459">
        <v>154</v>
      </c>
      <c r="E459" s="5">
        <v>4.19732897247206E-2</v>
      </c>
      <c r="F459">
        <v>14</v>
      </c>
      <c r="G459" t="s">
        <v>30</v>
      </c>
      <c r="H459" t="s">
        <v>57</v>
      </c>
      <c r="I459" t="s">
        <v>40</v>
      </c>
      <c r="J459" s="1">
        <v>44922</v>
      </c>
      <c r="K459" t="s">
        <v>42</v>
      </c>
      <c r="L459" t="s">
        <v>92</v>
      </c>
      <c r="M459" t="s">
        <v>1471</v>
      </c>
      <c r="N459">
        <v>2022</v>
      </c>
    </row>
    <row r="460" spans="1:14" x14ac:dyDescent="0.25">
      <c r="A460" t="s">
        <v>546</v>
      </c>
      <c r="B460" t="s">
        <v>547</v>
      </c>
      <c r="C460">
        <v>514</v>
      </c>
      <c r="D460">
        <v>109</v>
      </c>
      <c r="E460" s="5">
        <v>0.21206225680933899</v>
      </c>
      <c r="F460">
        <v>15</v>
      </c>
      <c r="G460" t="s">
        <v>30</v>
      </c>
      <c r="H460" t="s">
        <v>64</v>
      </c>
      <c r="I460" t="s">
        <v>32</v>
      </c>
      <c r="J460" s="1">
        <v>45313</v>
      </c>
      <c r="K460" t="s">
        <v>98</v>
      </c>
      <c r="L460" t="s">
        <v>99</v>
      </c>
      <c r="M460" t="s">
        <v>1478</v>
      </c>
      <c r="N460">
        <v>2024</v>
      </c>
    </row>
    <row r="461" spans="1:14" x14ac:dyDescent="0.25">
      <c r="A461" t="s">
        <v>546</v>
      </c>
      <c r="B461" t="s">
        <v>548</v>
      </c>
      <c r="C461">
        <v>514</v>
      </c>
      <c r="D461">
        <v>109</v>
      </c>
      <c r="E461" s="5">
        <v>0.21206225680933899</v>
      </c>
      <c r="F461">
        <v>15</v>
      </c>
      <c r="G461" t="s">
        <v>30</v>
      </c>
      <c r="H461" t="s">
        <v>64</v>
      </c>
      <c r="I461" t="s">
        <v>32</v>
      </c>
      <c r="J461" s="1">
        <v>44922</v>
      </c>
      <c r="K461" t="s">
        <v>42</v>
      </c>
      <c r="L461" t="s">
        <v>92</v>
      </c>
      <c r="M461" t="s">
        <v>1471</v>
      </c>
      <c r="N461">
        <v>2022</v>
      </c>
    </row>
    <row r="462" spans="1:14" x14ac:dyDescent="0.25">
      <c r="A462" t="s">
        <v>549</v>
      </c>
      <c r="B462" t="s">
        <v>550</v>
      </c>
      <c r="C462">
        <v>3273</v>
      </c>
      <c r="D462">
        <v>85</v>
      </c>
      <c r="E462" s="5">
        <v>2.5970058050718E-2</v>
      </c>
      <c r="F462">
        <v>16</v>
      </c>
      <c r="G462" t="s">
        <v>13</v>
      </c>
      <c r="H462" t="s">
        <v>82</v>
      </c>
      <c r="I462" t="s">
        <v>15</v>
      </c>
      <c r="J462" s="1">
        <v>45381</v>
      </c>
      <c r="K462" t="s">
        <v>98</v>
      </c>
      <c r="L462" t="s">
        <v>107</v>
      </c>
      <c r="M462" t="s">
        <v>1476</v>
      </c>
      <c r="N462">
        <v>2024</v>
      </c>
    </row>
    <row r="463" spans="1:14" x14ac:dyDescent="0.25">
      <c r="A463" t="s">
        <v>551</v>
      </c>
      <c r="B463" t="s">
        <v>552</v>
      </c>
      <c r="C463">
        <v>5035</v>
      </c>
      <c r="D463">
        <v>2008</v>
      </c>
      <c r="E463" s="5">
        <v>0.39880834160873901</v>
      </c>
      <c r="F463">
        <v>2</v>
      </c>
      <c r="G463" t="s">
        <v>45</v>
      </c>
      <c r="H463" t="s">
        <v>49</v>
      </c>
      <c r="I463" t="s">
        <v>65</v>
      </c>
      <c r="J463" s="1">
        <v>43925</v>
      </c>
      <c r="K463" t="s">
        <v>17</v>
      </c>
      <c r="L463" t="s">
        <v>18</v>
      </c>
      <c r="M463" t="s">
        <v>1481</v>
      </c>
      <c r="N463">
        <v>2020</v>
      </c>
    </row>
    <row r="464" spans="1:14" x14ac:dyDescent="0.25">
      <c r="A464" t="s">
        <v>551</v>
      </c>
      <c r="B464" t="s">
        <v>552</v>
      </c>
      <c r="C464">
        <v>7702</v>
      </c>
      <c r="D464">
        <v>60</v>
      </c>
      <c r="E464" s="5">
        <v>7.7901843676966998E-3</v>
      </c>
      <c r="F464">
        <v>19</v>
      </c>
      <c r="G464" t="s">
        <v>13</v>
      </c>
      <c r="H464" t="s">
        <v>28</v>
      </c>
      <c r="I464" t="s">
        <v>15</v>
      </c>
      <c r="J464" s="1">
        <v>43925</v>
      </c>
      <c r="K464" t="s">
        <v>17</v>
      </c>
      <c r="L464" t="s">
        <v>18</v>
      </c>
      <c r="M464" t="s">
        <v>1481</v>
      </c>
      <c r="N464">
        <v>2020</v>
      </c>
    </row>
    <row r="465" spans="1:14" x14ac:dyDescent="0.25">
      <c r="A465" t="s">
        <v>551</v>
      </c>
      <c r="B465" t="s">
        <v>552</v>
      </c>
      <c r="C465">
        <v>9884</v>
      </c>
      <c r="D465">
        <v>4446</v>
      </c>
      <c r="E465" s="5">
        <v>0.449817887494941</v>
      </c>
      <c r="F465">
        <v>7</v>
      </c>
      <c r="G465" t="s">
        <v>13</v>
      </c>
      <c r="H465" t="s">
        <v>28</v>
      </c>
      <c r="I465" t="s">
        <v>40</v>
      </c>
      <c r="J465" s="1">
        <v>43925</v>
      </c>
      <c r="K465" t="s">
        <v>17</v>
      </c>
      <c r="L465" t="s">
        <v>18</v>
      </c>
      <c r="M465" t="s">
        <v>1481</v>
      </c>
      <c r="N465">
        <v>2020</v>
      </c>
    </row>
    <row r="466" spans="1:14" x14ac:dyDescent="0.25">
      <c r="A466" t="s">
        <v>553</v>
      </c>
      <c r="B466" t="s">
        <v>554</v>
      </c>
      <c r="C466">
        <v>5564</v>
      </c>
      <c r="D466">
        <v>175</v>
      </c>
      <c r="E466" s="5">
        <v>3.1452192667145898E-2</v>
      </c>
      <c r="F466">
        <v>11</v>
      </c>
      <c r="G466" t="s">
        <v>13</v>
      </c>
      <c r="H466" t="s">
        <v>39</v>
      </c>
      <c r="I466" t="s">
        <v>65</v>
      </c>
      <c r="J466" s="1">
        <v>44948</v>
      </c>
      <c r="K466" t="s">
        <v>21</v>
      </c>
      <c r="L466" t="s">
        <v>22</v>
      </c>
      <c r="M466" t="s">
        <v>1478</v>
      </c>
      <c r="N466">
        <v>2023</v>
      </c>
    </row>
    <row r="467" spans="1:14" x14ac:dyDescent="0.25">
      <c r="A467" t="s">
        <v>553</v>
      </c>
      <c r="B467" t="s">
        <v>555</v>
      </c>
      <c r="C467">
        <v>5564</v>
      </c>
      <c r="D467">
        <v>175</v>
      </c>
      <c r="E467" s="5">
        <v>3.1452192667145898E-2</v>
      </c>
      <c r="F467">
        <v>11</v>
      </c>
      <c r="G467" t="s">
        <v>13</v>
      </c>
      <c r="H467" t="s">
        <v>39</v>
      </c>
      <c r="I467" t="s">
        <v>65</v>
      </c>
      <c r="J467" s="1">
        <v>44663</v>
      </c>
      <c r="K467" t="s">
        <v>71</v>
      </c>
      <c r="L467" t="s">
        <v>138</v>
      </c>
      <c r="M467" t="s">
        <v>1481</v>
      </c>
      <c r="N467">
        <v>2022</v>
      </c>
    </row>
    <row r="468" spans="1:14" x14ac:dyDescent="0.25">
      <c r="A468" t="s">
        <v>553</v>
      </c>
      <c r="B468" t="s">
        <v>556</v>
      </c>
      <c r="C468">
        <v>5564</v>
      </c>
      <c r="D468">
        <v>175</v>
      </c>
      <c r="E468" s="5">
        <v>3.1452192667145898E-2</v>
      </c>
      <c r="F468">
        <v>11</v>
      </c>
      <c r="G468" t="s">
        <v>13</v>
      </c>
      <c r="H468" t="s">
        <v>39</v>
      </c>
      <c r="I468" t="s">
        <v>65</v>
      </c>
      <c r="J468" s="1">
        <v>45273</v>
      </c>
      <c r="K468" t="s">
        <v>17</v>
      </c>
      <c r="L468" t="s">
        <v>18</v>
      </c>
      <c r="M468" t="s">
        <v>1471</v>
      </c>
      <c r="N468">
        <v>2023</v>
      </c>
    </row>
    <row r="469" spans="1:14" x14ac:dyDescent="0.25">
      <c r="A469" t="s">
        <v>553</v>
      </c>
      <c r="B469" t="s">
        <v>554</v>
      </c>
      <c r="C469">
        <v>3953</v>
      </c>
      <c r="D469">
        <v>1776</v>
      </c>
      <c r="E469" s="5">
        <v>0.44927902858588398</v>
      </c>
      <c r="F469">
        <v>15</v>
      </c>
      <c r="G469" t="s">
        <v>13</v>
      </c>
      <c r="H469" t="s">
        <v>14</v>
      </c>
      <c r="I469" t="s">
        <v>15</v>
      </c>
      <c r="J469" s="1">
        <v>44948</v>
      </c>
      <c r="K469" t="s">
        <v>21</v>
      </c>
      <c r="L469" t="s">
        <v>22</v>
      </c>
      <c r="M469" t="s">
        <v>1478</v>
      </c>
      <c r="N469">
        <v>2023</v>
      </c>
    </row>
    <row r="470" spans="1:14" x14ac:dyDescent="0.25">
      <c r="A470" t="s">
        <v>553</v>
      </c>
      <c r="B470" t="s">
        <v>555</v>
      </c>
      <c r="C470">
        <v>3953</v>
      </c>
      <c r="D470">
        <v>1776</v>
      </c>
      <c r="E470" s="5">
        <v>0.44927902858588398</v>
      </c>
      <c r="F470">
        <v>15</v>
      </c>
      <c r="G470" t="s">
        <v>13</v>
      </c>
      <c r="H470" t="s">
        <v>14</v>
      </c>
      <c r="I470" t="s">
        <v>15</v>
      </c>
      <c r="J470" s="1">
        <v>44663</v>
      </c>
      <c r="K470" t="s">
        <v>71</v>
      </c>
      <c r="L470" t="s">
        <v>138</v>
      </c>
      <c r="M470" t="s">
        <v>1481</v>
      </c>
      <c r="N470">
        <v>2022</v>
      </c>
    </row>
    <row r="471" spans="1:14" x14ac:dyDescent="0.25">
      <c r="A471" t="s">
        <v>553</v>
      </c>
      <c r="B471" t="s">
        <v>556</v>
      </c>
      <c r="C471">
        <v>3953</v>
      </c>
      <c r="D471">
        <v>1776</v>
      </c>
      <c r="E471" s="5">
        <v>0.44927902858588398</v>
      </c>
      <c r="F471">
        <v>15</v>
      </c>
      <c r="G471" t="s">
        <v>13</v>
      </c>
      <c r="H471" t="s">
        <v>14</v>
      </c>
      <c r="I471" t="s">
        <v>15</v>
      </c>
      <c r="J471" s="1">
        <v>45273</v>
      </c>
      <c r="K471" t="s">
        <v>17</v>
      </c>
      <c r="L471" t="s">
        <v>18</v>
      </c>
      <c r="M471" t="s">
        <v>1471</v>
      </c>
      <c r="N471">
        <v>2023</v>
      </c>
    </row>
    <row r="472" spans="1:14" x14ac:dyDescent="0.25">
      <c r="A472" t="s">
        <v>557</v>
      </c>
      <c r="B472" t="s">
        <v>558</v>
      </c>
      <c r="C472">
        <v>6488</v>
      </c>
      <c r="D472">
        <v>1591</v>
      </c>
      <c r="E472" s="5">
        <v>0.24522194821208401</v>
      </c>
      <c r="F472">
        <v>18</v>
      </c>
      <c r="G472" t="s">
        <v>13</v>
      </c>
      <c r="H472" t="s">
        <v>28</v>
      </c>
      <c r="I472" t="s">
        <v>40</v>
      </c>
      <c r="J472" s="1">
        <v>45070</v>
      </c>
      <c r="K472" t="s">
        <v>71</v>
      </c>
      <c r="L472" t="s">
        <v>72</v>
      </c>
      <c r="M472" t="s">
        <v>1473</v>
      </c>
      <c r="N472">
        <v>2023</v>
      </c>
    </row>
    <row r="473" spans="1:14" x14ac:dyDescent="0.25">
      <c r="A473" t="s">
        <v>557</v>
      </c>
      <c r="B473" t="s">
        <v>559</v>
      </c>
      <c r="C473">
        <v>6488</v>
      </c>
      <c r="D473">
        <v>1591</v>
      </c>
      <c r="E473" s="5">
        <v>0.24522194821208401</v>
      </c>
      <c r="F473">
        <v>18</v>
      </c>
      <c r="G473" t="s">
        <v>13</v>
      </c>
      <c r="H473" t="s">
        <v>28</v>
      </c>
      <c r="I473" t="s">
        <v>40</v>
      </c>
      <c r="J473" s="1">
        <v>44164</v>
      </c>
      <c r="K473" t="s">
        <v>71</v>
      </c>
      <c r="L473" t="s">
        <v>138</v>
      </c>
      <c r="M473" t="s">
        <v>1475</v>
      </c>
      <c r="N473">
        <v>2020</v>
      </c>
    </row>
    <row r="474" spans="1:14" x14ac:dyDescent="0.25">
      <c r="A474" t="s">
        <v>560</v>
      </c>
      <c r="B474" t="s">
        <v>561</v>
      </c>
      <c r="C474">
        <v>7856</v>
      </c>
      <c r="D474">
        <v>3699</v>
      </c>
      <c r="E474" s="5">
        <v>0.47085030549898199</v>
      </c>
      <c r="F474">
        <v>17</v>
      </c>
      <c r="G474" t="s">
        <v>13</v>
      </c>
      <c r="H474" t="s">
        <v>14</v>
      </c>
      <c r="I474" t="s">
        <v>15</v>
      </c>
      <c r="J474" s="1">
        <v>44279</v>
      </c>
      <c r="K474" t="s">
        <v>17</v>
      </c>
      <c r="L474" t="s">
        <v>34</v>
      </c>
      <c r="M474" t="s">
        <v>1476</v>
      </c>
      <c r="N474">
        <v>2021</v>
      </c>
    </row>
    <row r="475" spans="1:14" x14ac:dyDescent="0.25">
      <c r="A475" t="s">
        <v>560</v>
      </c>
      <c r="B475" t="s">
        <v>561</v>
      </c>
      <c r="C475">
        <v>1165</v>
      </c>
      <c r="D475">
        <v>51</v>
      </c>
      <c r="E475" s="5">
        <v>4.3776824034334798E-2</v>
      </c>
      <c r="F475">
        <v>3</v>
      </c>
      <c r="G475" t="s">
        <v>30</v>
      </c>
      <c r="H475" t="s">
        <v>31</v>
      </c>
      <c r="I475" t="s">
        <v>40</v>
      </c>
      <c r="J475" s="1">
        <v>44279</v>
      </c>
      <c r="K475" t="s">
        <v>17</v>
      </c>
      <c r="L475" t="s">
        <v>34</v>
      </c>
      <c r="M475" t="s">
        <v>1476</v>
      </c>
      <c r="N475">
        <v>2021</v>
      </c>
    </row>
    <row r="476" spans="1:14" x14ac:dyDescent="0.25">
      <c r="A476" t="s">
        <v>562</v>
      </c>
      <c r="B476" t="s">
        <v>563</v>
      </c>
      <c r="C476">
        <v>9386</v>
      </c>
      <c r="D476">
        <v>2555</v>
      </c>
      <c r="E476" s="5">
        <v>0.272213935648839</v>
      </c>
      <c r="F476">
        <v>20</v>
      </c>
      <c r="G476" t="s">
        <v>30</v>
      </c>
      <c r="H476" t="s">
        <v>57</v>
      </c>
      <c r="I476" t="s">
        <v>47</v>
      </c>
      <c r="J476" s="1">
        <v>44062</v>
      </c>
      <c r="K476" t="s">
        <v>42</v>
      </c>
      <c r="L476" t="s">
        <v>75</v>
      </c>
      <c r="M476" t="s">
        <v>1479</v>
      </c>
      <c r="N476">
        <v>2020</v>
      </c>
    </row>
    <row r="477" spans="1:14" x14ac:dyDescent="0.25">
      <c r="A477" t="s">
        <v>562</v>
      </c>
      <c r="B477" t="s">
        <v>564</v>
      </c>
      <c r="C477">
        <v>9386</v>
      </c>
      <c r="D477">
        <v>2555</v>
      </c>
      <c r="E477" s="5">
        <v>0.272213935648839</v>
      </c>
      <c r="F477">
        <v>20</v>
      </c>
      <c r="G477" t="s">
        <v>30</v>
      </c>
      <c r="H477" t="s">
        <v>57</v>
      </c>
      <c r="I477" t="s">
        <v>47</v>
      </c>
      <c r="J477" s="1">
        <v>44854</v>
      </c>
      <c r="K477" t="s">
        <v>98</v>
      </c>
      <c r="L477" t="s">
        <v>117</v>
      </c>
      <c r="M477" t="s">
        <v>1474</v>
      </c>
      <c r="N477">
        <v>2022</v>
      </c>
    </row>
    <row r="478" spans="1:14" x14ac:dyDescent="0.25">
      <c r="A478" t="s">
        <v>565</v>
      </c>
      <c r="B478" t="s">
        <v>566</v>
      </c>
      <c r="C478">
        <v>3956</v>
      </c>
      <c r="D478">
        <v>142</v>
      </c>
      <c r="E478" s="5">
        <v>3.5894843276036398E-2</v>
      </c>
      <c r="F478">
        <v>12</v>
      </c>
      <c r="G478" t="s">
        <v>30</v>
      </c>
      <c r="H478" t="s">
        <v>31</v>
      </c>
      <c r="I478" t="s">
        <v>32</v>
      </c>
      <c r="J478" s="1">
        <v>45189</v>
      </c>
      <c r="K478" t="s">
        <v>17</v>
      </c>
      <c r="L478" t="s">
        <v>150</v>
      </c>
      <c r="M478" t="s">
        <v>1480</v>
      </c>
      <c r="N478">
        <v>2023</v>
      </c>
    </row>
    <row r="479" spans="1:14" x14ac:dyDescent="0.25">
      <c r="A479" t="s">
        <v>565</v>
      </c>
      <c r="B479" t="s">
        <v>567</v>
      </c>
      <c r="C479">
        <v>3956</v>
      </c>
      <c r="D479">
        <v>142</v>
      </c>
      <c r="E479" s="5">
        <v>3.5894843276036398E-2</v>
      </c>
      <c r="F479">
        <v>12</v>
      </c>
      <c r="G479" t="s">
        <v>30</v>
      </c>
      <c r="H479" t="s">
        <v>31</v>
      </c>
      <c r="I479" t="s">
        <v>32</v>
      </c>
      <c r="J479" s="1">
        <v>45652</v>
      </c>
      <c r="K479" t="s">
        <v>71</v>
      </c>
      <c r="L479" t="s">
        <v>72</v>
      </c>
      <c r="M479" t="s">
        <v>1471</v>
      </c>
      <c r="N479">
        <v>2024</v>
      </c>
    </row>
    <row r="480" spans="1:14" x14ac:dyDescent="0.25">
      <c r="A480" t="s">
        <v>565</v>
      </c>
      <c r="B480" t="s">
        <v>566</v>
      </c>
      <c r="C480">
        <v>6449</v>
      </c>
      <c r="D480">
        <v>2628</v>
      </c>
      <c r="E480" s="5">
        <v>0.40750503954101402</v>
      </c>
      <c r="F480">
        <v>11</v>
      </c>
      <c r="G480" t="s">
        <v>45</v>
      </c>
      <c r="H480" t="s">
        <v>109</v>
      </c>
      <c r="I480" t="s">
        <v>40</v>
      </c>
      <c r="J480" s="1">
        <v>45189</v>
      </c>
      <c r="K480" t="s">
        <v>17</v>
      </c>
      <c r="L480" t="s">
        <v>150</v>
      </c>
      <c r="M480" t="s">
        <v>1480</v>
      </c>
      <c r="N480">
        <v>2023</v>
      </c>
    </row>
    <row r="481" spans="1:14" x14ac:dyDescent="0.25">
      <c r="A481" t="s">
        <v>565</v>
      </c>
      <c r="B481" t="s">
        <v>567</v>
      </c>
      <c r="C481">
        <v>6449</v>
      </c>
      <c r="D481">
        <v>2628</v>
      </c>
      <c r="E481" s="5">
        <v>0.40750503954101402</v>
      </c>
      <c r="F481">
        <v>11</v>
      </c>
      <c r="G481" t="s">
        <v>45</v>
      </c>
      <c r="H481" t="s">
        <v>109</v>
      </c>
      <c r="I481" t="s">
        <v>40</v>
      </c>
      <c r="J481" s="1">
        <v>45652</v>
      </c>
      <c r="K481" t="s">
        <v>71</v>
      </c>
      <c r="L481" t="s">
        <v>72</v>
      </c>
      <c r="M481" t="s">
        <v>1471</v>
      </c>
      <c r="N481">
        <v>2024</v>
      </c>
    </row>
    <row r="482" spans="1:14" x14ac:dyDescent="0.25">
      <c r="A482" t="s">
        <v>568</v>
      </c>
      <c r="B482" t="s">
        <v>569</v>
      </c>
      <c r="C482">
        <v>6255</v>
      </c>
      <c r="D482">
        <v>437</v>
      </c>
      <c r="E482" s="5">
        <v>6.9864108713029602E-2</v>
      </c>
      <c r="F482">
        <v>18</v>
      </c>
      <c r="G482" t="s">
        <v>30</v>
      </c>
      <c r="H482" t="s">
        <v>57</v>
      </c>
      <c r="I482" t="s">
        <v>65</v>
      </c>
      <c r="J482" s="1">
        <v>44533</v>
      </c>
      <c r="K482" t="s">
        <v>25</v>
      </c>
      <c r="L482" t="s">
        <v>68</v>
      </c>
      <c r="M482" t="s">
        <v>1471</v>
      </c>
      <c r="N482">
        <v>2021</v>
      </c>
    </row>
    <row r="483" spans="1:14" x14ac:dyDescent="0.25">
      <c r="A483" t="s">
        <v>568</v>
      </c>
      <c r="B483" t="s">
        <v>569</v>
      </c>
      <c r="C483">
        <v>2109</v>
      </c>
      <c r="D483">
        <v>681</v>
      </c>
      <c r="E483" s="5">
        <v>0.32290184921763898</v>
      </c>
      <c r="F483">
        <v>20</v>
      </c>
      <c r="G483" t="s">
        <v>13</v>
      </c>
      <c r="H483" t="s">
        <v>14</v>
      </c>
      <c r="I483" t="s">
        <v>15</v>
      </c>
      <c r="J483" s="1">
        <v>44533</v>
      </c>
      <c r="K483" t="s">
        <v>25</v>
      </c>
      <c r="L483" t="s">
        <v>68</v>
      </c>
      <c r="M483" t="s">
        <v>1471</v>
      </c>
      <c r="N483">
        <v>2021</v>
      </c>
    </row>
    <row r="484" spans="1:14" x14ac:dyDescent="0.25">
      <c r="A484" t="s">
        <v>570</v>
      </c>
      <c r="B484" t="s">
        <v>571</v>
      </c>
      <c r="C484">
        <v>6707</v>
      </c>
      <c r="D484">
        <v>1041</v>
      </c>
      <c r="E484" s="5">
        <v>0.15521097360966199</v>
      </c>
      <c r="F484">
        <v>20</v>
      </c>
      <c r="G484" t="s">
        <v>13</v>
      </c>
      <c r="H484" t="s">
        <v>82</v>
      </c>
      <c r="I484" t="s">
        <v>47</v>
      </c>
      <c r="J484" s="1">
        <v>44453</v>
      </c>
      <c r="K484" t="s">
        <v>71</v>
      </c>
      <c r="L484" t="s">
        <v>86</v>
      </c>
      <c r="M484" t="s">
        <v>1480</v>
      </c>
      <c r="N484">
        <v>2021</v>
      </c>
    </row>
    <row r="485" spans="1:14" x14ac:dyDescent="0.25">
      <c r="A485" t="s">
        <v>572</v>
      </c>
      <c r="B485" t="s">
        <v>573</v>
      </c>
      <c r="C485">
        <v>7633</v>
      </c>
      <c r="D485">
        <v>184</v>
      </c>
      <c r="E485" s="5">
        <v>2.4105856150923598E-2</v>
      </c>
      <c r="F485">
        <v>13</v>
      </c>
      <c r="G485" t="s">
        <v>30</v>
      </c>
      <c r="H485" t="s">
        <v>31</v>
      </c>
      <c r="I485" t="s">
        <v>65</v>
      </c>
      <c r="J485" s="1">
        <v>44469</v>
      </c>
      <c r="K485" t="s">
        <v>21</v>
      </c>
      <c r="L485" t="s">
        <v>63</v>
      </c>
      <c r="M485" t="s">
        <v>1480</v>
      </c>
      <c r="N485">
        <v>2021</v>
      </c>
    </row>
    <row r="486" spans="1:14" x14ac:dyDescent="0.25">
      <c r="A486" t="s">
        <v>574</v>
      </c>
      <c r="B486" t="s">
        <v>575</v>
      </c>
      <c r="C486">
        <v>975</v>
      </c>
      <c r="D486">
        <v>224</v>
      </c>
      <c r="E486" s="5">
        <v>0.22974358974358999</v>
      </c>
      <c r="F486">
        <v>18</v>
      </c>
      <c r="G486" t="s">
        <v>30</v>
      </c>
      <c r="H486" t="s">
        <v>31</v>
      </c>
      <c r="I486" t="s">
        <v>65</v>
      </c>
      <c r="J486" s="1">
        <v>44552</v>
      </c>
      <c r="K486" t="s">
        <v>42</v>
      </c>
      <c r="L486" t="s">
        <v>75</v>
      </c>
      <c r="M486" t="s">
        <v>1471</v>
      </c>
      <c r="N486">
        <v>2021</v>
      </c>
    </row>
    <row r="487" spans="1:14" x14ac:dyDescent="0.25">
      <c r="A487" t="s">
        <v>574</v>
      </c>
      <c r="B487" t="s">
        <v>575</v>
      </c>
      <c r="C487">
        <v>4492</v>
      </c>
      <c r="D487">
        <v>1450</v>
      </c>
      <c r="E487" s="5">
        <v>0.32279608192341902</v>
      </c>
      <c r="F487">
        <v>7</v>
      </c>
      <c r="G487" t="s">
        <v>45</v>
      </c>
      <c r="H487" t="s">
        <v>46</v>
      </c>
      <c r="I487" t="s">
        <v>40</v>
      </c>
      <c r="J487" s="1">
        <v>44552</v>
      </c>
      <c r="K487" t="s">
        <v>42</v>
      </c>
      <c r="L487" t="s">
        <v>75</v>
      </c>
      <c r="M487" t="s">
        <v>1471</v>
      </c>
      <c r="N487">
        <v>2021</v>
      </c>
    </row>
    <row r="488" spans="1:14" x14ac:dyDescent="0.25">
      <c r="A488" t="s">
        <v>574</v>
      </c>
      <c r="B488" t="s">
        <v>575</v>
      </c>
      <c r="C488">
        <v>7957</v>
      </c>
      <c r="D488">
        <v>2834</v>
      </c>
      <c r="E488" s="5">
        <v>0.35616438356164398</v>
      </c>
      <c r="F488">
        <v>12</v>
      </c>
      <c r="G488" t="s">
        <v>45</v>
      </c>
      <c r="H488" t="s">
        <v>49</v>
      </c>
      <c r="I488" t="s">
        <v>15</v>
      </c>
      <c r="J488" s="1">
        <v>44552</v>
      </c>
      <c r="K488" t="s">
        <v>42</v>
      </c>
      <c r="L488" t="s">
        <v>75</v>
      </c>
      <c r="M488" t="s">
        <v>1471</v>
      </c>
      <c r="N488">
        <v>2021</v>
      </c>
    </row>
    <row r="489" spans="1:14" x14ac:dyDescent="0.25">
      <c r="A489" t="s">
        <v>576</v>
      </c>
      <c r="B489" t="s">
        <v>577</v>
      </c>
      <c r="C489">
        <v>4906</v>
      </c>
      <c r="D489">
        <v>975</v>
      </c>
      <c r="E489" s="5">
        <v>0.19873624133713799</v>
      </c>
      <c r="F489">
        <v>7</v>
      </c>
      <c r="G489" t="s">
        <v>45</v>
      </c>
      <c r="H489" t="s">
        <v>46</v>
      </c>
      <c r="I489" t="s">
        <v>32</v>
      </c>
      <c r="J489" s="1">
        <v>44699</v>
      </c>
      <c r="K489" t="s">
        <v>71</v>
      </c>
      <c r="L489" t="s">
        <v>138</v>
      </c>
      <c r="M489" t="s">
        <v>1473</v>
      </c>
      <c r="N489">
        <v>2022</v>
      </c>
    </row>
    <row r="490" spans="1:14" x14ac:dyDescent="0.25">
      <c r="A490" t="s">
        <v>578</v>
      </c>
      <c r="B490" t="s">
        <v>579</v>
      </c>
      <c r="C490">
        <v>1379</v>
      </c>
      <c r="D490">
        <v>250</v>
      </c>
      <c r="E490" s="5">
        <v>0.18129079042784599</v>
      </c>
      <c r="F490">
        <v>3</v>
      </c>
      <c r="G490" t="s">
        <v>30</v>
      </c>
      <c r="H490" t="s">
        <v>31</v>
      </c>
      <c r="I490" t="s">
        <v>47</v>
      </c>
      <c r="J490" s="1">
        <v>44112</v>
      </c>
      <c r="K490" t="s">
        <v>25</v>
      </c>
      <c r="L490" t="s">
        <v>26</v>
      </c>
      <c r="M490" t="s">
        <v>1474</v>
      </c>
      <c r="N490">
        <v>2020</v>
      </c>
    </row>
    <row r="491" spans="1:14" x14ac:dyDescent="0.25">
      <c r="A491" t="s">
        <v>578</v>
      </c>
      <c r="B491" t="s">
        <v>579</v>
      </c>
      <c r="C491">
        <v>4244</v>
      </c>
      <c r="D491">
        <v>340</v>
      </c>
      <c r="E491" s="5">
        <v>8.0113100848256402E-2</v>
      </c>
      <c r="F491">
        <v>10</v>
      </c>
      <c r="G491" t="s">
        <v>13</v>
      </c>
      <c r="H491" t="s">
        <v>39</v>
      </c>
      <c r="I491" t="s">
        <v>32</v>
      </c>
      <c r="J491" s="1">
        <v>44112</v>
      </c>
      <c r="K491" t="s">
        <v>25</v>
      </c>
      <c r="L491" t="s">
        <v>26</v>
      </c>
      <c r="M491" t="s">
        <v>1474</v>
      </c>
      <c r="N491">
        <v>2020</v>
      </c>
    </row>
    <row r="492" spans="1:14" x14ac:dyDescent="0.25">
      <c r="A492" t="s">
        <v>580</v>
      </c>
      <c r="B492" t="s">
        <v>581</v>
      </c>
      <c r="C492">
        <v>5911</v>
      </c>
      <c r="D492">
        <v>2333</v>
      </c>
      <c r="E492" s="5">
        <v>0.39468787007274603</v>
      </c>
      <c r="F492">
        <v>14</v>
      </c>
      <c r="G492" t="s">
        <v>45</v>
      </c>
      <c r="H492" t="s">
        <v>109</v>
      </c>
      <c r="I492" t="s">
        <v>40</v>
      </c>
      <c r="J492" s="1">
        <v>44793</v>
      </c>
      <c r="K492" t="s">
        <v>42</v>
      </c>
      <c r="L492" t="s">
        <v>75</v>
      </c>
      <c r="M492" t="s">
        <v>1479</v>
      </c>
      <c r="N492">
        <v>2022</v>
      </c>
    </row>
    <row r="493" spans="1:14" x14ac:dyDescent="0.25">
      <c r="A493" t="s">
        <v>580</v>
      </c>
      <c r="B493" t="s">
        <v>582</v>
      </c>
      <c r="C493">
        <v>5911</v>
      </c>
      <c r="D493">
        <v>2333</v>
      </c>
      <c r="E493" s="5">
        <v>0.39468787007274603</v>
      </c>
      <c r="F493">
        <v>14</v>
      </c>
      <c r="G493" t="s">
        <v>45</v>
      </c>
      <c r="H493" t="s">
        <v>109</v>
      </c>
      <c r="I493" t="s">
        <v>40</v>
      </c>
      <c r="J493" s="1">
        <v>45621</v>
      </c>
      <c r="K493" t="s">
        <v>42</v>
      </c>
      <c r="L493" t="s">
        <v>92</v>
      </c>
      <c r="M493" t="s">
        <v>1475</v>
      </c>
      <c r="N493">
        <v>2024</v>
      </c>
    </row>
    <row r="494" spans="1:14" x14ac:dyDescent="0.25">
      <c r="A494" t="s">
        <v>580</v>
      </c>
      <c r="B494" t="s">
        <v>581</v>
      </c>
      <c r="C494">
        <v>1818</v>
      </c>
      <c r="D494">
        <v>738</v>
      </c>
      <c r="E494" s="5">
        <v>0.40594059405940602</v>
      </c>
      <c r="F494">
        <v>11</v>
      </c>
      <c r="G494" t="s">
        <v>30</v>
      </c>
      <c r="H494" t="s">
        <v>57</v>
      </c>
      <c r="I494" t="s">
        <v>40</v>
      </c>
      <c r="J494" s="1">
        <v>44793</v>
      </c>
      <c r="K494" t="s">
        <v>42</v>
      </c>
      <c r="L494" t="s">
        <v>75</v>
      </c>
      <c r="M494" t="s">
        <v>1479</v>
      </c>
      <c r="N494">
        <v>2022</v>
      </c>
    </row>
    <row r="495" spans="1:14" x14ac:dyDescent="0.25">
      <c r="A495" t="s">
        <v>580</v>
      </c>
      <c r="B495" t="s">
        <v>582</v>
      </c>
      <c r="C495">
        <v>1818</v>
      </c>
      <c r="D495">
        <v>738</v>
      </c>
      <c r="E495" s="5">
        <v>0.40594059405940602</v>
      </c>
      <c r="F495">
        <v>11</v>
      </c>
      <c r="G495" t="s">
        <v>30</v>
      </c>
      <c r="H495" t="s">
        <v>57</v>
      </c>
      <c r="I495" t="s">
        <v>40</v>
      </c>
      <c r="J495" s="1">
        <v>45621</v>
      </c>
      <c r="K495" t="s">
        <v>42</v>
      </c>
      <c r="L495" t="s">
        <v>92</v>
      </c>
      <c r="M495" t="s">
        <v>1475</v>
      </c>
      <c r="N495">
        <v>2024</v>
      </c>
    </row>
    <row r="496" spans="1:14" x14ac:dyDescent="0.25">
      <c r="A496" t="s">
        <v>583</v>
      </c>
      <c r="B496" t="s">
        <v>584</v>
      </c>
      <c r="C496">
        <v>2140</v>
      </c>
      <c r="D496">
        <v>970</v>
      </c>
      <c r="E496" s="5">
        <v>0.45327102803738301</v>
      </c>
      <c r="F496">
        <v>4</v>
      </c>
      <c r="G496" t="s">
        <v>30</v>
      </c>
      <c r="H496" t="s">
        <v>64</v>
      </c>
      <c r="I496" t="s">
        <v>47</v>
      </c>
      <c r="J496" s="1">
        <v>44104</v>
      </c>
      <c r="K496" t="s">
        <v>42</v>
      </c>
      <c r="L496" t="s">
        <v>75</v>
      </c>
      <c r="M496" t="s">
        <v>1480</v>
      </c>
      <c r="N496">
        <v>2020</v>
      </c>
    </row>
    <row r="497" spans="1:14" x14ac:dyDescent="0.25">
      <c r="A497" t="s">
        <v>583</v>
      </c>
      <c r="B497" t="s">
        <v>585</v>
      </c>
      <c r="C497">
        <v>2140</v>
      </c>
      <c r="D497">
        <v>970</v>
      </c>
      <c r="E497" s="5">
        <v>0.45327102803738301</v>
      </c>
      <c r="F497">
        <v>4</v>
      </c>
      <c r="G497" t="s">
        <v>30</v>
      </c>
      <c r="H497" t="s">
        <v>64</v>
      </c>
      <c r="I497" t="s">
        <v>47</v>
      </c>
      <c r="J497" s="1">
        <v>45708</v>
      </c>
      <c r="K497" t="s">
        <v>17</v>
      </c>
      <c r="L497" t="s">
        <v>34</v>
      </c>
      <c r="M497" t="s">
        <v>1477</v>
      </c>
      <c r="N497">
        <v>2025</v>
      </c>
    </row>
    <row r="498" spans="1:14" x14ac:dyDescent="0.25">
      <c r="A498" t="s">
        <v>583</v>
      </c>
      <c r="B498" t="s">
        <v>586</v>
      </c>
      <c r="C498">
        <v>2140</v>
      </c>
      <c r="D498">
        <v>970</v>
      </c>
      <c r="E498" s="5">
        <v>0.45327102803738301</v>
      </c>
      <c r="F498">
        <v>4</v>
      </c>
      <c r="G498" t="s">
        <v>30</v>
      </c>
      <c r="H498" t="s">
        <v>64</v>
      </c>
      <c r="I498" t="s">
        <v>47</v>
      </c>
      <c r="J498" s="1">
        <v>44640</v>
      </c>
      <c r="K498" t="s">
        <v>42</v>
      </c>
      <c r="L498" t="s">
        <v>92</v>
      </c>
      <c r="M498" t="s">
        <v>1476</v>
      </c>
      <c r="N498">
        <v>2022</v>
      </c>
    </row>
    <row r="499" spans="1:14" x14ac:dyDescent="0.25">
      <c r="A499" t="s">
        <v>583</v>
      </c>
      <c r="B499" t="s">
        <v>584</v>
      </c>
      <c r="C499">
        <v>2670</v>
      </c>
      <c r="D499">
        <v>1026</v>
      </c>
      <c r="E499" s="5">
        <v>0.38426966292134801</v>
      </c>
      <c r="F499">
        <v>1</v>
      </c>
      <c r="G499" t="s">
        <v>13</v>
      </c>
      <c r="H499" t="s">
        <v>39</v>
      </c>
      <c r="I499" t="s">
        <v>32</v>
      </c>
      <c r="J499" s="1">
        <v>44104</v>
      </c>
      <c r="K499" t="s">
        <v>42</v>
      </c>
      <c r="L499" t="s">
        <v>75</v>
      </c>
      <c r="M499" t="s">
        <v>1480</v>
      </c>
      <c r="N499">
        <v>2020</v>
      </c>
    </row>
    <row r="500" spans="1:14" x14ac:dyDescent="0.25">
      <c r="A500" t="s">
        <v>583</v>
      </c>
      <c r="B500" t="s">
        <v>585</v>
      </c>
      <c r="C500">
        <v>2670</v>
      </c>
      <c r="D500">
        <v>1026</v>
      </c>
      <c r="E500" s="5">
        <v>0.38426966292134801</v>
      </c>
      <c r="F500">
        <v>1</v>
      </c>
      <c r="G500" t="s">
        <v>13</v>
      </c>
      <c r="H500" t="s">
        <v>39</v>
      </c>
      <c r="I500" t="s">
        <v>32</v>
      </c>
      <c r="J500" s="1">
        <v>45708</v>
      </c>
      <c r="K500" t="s">
        <v>17</v>
      </c>
      <c r="L500" t="s">
        <v>34</v>
      </c>
      <c r="M500" t="s">
        <v>1477</v>
      </c>
      <c r="N500">
        <v>2025</v>
      </c>
    </row>
    <row r="501" spans="1:14" x14ac:dyDescent="0.25">
      <c r="A501" t="s">
        <v>583</v>
      </c>
      <c r="B501" t="s">
        <v>586</v>
      </c>
      <c r="C501">
        <v>2670</v>
      </c>
      <c r="D501">
        <v>1026</v>
      </c>
      <c r="E501" s="5">
        <v>0.38426966292134801</v>
      </c>
      <c r="F501">
        <v>1</v>
      </c>
      <c r="G501" t="s">
        <v>13</v>
      </c>
      <c r="H501" t="s">
        <v>39</v>
      </c>
      <c r="I501" t="s">
        <v>32</v>
      </c>
      <c r="J501" s="1">
        <v>44640</v>
      </c>
      <c r="K501" t="s">
        <v>42</v>
      </c>
      <c r="L501" t="s">
        <v>92</v>
      </c>
      <c r="M501" t="s">
        <v>1476</v>
      </c>
      <c r="N501">
        <v>2022</v>
      </c>
    </row>
    <row r="502" spans="1:14" x14ac:dyDescent="0.25">
      <c r="A502" t="s">
        <v>587</v>
      </c>
      <c r="B502" t="s">
        <v>588</v>
      </c>
      <c r="C502">
        <v>1108</v>
      </c>
      <c r="D502">
        <v>167</v>
      </c>
      <c r="E502" s="5">
        <v>0.15072202166064999</v>
      </c>
      <c r="F502">
        <v>18</v>
      </c>
      <c r="G502" t="s">
        <v>13</v>
      </c>
      <c r="H502" t="s">
        <v>39</v>
      </c>
      <c r="I502" t="s">
        <v>32</v>
      </c>
      <c r="J502" s="1">
        <v>45723</v>
      </c>
      <c r="K502" t="s">
        <v>21</v>
      </c>
      <c r="L502" t="s">
        <v>63</v>
      </c>
      <c r="M502" t="s">
        <v>1476</v>
      </c>
      <c r="N502">
        <v>2025</v>
      </c>
    </row>
    <row r="503" spans="1:14" x14ac:dyDescent="0.25">
      <c r="A503" t="s">
        <v>587</v>
      </c>
      <c r="B503" t="s">
        <v>588</v>
      </c>
      <c r="C503">
        <v>9776</v>
      </c>
      <c r="D503">
        <v>3750</v>
      </c>
      <c r="E503" s="5">
        <v>0.383592471358429</v>
      </c>
      <c r="F503">
        <v>9</v>
      </c>
      <c r="G503" t="s">
        <v>30</v>
      </c>
      <c r="H503" t="s">
        <v>78</v>
      </c>
      <c r="I503" t="s">
        <v>15</v>
      </c>
      <c r="J503" s="1">
        <v>45723</v>
      </c>
      <c r="K503" t="s">
        <v>21</v>
      </c>
      <c r="L503" t="s">
        <v>63</v>
      </c>
      <c r="M503" t="s">
        <v>1476</v>
      </c>
      <c r="N503">
        <v>2025</v>
      </c>
    </row>
    <row r="504" spans="1:14" x14ac:dyDescent="0.25">
      <c r="A504" t="s">
        <v>587</v>
      </c>
      <c r="B504" t="s">
        <v>588</v>
      </c>
      <c r="C504">
        <v>535</v>
      </c>
      <c r="D504">
        <v>72</v>
      </c>
      <c r="E504" s="5">
        <v>0.13457943925233601</v>
      </c>
      <c r="F504">
        <v>6</v>
      </c>
      <c r="G504" t="s">
        <v>45</v>
      </c>
      <c r="H504" t="s">
        <v>109</v>
      </c>
      <c r="I504" t="s">
        <v>65</v>
      </c>
      <c r="J504" s="1">
        <v>45723</v>
      </c>
      <c r="K504" t="s">
        <v>21</v>
      </c>
      <c r="L504" t="s">
        <v>63</v>
      </c>
      <c r="M504" t="s">
        <v>1476</v>
      </c>
      <c r="N504">
        <v>2025</v>
      </c>
    </row>
    <row r="505" spans="1:14" x14ac:dyDescent="0.25">
      <c r="A505" t="s">
        <v>589</v>
      </c>
      <c r="B505" t="s">
        <v>590</v>
      </c>
      <c r="C505">
        <v>7564</v>
      </c>
      <c r="D505">
        <v>3463</v>
      </c>
      <c r="E505" s="5">
        <v>0.457826546800635</v>
      </c>
      <c r="F505">
        <v>5</v>
      </c>
      <c r="G505" t="s">
        <v>30</v>
      </c>
      <c r="H505" t="s">
        <v>64</v>
      </c>
      <c r="I505" t="s">
        <v>47</v>
      </c>
      <c r="J505" s="1">
        <v>45459</v>
      </c>
      <c r="K505" t="s">
        <v>17</v>
      </c>
      <c r="L505" t="s">
        <v>150</v>
      </c>
      <c r="M505" t="s">
        <v>1470</v>
      </c>
      <c r="N505">
        <v>2024</v>
      </c>
    </row>
    <row r="506" spans="1:14" x14ac:dyDescent="0.25">
      <c r="A506" t="s">
        <v>589</v>
      </c>
      <c r="B506" t="s">
        <v>591</v>
      </c>
      <c r="C506">
        <v>7564</v>
      </c>
      <c r="D506">
        <v>3463</v>
      </c>
      <c r="E506" s="5">
        <v>0.457826546800635</v>
      </c>
      <c r="F506">
        <v>5</v>
      </c>
      <c r="G506" t="s">
        <v>30</v>
      </c>
      <c r="H506" t="s">
        <v>64</v>
      </c>
      <c r="I506" t="s">
        <v>47</v>
      </c>
      <c r="J506" s="1">
        <v>44156</v>
      </c>
      <c r="K506" t="s">
        <v>21</v>
      </c>
      <c r="L506" t="s">
        <v>172</v>
      </c>
      <c r="M506" t="s">
        <v>1475</v>
      </c>
      <c r="N506">
        <v>2020</v>
      </c>
    </row>
    <row r="507" spans="1:14" x14ac:dyDescent="0.25">
      <c r="A507" t="s">
        <v>589</v>
      </c>
      <c r="B507" t="s">
        <v>592</v>
      </c>
      <c r="C507">
        <v>7564</v>
      </c>
      <c r="D507">
        <v>3463</v>
      </c>
      <c r="E507" s="5">
        <v>0.457826546800635</v>
      </c>
      <c r="F507">
        <v>5</v>
      </c>
      <c r="G507" t="s">
        <v>30</v>
      </c>
      <c r="H507" t="s">
        <v>64</v>
      </c>
      <c r="I507" t="s">
        <v>47</v>
      </c>
      <c r="J507" s="1">
        <v>45566</v>
      </c>
      <c r="K507" t="s">
        <v>17</v>
      </c>
      <c r="L507" t="s">
        <v>18</v>
      </c>
      <c r="M507" t="s">
        <v>1474</v>
      </c>
      <c r="N507">
        <v>2024</v>
      </c>
    </row>
    <row r="508" spans="1:14" x14ac:dyDescent="0.25">
      <c r="A508" t="s">
        <v>589</v>
      </c>
      <c r="B508" t="s">
        <v>593</v>
      </c>
      <c r="C508">
        <v>7564</v>
      </c>
      <c r="D508">
        <v>3463</v>
      </c>
      <c r="E508" s="5">
        <v>0.457826546800635</v>
      </c>
      <c r="F508">
        <v>5</v>
      </c>
      <c r="G508" t="s">
        <v>30</v>
      </c>
      <c r="H508" t="s">
        <v>64</v>
      </c>
      <c r="I508" t="s">
        <v>47</v>
      </c>
      <c r="J508" s="1">
        <v>45474</v>
      </c>
      <c r="K508" t="s">
        <v>71</v>
      </c>
      <c r="L508" t="s">
        <v>138</v>
      </c>
      <c r="M508" t="s">
        <v>1472</v>
      </c>
      <c r="N508">
        <v>2024</v>
      </c>
    </row>
    <row r="509" spans="1:14" x14ac:dyDescent="0.25">
      <c r="A509" t="s">
        <v>589</v>
      </c>
      <c r="B509" t="s">
        <v>590</v>
      </c>
      <c r="C509">
        <v>3409</v>
      </c>
      <c r="D509">
        <v>1605</v>
      </c>
      <c r="E509" s="5">
        <v>0.47081255500146701</v>
      </c>
      <c r="F509">
        <v>20</v>
      </c>
      <c r="G509" t="s">
        <v>13</v>
      </c>
      <c r="H509" t="s">
        <v>14</v>
      </c>
      <c r="I509" t="s">
        <v>15</v>
      </c>
      <c r="J509" s="1">
        <v>45459</v>
      </c>
      <c r="K509" t="s">
        <v>17</v>
      </c>
      <c r="L509" t="s">
        <v>150</v>
      </c>
      <c r="M509" t="s">
        <v>1470</v>
      </c>
      <c r="N509">
        <v>2024</v>
      </c>
    </row>
    <row r="510" spans="1:14" x14ac:dyDescent="0.25">
      <c r="A510" t="s">
        <v>589</v>
      </c>
      <c r="B510" t="s">
        <v>591</v>
      </c>
      <c r="C510">
        <v>3409</v>
      </c>
      <c r="D510">
        <v>1605</v>
      </c>
      <c r="E510" s="5">
        <v>0.47081255500146701</v>
      </c>
      <c r="F510">
        <v>20</v>
      </c>
      <c r="G510" t="s">
        <v>13</v>
      </c>
      <c r="H510" t="s">
        <v>14</v>
      </c>
      <c r="I510" t="s">
        <v>15</v>
      </c>
      <c r="J510" s="1">
        <v>44156</v>
      </c>
      <c r="K510" t="s">
        <v>21</v>
      </c>
      <c r="L510" t="s">
        <v>172</v>
      </c>
      <c r="M510" t="s">
        <v>1475</v>
      </c>
      <c r="N510">
        <v>2020</v>
      </c>
    </row>
    <row r="511" spans="1:14" x14ac:dyDescent="0.25">
      <c r="A511" t="s">
        <v>589</v>
      </c>
      <c r="B511" t="s">
        <v>592</v>
      </c>
      <c r="C511">
        <v>3409</v>
      </c>
      <c r="D511">
        <v>1605</v>
      </c>
      <c r="E511" s="5">
        <v>0.47081255500146701</v>
      </c>
      <c r="F511">
        <v>20</v>
      </c>
      <c r="G511" t="s">
        <v>13</v>
      </c>
      <c r="H511" t="s">
        <v>14</v>
      </c>
      <c r="I511" t="s">
        <v>15</v>
      </c>
      <c r="J511" s="1">
        <v>45566</v>
      </c>
      <c r="K511" t="s">
        <v>17</v>
      </c>
      <c r="L511" t="s">
        <v>18</v>
      </c>
      <c r="M511" t="s">
        <v>1474</v>
      </c>
      <c r="N511">
        <v>2024</v>
      </c>
    </row>
    <row r="512" spans="1:14" x14ac:dyDescent="0.25">
      <c r="A512" t="s">
        <v>589</v>
      </c>
      <c r="B512" t="s">
        <v>593</v>
      </c>
      <c r="C512">
        <v>3409</v>
      </c>
      <c r="D512">
        <v>1605</v>
      </c>
      <c r="E512" s="5">
        <v>0.47081255500146701</v>
      </c>
      <c r="F512">
        <v>20</v>
      </c>
      <c r="G512" t="s">
        <v>13</v>
      </c>
      <c r="H512" t="s">
        <v>14</v>
      </c>
      <c r="I512" t="s">
        <v>15</v>
      </c>
      <c r="J512" s="1">
        <v>45474</v>
      </c>
      <c r="K512" t="s">
        <v>71</v>
      </c>
      <c r="L512" t="s">
        <v>138</v>
      </c>
      <c r="M512" t="s">
        <v>1472</v>
      </c>
      <c r="N512">
        <v>2024</v>
      </c>
    </row>
    <row r="513" spans="1:14" x14ac:dyDescent="0.25">
      <c r="A513" t="s">
        <v>594</v>
      </c>
      <c r="B513" t="s">
        <v>595</v>
      </c>
      <c r="C513">
        <v>9751</v>
      </c>
      <c r="D513">
        <v>2459</v>
      </c>
      <c r="E513" s="5">
        <v>0.252179263665265</v>
      </c>
      <c r="F513">
        <v>13</v>
      </c>
      <c r="G513" t="s">
        <v>30</v>
      </c>
      <c r="H513" t="s">
        <v>31</v>
      </c>
      <c r="I513" t="s">
        <v>65</v>
      </c>
      <c r="J513" s="1">
        <v>44158</v>
      </c>
      <c r="K513" t="s">
        <v>25</v>
      </c>
      <c r="L513" t="s">
        <v>26</v>
      </c>
      <c r="M513" t="s">
        <v>1475</v>
      </c>
      <c r="N513">
        <v>2020</v>
      </c>
    </row>
    <row r="514" spans="1:14" x14ac:dyDescent="0.25">
      <c r="A514" t="s">
        <v>596</v>
      </c>
      <c r="B514" t="s">
        <v>597</v>
      </c>
      <c r="C514">
        <v>6385</v>
      </c>
      <c r="D514">
        <v>2656</v>
      </c>
      <c r="E514" s="5">
        <v>0.41597494126859802</v>
      </c>
      <c r="F514">
        <v>11</v>
      </c>
      <c r="G514" t="s">
        <v>13</v>
      </c>
      <c r="H514" t="s">
        <v>28</v>
      </c>
      <c r="I514" t="s">
        <v>47</v>
      </c>
      <c r="J514" s="1">
        <v>45003</v>
      </c>
      <c r="K514" t="s">
        <v>17</v>
      </c>
      <c r="L514" t="s">
        <v>34</v>
      </c>
      <c r="M514" t="s">
        <v>1476</v>
      </c>
      <c r="N514">
        <v>2023</v>
      </c>
    </row>
    <row r="515" spans="1:14" x14ac:dyDescent="0.25">
      <c r="A515" t="s">
        <v>596</v>
      </c>
      <c r="B515" t="s">
        <v>598</v>
      </c>
      <c r="C515">
        <v>6385</v>
      </c>
      <c r="D515">
        <v>2656</v>
      </c>
      <c r="E515" s="5">
        <v>0.41597494126859802</v>
      </c>
      <c r="F515">
        <v>11</v>
      </c>
      <c r="G515" t="s">
        <v>13</v>
      </c>
      <c r="H515" t="s">
        <v>28</v>
      </c>
      <c r="I515" t="s">
        <v>47</v>
      </c>
      <c r="J515" s="1">
        <v>44853</v>
      </c>
      <c r="K515" t="s">
        <v>17</v>
      </c>
      <c r="L515" t="s">
        <v>150</v>
      </c>
      <c r="M515" t="s">
        <v>1474</v>
      </c>
      <c r="N515">
        <v>2022</v>
      </c>
    </row>
    <row r="516" spans="1:14" x14ac:dyDescent="0.25">
      <c r="A516" t="s">
        <v>599</v>
      </c>
      <c r="B516" t="s">
        <v>600</v>
      </c>
      <c r="C516">
        <v>6355</v>
      </c>
      <c r="D516">
        <v>1335</v>
      </c>
      <c r="E516" s="5">
        <v>0.210070810385523</v>
      </c>
      <c r="F516">
        <v>15</v>
      </c>
      <c r="G516" t="s">
        <v>13</v>
      </c>
      <c r="H516" t="s">
        <v>14</v>
      </c>
      <c r="I516" t="s">
        <v>32</v>
      </c>
      <c r="J516" s="1">
        <v>45169</v>
      </c>
      <c r="K516" t="s">
        <v>71</v>
      </c>
      <c r="L516" t="s">
        <v>86</v>
      </c>
      <c r="M516" t="s">
        <v>1479</v>
      </c>
      <c r="N516">
        <v>2023</v>
      </c>
    </row>
    <row r="517" spans="1:14" x14ac:dyDescent="0.25">
      <c r="A517" t="s">
        <v>599</v>
      </c>
      <c r="B517" t="s">
        <v>601</v>
      </c>
      <c r="C517">
        <v>6355</v>
      </c>
      <c r="D517">
        <v>1335</v>
      </c>
      <c r="E517" s="5">
        <v>0.210070810385523</v>
      </c>
      <c r="F517">
        <v>15</v>
      </c>
      <c r="G517" t="s">
        <v>13</v>
      </c>
      <c r="H517" t="s">
        <v>14</v>
      </c>
      <c r="I517" t="s">
        <v>32</v>
      </c>
      <c r="J517" s="1">
        <v>44353</v>
      </c>
      <c r="K517" t="s">
        <v>71</v>
      </c>
      <c r="L517" t="s">
        <v>86</v>
      </c>
      <c r="M517" t="s">
        <v>1470</v>
      </c>
      <c r="N517">
        <v>2021</v>
      </c>
    </row>
    <row r="518" spans="1:14" x14ac:dyDescent="0.25">
      <c r="A518" t="s">
        <v>602</v>
      </c>
      <c r="B518" t="s">
        <v>603</v>
      </c>
      <c r="C518">
        <v>7377</v>
      </c>
      <c r="D518">
        <v>320</v>
      </c>
      <c r="E518" s="5">
        <v>4.3378066964890903E-2</v>
      </c>
      <c r="F518">
        <v>15</v>
      </c>
      <c r="G518" t="s">
        <v>13</v>
      </c>
      <c r="H518" t="s">
        <v>28</v>
      </c>
      <c r="I518" t="s">
        <v>32</v>
      </c>
      <c r="J518" s="1">
        <v>44916</v>
      </c>
      <c r="K518" t="s">
        <v>71</v>
      </c>
      <c r="L518" t="s">
        <v>86</v>
      </c>
      <c r="M518" t="s">
        <v>1471</v>
      </c>
      <c r="N518">
        <v>2022</v>
      </c>
    </row>
    <row r="519" spans="1:14" x14ac:dyDescent="0.25">
      <c r="A519" t="s">
        <v>602</v>
      </c>
      <c r="B519" t="s">
        <v>603</v>
      </c>
      <c r="C519">
        <v>2054</v>
      </c>
      <c r="D519">
        <v>371</v>
      </c>
      <c r="E519" s="5">
        <v>0.18062317429406</v>
      </c>
      <c r="F519">
        <v>12</v>
      </c>
      <c r="G519" t="s">
        <v>30</v>
      </c>
      <c r="H519" t="s">
        <v>57</v>
      </c>
      <c r="I519" t="s">
        <v>40</v>
      </c>
      <c r="J519" s="1">
        <v>44916</v>
      </c>
      <c r="K519" t="s">
        <v>71</v>
      </c>
      <c r="L519" t="s">
        <v>86</v>
      </c>
      <c r="M519" t="s">
        <v>1471</v>
      </c>
      <c r="N519">
        <v>2022</v>
      </c>
    </row>
    <row r="520" spans="1:14" x14ac:dyDescent="0.25">
      <c r="A520" t="s">
        <v>604</v>
      </c>
      <c r="B520" t="s">
        <v>605</v>
      </c>
      <c r="C520">
        <v>7497</v>
      </c>
      <c r="D520">
        <v>319</v>
      </c>
      <c r="E520" s="5">
        <v>4.2550353474723197E-2</v>
      </c>
      <c r="F520">
        <v>18</v>
      </c>
      <c r="G520" t="s">
        <v>45</v>
      </c>
      <c r="H520" t="s">
        <v>49</v>
      </c>
      <c r="I520" t="s">
        <v>65</v>
      </c>
      <c r="J520" s="1">
        <v>45334</v>
      </c>
      <c r="K520" t="s">
        <v>21</v>
      </c>
      <c r="L520" t="s">
        <v>172</v>
      </c>
      <c r="M520" t="s">
        <v>1477</v>
      </c>
      <c r="N520">
        <v>2024</v>
      </c>
    </row>
    <row r="521" spans="1:14" x14ac:dyDescent="0.25">
      <c r="A521" t="s">
        <v>606</v>
      </c>
      <c r="B521" t="s">
        <v>607</v>
      </c>
      <c r="C521">
        <v>2565</v>
      </c>
      <c r="D521">
        <v>983</v>
      </c>
      <c r="E521" s="5">
        <v>0.38323586744639399</v>
      </c>
      <c r="F521">
        <v>20</v>
      </c>
      <c r="G521" t="s">
        <v>13</v>
      </c>
      <c r="H521" t="s">
        <v>14</v>
      </c>
      <c r="I521" t="s">
        <v>32</v>
      </c>
      <c r="J521" s="1">
        <v>44900</v>
      </c>
      <c r="K521" t="s">
        <v>17</v>
      </c>
      <c r="L521" t="s">
        <v>18</v>
      </c>
      <c r="M521" t="s">
        <v>1471</v>
      </c>
      <c r="N521">
        <v>2022</v>
      </c>
    </row>
    <row r="522" spans="1:14" x14ac:dyDescent="0.25">
      <c r="A522" t="s">
        <v>606</v>
      </c>
      <c r="B522" t="s">
        <v>607</v>
      </c>
      <c r="C522">
        <v>5024</v>
      </c>
      <c r="D522">
        <v>1544</v>
      </c>
      <c r="E522" s="5">
        <v>0.30732484076433098</v>
      </c>
      <c r="F522">
        <v>19</v>
      </c>
      <c r="G522" t="s">
        <v>30</v>
      </c>
      <c r="H522" t="s">
        <v>31</v>
      </c>
      <c r="I522" t="s">
        <v>65</v>
      </c>
      <c r="J522" s="1">
        <v>44900</v>
      </c>
      <c r="K522" t="s">
        <v>17</v>
      </c>
      <c r="L522" t="s">
        <v>18</v>
      </c>
      <c r="M522" t="s">
        <v>1471</v>
      </c>
      <c r="N522">
        <v>2022</v>
      </c>
    </row>
    <row r="523" spans="1:14" x14ac:dyDescent="0.25">
      <c r="A523" t="s">
        <v>608</v>
      </c>
      <c r="B523" t="s">
        <v>609</v>
      </c>
      <c r="C523">
        <v>8243</v>
      </c>
      <c r="D523">
        <v>1346</v>
      </c>
      <c r="E523" s="5">
        <v>0.16329006429697901</v>
      </c>
      <c r="F523">
        <v>15</v>
      </c>
      <c r="G523" t="s">
        <v>30</v>
      </c>
      <c r="H523" t="s">
        <v>78</v>
      </c>
      <c r="I523" t="s">
        <v>32</v>
      </c>
      <c r="J523" s="1">
        <v>44290</v>
      </c>
      <c r="K523" t="s">
        <v>71</v>
      </c>
      <c r="L523" t="s">
        <v>138</v>
      </c>
      <c r="M523" t="s">
        <v>1481</v>
      </c>
      <c r="N523">
        <v>2021</v>
      </c>
    </row>
    <row r="524" spans="1:14" x14ac:dyDescent="0.25">
      <c r="A524" t="s">
        <v>610</v>
      </c>
      <c r="B524" t="s">
        <v>611</v>
      </c>
      <c r="C524">
        <v>7792</v>
      </c>
      <c r="D524">
        <v>1403</v>
      </c>
      <c r="E524" s="5">
        <v>0.180056468172485</v>
      </c>
      <c r="F524">
        <v>13</v>
      </c>
      <c r="G524" t="s">
        <v>30</v>
      </c>
      <c r="H524" t="s">
        <v>64</v>
      </c>
      <c r="I524" t="s">
        <v>15</v>
      </c>
      <c r="J524" s="1">
        <v>44239</v>
      </c>
      <c r="K524" t="s">
        <v>21</v>
      </c>
      <c r="L524" t="s">
        <v>172</v>
      </c>
      <c r="M524" t="s">
        <v>1477</v>
      </c>
      <c r="N524">
        <v>2021</v>
      </c>
    </row>
    <row r="525" spans="1:14" x14ac:dyDescent="0.25">
      <c r="A525" t="s">
        <v>610</v>
      </c>
      <c r="B525" t="s">
        <v>612</v>
      </c>
      <c r="C525">
        <v>7792</v>
      </c>
      <c r="D525">
        <v>1403</v>
      </c>
      <c r="E525" s="5">
        <v>0.180056468172485</v>
      </c>
      <c r="F525">
        <v>13</v>
      </c>
      <c r="G525" t="s">
        <v>30</v>
      </c>
      <c r="H525" t="s">
        <v>64</v>
      </c>
      <c r="I525" t="s">
        <v>15</v>
      </c>
      <c r="J525" s="1">
        <v>44922</v>
      </c>
      <c r="K525" t="s">
        <v>25</v>
      </c>
      <c r="L525" t="s">
        <v>68</v>
      </c>
      <c r="M525" t="s">
        <v>1471</v>
      </c>
      <c r="N525">
        <v>2022</v>
      </c>
    </row>
    <row r="526" spans="1:14" x14ac:dyDescent="0.25">
      <c r="A526" t="s">
        <v>610</v>
      </c>
      <c r="B526" t="s">
        <v>613</v>
      </c>
      <c r="C526">
        <v>7792</v>
      </c>
      <c r="D526">
        <v>1403</v>
      </c>
      <c r="E526" s="5">
        <v>0.180056468172485</v>
      </c>
      <c r="F526">
        <v>13</v>
      </c>
      <c r="G526" t="s">
        <v>30</v>
      </c>
      <c r="H526" t="s">
        <v>64</v>
      </c>
      <c r="I526" t="s">
        <v>15</v>
      </c>
      <c r="J526" s="1">
        <v>45310</v>
      </c>
      <c r="K526" t="s">
        <v>42</v>
      </c>
      <c r="L526" t="s">
        <v>75</v>
      </c>
      <c r="M526" t="s">
        <v>1478</v>
      </c>
      <c r="N526">
        <v>2024</v>
      </c>
    </row>
    <row r="527" spans="1:14" x14ac:dyDescent="0.25">
      <c r="A527" t="s">
        <v>610</v>
      </c>
      <c r="B527" t="s">
        <v>611</v>
      </c>
      <c r="C527">
        <v>2346</v>
      </c>
      <c r="D527">
        <v>388</v>
      </c>
      <c r="E527" s="5">
        <v>0.16538789428815001</v>
      </c>
      <c r="F527">
        <v>14</v>
      </c>
      <c r="G527" t="s">
        <v>45</v>
      </c>
      <c r="H527" t="s">
        <v>49</v>
      </c>
      <c r="I527" t="s">
        <v>32</v>
      </c>
      <c r="J527" s="1">
        <v>44239</v>
      </c>
      <c r="K527" t="s">
        <v>21</v>
      </c>
      <c r="L527" t="s">
        <v>172</v>
      </c>
      <c r="M527" t="s">
        <v>1477</v>
      </c>
      <c r="N527">
        <v>2021</v>
      </c>
    </row>
    <row r="528" spans="1:14" x14ac:dyDescent="0.25">
      <c r="A528" t="s">
        <v>610</v>
      </c>
      <c r="B528" t="s">
        <v>612</v>
      </c>
      <c r="C528">
        <v>2346</v>
      </c>
      <c r="D528">
        <v>388</v>
      </c>
      <c r="E528" s="5">
        <v>0.16538789428815001</v>
      </c>
      <c r="F528">
        <v>14</v>
      </c>
      <c r="G528" t="s">
        <v>45</v>
      </c>
      <c r="H528" t="s">
        <v>49</v>
      </c>
      <c r="I528" t="s">
        <v>32</v>
      </c>
      <c r="J528" s="1">
        <v>44922</v>
      </c>
      <c r="K528" t="s">
        <v>25</v>
      </c>
      <c r="L528" t="s">
        <v>68</v>
      </c>
      <c r="M528" t="s">
        <v>1471</v>
      </c>
      <c r="N528">
        <v>2022</v>
      </c>
    </row>
    <row r="529" spans="1:14" x14ac:dyDescent="0.25">
      <c r="A529" t="s">
        <v>610</v>
      </c>
      <c r="B529" t="s">
        <v>613</v>
      </c>
      <c r="C529">
        <v>2346</v>
      </c>
      <c r="D529">
        <v>388</v>
      </c>
      <c r="E529" s="5">
        <v>0.16538789428815001</v>
      </c>
      <c r="F529">
        <v>14</v>
      </c>
      <c r="G529" t="s">
        <v>45</v>
      </c>
      <c r="H529" t="s">
        <v>49</v>
      </c>
      <c r="I529" t="s">
        <v>32</v>
      </c>
      <c r="J529" s="1">
        <v>45310</v>
      </c>
      <c r="K529" t="s">
        <v>42</v>
      </c>
      <c r="L529" t="s">
        <v>75</v>
      </c>
      <c r="M529" t="s">
        <v>1478</v>
      </c>
      <c r="N529">
        <v>2024</v>
      </c>
    </row>
    <row r="530" spans="1:14" x14ac:dyDescent="0.25">
      <c r="A530" t="s">
        <v>614</v>
      </c>
      <c r="B530" t="s">
        <v>615</v>
      </c>
      <c r="C530">
        <v>7346</v>
      </c>
      <c r="D530">
        <v>1043</v>
      </c>
      <c r="E530" s="5">
        <v>0.14198203103729901</v>
      </c>
      <c r="F530">
        <v>10</v>
      </c>
      <c r="G530" t="s">
        <v>45</v>
      </c>
      <c r="H530" t="s">
        <v>60</v>
      </c>
      <c r="I530" t="s">
        <v>47</v>
      </c>
      <c r="J530" s="1">
        <v>44920</v>
      </c>
      <c r="K530" t="s">
        <v>98</v>
      </c>
      <c r="L530" t="s">
        <v>99</v>
      </c>
      <c r="M530" t="s">
        <v>1471</v>
      </c>
      <c r="N530">
        <v>2022</v>
      </c>
    </row>
    <row r="531" spans="1:14" x14ac:dyDescent="0.25">
      <c r="A531" t="s">
        <v>614</v>
      </c>
      <c r="B531" t="s">
        <v>615</v>
      </c>
      <c r="C531">
        <v>9770</v>
      </c>
      <c r="D531">
        <v>4132</v>
      </c>
      <c r="E531" s="5">
        <v>0.42292732855680698</v>
      </c>
      <c r="F531">
        <v>7</v>
      </c>
      <c r="G531" t="s">
        <v>13</v>
      </c>
      <c r="H531" t="s">
        <v>14</v>
      </c>
      <c r="I531" t="s">
        <v>15</v>
      </c>
      <c r="J531" s="1">
        <v>44920</v>
      </c>
      <c r="K531" t="s">
        <v>98</v>
      </c>
      <c r="L531" t="s">
        <v>99</v>
      </c>
      <c r="M531" t="s">
        <v>1471</v>
      </c>
      <c r="N531">
        <v>2022</v>
      </c>
    </row>
    <row r="532" spans="1:14" x14ac:dyDescent="0.25">
      <c r="A532" t="s">
        <v>614</v>
      </c>
      <c r="B532" t="s">
        <v>615</v>
      </c>
      <c r="C532">
        <v>7179</v>
      </c>
      <c r="D532">
        <v>683</v>
      </c>
      <c r="E532" s="5">
        <v>9.5138598690625395E-2</v>
      </c>
      <c r="F532">
        <v>13</v>
      </c>
      <c r="G532" t="s">
        <v>13</v>
      </c>
      <c r="H532" t="s">
        <v>39</v>
      </c>
      <c r="I532" t="s">
        <v>47</v>
      </c>
      <c r="J532" s="1">
        <v>44920</v>
      </c>
      <c r="K532" t="s">
        <v>98</v>
      </c>
      <c r="L532" t="s">
        <v>99</v>
      </c>
      <c r="M532" t="s">
        <v>1471</v>
      </c>
      <c r="N532">
        <v>2022</v>
      </c>
    </row>
    <row r="533" spans="1:14" x14ac:dyDescent="0.25">
      <c r="A533" t="s">
        <v>616</v>
      </c>
      <c r="B533" t="s">
        <v>617</v>
      </c>
      <c r="C533">
        <v>5449</v>
      </c>
      <c r="D533">
        <v>2389</v>
      </c>
      <c r="E533" s="5">
        <v>0.43842906955404698</v>
      </c>
      <c r="F533">
        <v>2</v>
      </c>
      <c r="G533" t="s">
        <v>13</v>
      </c>
      <c r="H533" t="s">
        <v>82</v>
      </c>
      <c r="I533" t="s">
        <v>15</v>
      </c>
      <c r="J533" s="1">
        <v>44840</v>
      </c>
      <c r="K533" t="s">
        <v>17</v>
      </c>
      <c r="L533" t="s">
        <v>18</v>
      </c>
      <c r="M533" t="s">
        <v>1474</v>
      </c>
      <c r="N533">
        <v>2022</v>
      </c>
    </row>
    <row r="534" spans="1:14" x14ac:dyDescent="0.25">
      <c r="A534" t="s">
        <v>618</v>
      </c>
      <c r="B534" t="s">
        <v>619</v>
      </c>
      <c r="C534">
        <v>2895</v>
      </c>
      <c r="D534">
        <v>104</v>
      </c>
      <c r="E534" s="5">
        <v>3.5924006908462897E-2</v>
      </c>
      <c r="F534">
        <v>6</v>
      </c>
      <c r="G534" t="s">
        <v>45</v>
      </c>
      <c r="H534" t="s">
        <v>49</v>
      </c>
      <c r="I534" t="s">
        <v>65</v>
      </c>
      <c r="J534" s="1">
        <v>43948</v>
      </c>
      <c r="K534" t="s">
        <v>25</v>
      </c>
      <c r="L534" t="s">
        <v>26</v>
      </c>
      <c r="M534" t="s">
        <v>1481</v>
      </c>
      <c r="N534">
        <v>2020</v>
      </c>
    </row>
    <row r="535" spans="1:14" x14ac:dyDescent="0.25">
      <c r="A535" t="s">
        <v>618</v>
      </c>
      <c r="B535" t="s">
        <v>620</v>
      </c>
      <c r="C535">
        <v>2895</v>
      </c>
      <c r="D535">
        <v>104</v>
      </c>
      <c r="E535" s="5">
        <v>3.5924006908462897E-2</v>
      </c>
      <c r="F535">
        <v>6</v>
      </c>
      <c r="G535" t="s">
        <v>45</v>
      </c>
      <c r="H535" t="s">
        <v>49</v>
      </c>
      <c r="I535" t="s">
        <v>65</v>
      </c>
      <c r="J535" s="1">
        <v>45425</v>
      </c>
      <c r="K535" t="s">
        <v>71</v>
      </c>
      <c r="L535" t="s">
        <v>138</v>
      </c>
      <c r="M535" t="s">
        <v>1473</v>
      </c>
      <c r="N535">
        <v>2024</v>
      </c>
    </row>
    <row r="536" spans="1:14" x14ac:dyDescent="0.25">
      <c r="A536" t="s">
        <v>618</v>
      </c>
      <c r="B536" t="s">
        <v>619</v>
      </c>
      <c r="C536">
        <v>697</v>
      </c>
      <c r="D536">
        <v>116</v>
      </c>
      <c r="E536" s="5">
        <v>0.166427546628407</v>
      </c>
      <c r="F536">
        <v>1</v>
      </c>
      <c r="G536" t="s">
        <v>45</v>
      </c>
      <c r="H536" t="s">
        <v>49</v>
      </c>
      <c r="I536" t="s">
        <v>15</v>
      </c>
      <c r="J536" s="1">
        <v>43948</v>
      </c>
      <c r="K536" t="s">
        <v>25</v>
      </c>
      <c r="L536" t="s">
        <v>26</v>
      </c>
      <c r="M536" t="s">
        <v>1481</v>
      </c>
      <c r="N536">
        <v>2020</v>
      </c>
    </row>
    <row r="537" spans="1:14" x14ac:dyDescent="0.25">
      <c r="A537" t="s">
        <v>618</v>
      </c>
      <c r="B537" t="s">
        <v>620</v>
      </c>
      <c r="C537">
        <v>697</v>
      </c>
      <c r="D537">
        <v>116</v>
      </c>
      <c r="E537" s="5">
        <v>0.166427546628407</v>
      </c>
      <c r="F537">
        <v>1</v>
      </c>
      <c r="G537" t="s">
        <v>45</v>
      </c>
      <c r="H537" t="s">
        <v>49</v>
      </c>
      <c r="I537" t="s">
        <v>15</v>
      </c>
      <c r="J537" s="1">
        <v>45425</v>
      </c>
      <c r="K537" t="s">
        <v>71</v>
      </c>
      <c r="L537" t="s">
        <v>138</v>
      </c>
      <c r="M537" t="s">
        <v>1473</v>
      </c>
      <c r="N537">
        <v>2024</v>
      </c>
    </row>
    <row r="538" spans="1:14" x14ac:dyDescent="0.25">
      <c r="A538" t="s">
        <v>621</v>
      </c>
      <c r="B538" t="s">
        <v>622</v>
      </c>
      <c r="C538">
        <v>6145</v>
      </c>
      <c r="D538">
        <v>1414</v>
      </c>
      <c r="E538" s="5">
        <v>0.23010577705451599</v>
      </c>
      <c r="F538">
        <v>4</v>
      </c>
      <c r="G538" t="s">
        <v>45</v>
      </c>
      <c r="H538" t="s">
        <v>49</v>
      </c>
      <c r="I538" t="s">
        <v>65</v>
      </c>
      <c r="J538" s="1">
        <v>44127</v>
      </c>
      <c r="K538" t="s">
        <v>42</v>
      </c>
      <c r="L538" t="s">
        <v>43</v>
      </c>
      <c r="M538" t="s">
        <v>1474</v>
      </c>
      <c r="N538">
        <v>2020</v>
      </c>
    </row>
    <row r="539" spans="1:14" x14ac:dyDescent="0.25">
      <c r="A539" t="s">
        <v>621</v>
      </c>
      <c r="B539" t="s">
        <v>622</v>
      </c>
      <c r="C539">
        <v>2504</v>
      </c>
      <c r="D539">
        <v>440</v>
      </c>
      <c r="E539" s="5">
        <v>0.17571884984025599</v>
      </c>
      <c r="F539">
        <v>18</v>
      </c>
      <c r="G539" t="s">
        <v>13</v>
      </c>
      <c r="H539" t="s">
        <v>28</v>
      </c>
      <c r="I539" t="s">
        <v>15</v>
      </c>
      <c r="J539" s="1">
        <v>44127</v>
      </c>
      <c r="K539" t="s">
        <v>42</v>
      </c>
      <c r="L539" t="s">
        <v>43</v>
      </c>
      <c r="M539" t="s">
        <v>1474</v>
      </c>
      <c r="N539">
        <v>2020</v>
      </c>
    </row>
    <row r="540" spans="1:14" x14ac:dyDescent="0.25">
      <c r="A540" t="s">
        <v>621</v>
      </c>
      <c r="B540" t="s">
        <v>622</v>
      </c>
      <c r="C540">
        <v>3124</v>
      </c>
      <c r="D540">
        <v>138</v>
      </c>
      <c r="E540" s="5">
        <v>4.4174135723431499E-2</v>
      </c>
      <c r="F540">
        <v>16</v>
      </c>
      <c r="G540" t="s">
        <v>13</v>
      </c>
      <c r="H540" t="s">
        <v>82</v>
      </c>
      <c r="I540" t="s">
        <v>32</v>
      </c>
      <c r="J540" s="1">
        <v>44127</v>
      </c>
      <c r="K540" t="s">
        <v>42</v>
      </c>
      <c r="L540" t="s">
        <v>43</v>
      </c>
      <c r="M540" t="s">
        <v>1474</v>
      </c>
      <c r="N540">
        <v>2020</v>
      </c>
    </row>
    <row r="541" spans="1:14" x14ac:dyDescent="0.25">
      <c r="A541" t="s">
        <v>623</v>
      </c>
      <c r="B541" t="s">
        <v>624</v>
      </c>
      <c r="C541">
        <v>6934</v>
      </c>
      <c r="D541">
        <v>1226</v>
      </c>
      <c r="E541" s="5">
        <v>0.176809922122873</v>
      </c>
      <c r="F541">
        <v>1</v>
      </c>
      <c r="G541" t="s">
        <v>13</v>
      </c>
      <c r="H541" t="s">
        <v>14</v>
      </c>
      <c r="I541" t="s">
        <v>32</v>
      </c>
      <c r="J541" s="1">
        <v>44358</v>
      </c>
      <c r="K541" t="s">
        <v>98</v>
      </c>
      <c r="L541" t="s">
        <v>107</v>
      </c>
      <c r="M541" t="s">
        <v>1470</v>
      </c>
      <c r="N541">
        <v>2021</v>
      </c>
    </row>
    <row r="542" spans="1:14" x14ac:dyDescent="0.25">
      <c r="A542" t="s">
        <v>623</v>
      </c>
      <c r="B542" t="s">
        <v>595</v>
      </c>
      <c r="C542">
        <v>6934</v>
      </c>
      <c r="D542">
        <v>1226</v>
      </c>
      <c r="E542" s="5">
        <v>0.176809922122873</v>
      </c>
      <c r="F542">
        <v>1</v>
      </c>
      <c r="G542" t="s">
        <v>13</v>
      </c>
      <c r="H542" t="s">
        <v>14</v>
      </c>
      <c r="I542" t="s">
        <v>32</v>
      </c>
      <c r="J542" s="1">
        <v>44447</v>
      </c>
      <c r="K542" t="s">
        <v>25</v>
      </c>
      <c r="L542" t="s">
        <v>68</v>
      </c>
      <c r="M542" t="s">
        <v>1480</v>
      </c>
      <c r="N542">
        <v>2021</v>
      </c>
    </row>
    <row r="543" spans="1:14" x14ac:dyDescent="0.25">
      <c r="A543" t="s">
        <v>625</v>
      </c>
      <c r="B543" t="s">
        <v>626</v>
      </c>
      <c r="C543">
        <v>4202</v>
      </c>
      <c r="D543">
        <v>1171</v>
      </c>
      <c r="E543" s="5">
        <v>0.27867682056163701</v>
      </c>
      <c r="F543">
        <v>3</v>
      </c>
      <c r="G543" t="s">
        <v>30</v>
      </c>
      <c r="H543" t="s">
        <v>57</v>
      </c>
      <c r="I543" t="s">
        <v>65</v>
      </c>
      <c r="J543" s="1">
        <v>44888</v>
      </c>
      <c r="K543" t="s">
        <v>21</v>
      </c>
      <c r="L543" t="s">
        <v>172</v>
      </c>
      <c r="M543" t="s">
        <v>1475</v>
      </c>
      <c r="N543">
        <v>2022</v>
      </c>
    </row>
    <row r="544" spans="1:14" x14ac:dyDescent="0.25">
      <c r="A544" t="s">
        <v>625</v>
      </c>
      <c r="B544" t="s">
        <v>627</v>
      </c>
      <c r="C544">
        <v>4202</v>
      </c>
      <c r="D544">
        <v>1171</v>
      </c>
      <c r="E544" s="5">
        <v>0.27867682056163701</v>
      </c>
      <c r="F544">
        <v>3</v>
      </c>
      <c r="G544" t="s">
        <v>30</v>
      </c>
      <c r="H544" t="s">
        <v>57</v>
      </c>
      <c r="I544" t="s">
        <v>65</v>
      </c>
      <c r="J544" s="1">
        <v>44865</v>
      </c>
      <c r="K544" t="s">
        <v>25</v>
      </c>
      <c r="L544" t="s">
        <v>68</v>
      </c>
      <c r="M544" t="s">
        <v>1474</v>
      </c>
      <c r="N544">
        <v>2022</v>
      </c>
    </row>
    <row r="545" spans="1:14" x14ac:dyDescent="0.25">
      <c r="A545" t="s">
        <v>625</v>
      </c>
      <c r="B545" t="s">
        <v>628</v>
      </c>
      <c r="C545">
        <v>4202</v>
      </c>
      <c r="D545">
        <v>1171</v>
      </c>
      <c r="E545" s="5">
        <v>0.27867682056163701</v>
      </c>
      <c r="F545">
        <v>3</v>
      </c>
      <c r="G545" t="s">
        <v>30</v>
      </c>
      <c r="H545" t="s">
        <v>57</v>
      </c>
      <c r="I545" t="s">
        <v>65</v>
      </c>
      <c r="J545" s="1">
        <v>45236</v>
      </c>
      <c r="K545" t="s">
        <v>17</v>
      </c>
      <c r="L545" t="s">
        <v>150</v>
      </c>
      <c r="M545" t="s">
        <v>1475</v>
      </c>
      <c r="N545">
        <v>2023</v>
      </c>
    </row>
    <row r="546" spans="1:14" x14ac:dyDescent="0.25">
      <c r="A546" t="s">
        <v>625</v>
      </c>
      <c r="B546" t="s">
        <v>629</v>
      </c>
      <c r="C546">
        <v>4202</v>
      </c>
      <c r="D546">
        <v>1171</v>
      </c>
      <c r="E546" s="5">
        <v>0.27867682056163701</v>
      </c>
      <c r="F546">
        <v>3</v>
      </c>
      <c r="G546" t="s">
        <v>30</v>
      </c>
      <c r="H546" t="s">
        <v>57</v>
      </c>
      <c r="I546" t="s">
        <v>65</v>
      </c>
      <c r="J546" s="1">
        <v>45242</v>
      </c>
      <c r="K546" t="s">
        <v>71</v>
      </c>
      <c r="L546" t="s">
        <v>138</v>
      </c>
      <c r="M546" t="s">
        <v>1475</v>
      </c>
      <c r="N546">
        <v>2023</v>
      </c>
    </row>
    <row r="547" spans="1:14" x14ac:dyDescent="0.25">
      <c r="A547" t="s">
        <v>630</v>
      </c>
      <c r="B547" t="s">
        <v>631</v>
      </c>
      <c r="C547">
        <v>2239</v>
      </c>
      <c r="D547">
        <v>828</v>
      </c>
      <c r="E547" s="5">
        <v>0.36980794997766903</v>
      </c>
      <c r="F547">
        <v>1</v>
      </c>
      <c r="G547" t="s">
        <v>13</v>
      </c>
      <c r="H547" t="s">
        <v>28</v>
      </c>
      <c r="I547" t="s">
        <v>15</v>
      </c>
      <c r="J547" s="1">
        <v>45103</v>
      </c>
      <c r="K547" t="s">
        <v>42</v>
      </c>
      <c r="L547" t="s">
        <v>43</v>
      </c>
      <c r="M547" t="s">
        <v>1470</v>
      </c>
      <c r="N547">
        <v>2023</v>
      </c>
    </row>
    <row r="548" spans="1:14" x14ac:dyDescent="0.25">
      <c r="A548" t="s">
        <v>630</v>
      </c>
      <c r="B548" t="s">
        <v>632</v>
      </c>
      <c r="C548">
        <v>2239</v>
      </c>
      <c r="D548">
        <v>828</v>
      </c>
      <c r="E548" s="5">
        <v>0.36980794997766903</v>
      </c>
      <c r="F548">
        <v>1</v>
      </c>
      <c r="G548" t="s">
        <v>13</v>
      </c>
      <c r="H548" t="s">
        <v>28</v>
      </c>
      <c r="I548" t="s">
        <v>15</v>
      </c>
      <c r="J548" s="1">
        <v>45199</v>
      </c>
      <c r="K548" t="s">
        <v>21</v>
      </c>
      <c r="L548" t="s">
        <v>22</v>
      </c>
      <c r="M548" t="s">
        <v>1480</v>
      </c>
      <c r="N548">
        <v>2023</v>
      </c>
    </row>
    <row r="549" spans="1:14" x14ac:dyDescent="0.25">
      <c r="A549" t="s">
        <v>630</v>
      </c>
      <c r="B549" t="s">
        <v>631</v>
      </c>
      <c r="C549">
        <v>2450</v>
      </c>
      <c r="D549">
        <v>1002</v>
      </c>
      <c r="E549" s="5">
        <v>0.40897959183673499</v>
      </c>
      <c r="F549">
        <v>4</v>
      </c>
      <c r="G549" t="s">
        <v>13</v>
      </c>
      <c r="H549" t="s">
        <v>82</v>
      </c>
      <c r="I549" t="s">
        <v>32</v>
      </c>
      <c r="J549" s="1">
        <v>45103</v>
      </c>
      <c r="K549" t="s">
        <v>42</v>
      </c>
      <c r="L549" t="s">
        <v>43</v>
      </c>
      <c r="M549" t="s">
        <v>1470</v>
      </c>
      <c r="N549">
        <v>2023</v>
      </c>
    </row>
    <row r="550" spans="1:14" x14ac:dyDescent="0.25">
      <c r="A550" t="s">
        <v>630</v>
      </c>
      <c r="B550" t="s">
        <v>632</v>
      </c>
      <c r="C550">
        <v>2450</v>
      </c>
      <c r="D550">
        <v>1002</v>
      </c>
      <c r="E550" s="5">
        <v>0.40897959183673499</v>
      </c>
      <c r="F550">
        <v>4</v>
      </c>
      <c r="G550" t="s">
        <v>13</v>
      </c>
      <c r="H550" t="s">
        <v>82</v>
      </c>
      <c r="I550" t="s">
        <v>32</v>
      </c>
      <c r="J550" s="1">
        <v>45199</v>
      </c>
      <c r="K550" t="s">
        <v>21</v>
      </c>
      <c r="L550" t="s">
        <v>22</v>
      </c>
      <c r="M550" t="s">
        <v>1480</v>
      </c>
      <c r="N550">
        <v>2023</v>
      </c>
    </row>
    <row r="551" spans="1:14" x14ac:dyDescent="0.25">
      <c r="A551" t="s">
        <v>633</v>
      </c>
      <c r="B551" t="s">
        <v>634</v>
      </c>
      <c r="C551">
        <v>9827</v>
      </c>
      <c r="D551">
        <v>4208</v>
      </c>
      <c r="E551" s="5">
        <v>0.42820799837183299</v>
      </c>
      <c r="F551">
        <v>13</v>
      </c>
      <c r="G551" t="s">
        <v>45</v>
      </c>
      <c r="H551" t="s">
        <v>49</v>
      </c>
      <c r="I551" t="s">
        <v>32</v>
      </c>
      <c r="J551" s="1">
        <v>44086</v>
      </c>
      <c r="K551" t="s">
        <v>25</v>
      </c>
      <c r="L551" t="s">
        <v>51</v>
      </c>
      <c r="M551" t="s">
        <v>1480</v>
      </c>
      <c r="N551">
        <v>2020</v>
      </c>
    </row>
    <row r="552" spans="1:14" x14ac:dyDescent="0.25">
      <c r="A552" t="s">
        <v>633</v>
      </c>
      <c r="B552" t="s">
        <v>634</v>
      </c>
      <c r="C552">
        <v>8077</v>
      </c>
      <c r="D552">
        <v>240</v>
      </c>
      <c r="E552" s="5">
        <v>2.9714002723783599E-2</v>
      </c>
      <c r="F552">
        <v>15</v>
      </c>
      <c r="G552" t="s">
        <v>45</v>
      </c>
      <c r="H552" t="s">
        <v>60</v>
      </c>
      <c r="I552" t="s">
        <v>47</v>
      </c>
      <c r="J552" s="1">
        <v>44086</v>
      </c>
      <c r="K552" t="s">
        <v>25</v>
      </c>
      <c r="L552" t="s">
        <v>51</v>
      </c>
      <c r="M552" t="s">
        <v>1480</v>
      </c>
      <c r="N552">
        <v>2020</v>
      </c>
    </row>
    <row r="553" spans="1:14" x14ac:dyDescent="0.25">
      <c r="A553" t="s">
        <v>635</v>
      </c>
      <c r="B553" t="s">
        <v>636</v>
      </c>
      <c r="C553">
        <v>5152</v>
      </c>
      <c r="D553">
        <v>2045</v>
      </c>
      <c r="E553" s="5">
        <v>0.39693322981366502</v>
      </c>
      <c r="F553">
        <v>14</v>
      </c>
      <c r="G553" t="s">
        <v>13</v>
      </c>
      <c r="H553" t="s">
        <v>82</v>
      </c>
      <c r="I553" t="s">
        <v>15</v>
      </c>
      <c r="J553" s="1">
        <v>44162</v>
      </c>
      <c r="K553" t="s">
        <v>21</v>
      </c>
      <c r="L553" t="s">
        <v>63</v>
      </c>
      <c r="M553" t="s">
        <v>1475</v>
      </c>
      <c r="N553">
        <v>2020</v>
      </c>
    </row>
    <row r="554" spans="1:14" x14ac:dyDescent="0.25">
      <c r="A554" t="s">
        <v>635</v>
      </c>
      <c r="B554" t="s">
        <v>637</v>
      </c>
      <c r="C554">
        <v>5152</v>
      </c>
      <c r="D554">
        <v>2045</v>
      </c>
      <c r="E554" s="5">
        <v>0.39693322981366502</v>
      </c>
      <c r="F554">
        <v>14</v>
      </c>
      <c r="G554" t="s">
        <v>13</v>
      </c>
      <c r="H554" t="s">
        <v>82</v>
      </c>
      <c r="I554" t="s">
        <v>15</v>
      </c>
      <c r="J554" s="1">
        <v>44798</v>
      </c>
      <c r="K554" t="s">
        <v>42</v>
      </c>
      <c r="L554" t="s">
        <v>43</v>
      </c>
      <c r="M554" t="s">
        <v>1479</v>
      </c>
      <c r="N554">
        <v>2022</v>
      </c>
    </row>
    <row r="555" spans="1:14" x14ac:dyDescent="0.25">
      <c r="A555" t="s">
        <v>635</v>
      </c>
      <c r="B555" t="s">
        <v>638</v>
      </c>
      <c r="C555">
        <v>5152</v>
      </c>
      <c r="D555">
        <v>2045</v>
      </c>
      <c r="E555" s="5">
        <v>0.39693322981366502</v>
      </c>
      <c r="F555">
        <v>14</v>
      </c>
      <c r="G555" t="s">
        <v>13</v>
      </c>
      <c r="H555" t="s">
        <v>82</v>
      </c>
      <c r="I555" t="s">
        <v>15</v>
      </c>
      <c r="J555" s="1">
        <v>45161</v>
      </c>
      <c r="K555" t="s">
        <v>21</v>
      </c>
      <c r="L555" t="s">
        <v>22</v>
      </c>
      <c r="M555" t="s">
        <v>1479</v>
      </c>
      <c r="N555">
        <v>2023</v>
      </c>
    </row>
    <row r="556" spans="1:14" x14ac:dyDescent="0.25">
      <c r="A556" t="s">
        <v>635</v>
      </c>
      <c r="B556" t="s">
        <v>639</v>
      </c>
      <c r="C556">
        <v>5152</v>
      </c>
      <c r="D556">
        <v>2045</v>
      </c>
      <c r="E556" s="5">
        <v>0.39693322981366502</v>
      </c>
      <c r="F556">
        <v>14</v>
      </c>
      <c r="G556" t="s">
        <v>13</v>
      </c>
      <c r="H556" t="s">
        <v>82</v>
      </c>
      <c r="I556" t="s">
        <v>15</v>
      </c>
      <c r="J556" s="1">
        <v>45210</v>
      </c>
      <c r="K556" t="s">
        <v>25</v>
      </c>
      <c r="L556" t="s">
        <v>68</v>
      </c>
      <c r="M556" t="s">
        <v>1474</v>
      </c>
      <c r="N556">
        <v>2023</v>
      </c>
    </row>
    <row r="557" spans="1:14" x14ac:dyDescent="0.25">
      <c r="A557" t="s">
        <v>640</v>
      </c>
      <c r="B557" t="s">
        <v>641</v>
      </c>
      <c r="C557">
        <v>2542</v>
      </c>
      <c r="D557">
        <v>190</v>
      </c>
      <c r="E557" s="5">
        <v>7.4744295830055096E-2</v>
      </c>
      <c r="F557">
        <v>1</v>
      </c>
      <c r="G557" t="s">
        <v>30</v>
      </c>
      <c r="H557" t="s">
        <v>57</v>
      </c>
      <c r="I557" t="s">
        <v>47</v>
      </c>
      <c r="J557" s="1">
        <v>44672</v>
      </c>
      <c r="K557" t="s">
        <v>71</v>
      </c>
      <c r="L557" t="s">
        <v>138</v>
      </c>
      <c r="M557" t="s">
        <v>1481</v>
      </c>
      <c r="N557">
        <v>2022</v>
      </c>
    </row>
    <row r="558" spans="1:14" x14ac:dyDescent="0.25">
      <c r="A558" t="s">
        <v>642</v>
      </c>
      <c r="B558" t="s">
        <v>643</v>
      </c>
      <c r="C558">
        <v>8102</v>
      </c>
      <c r="D558">
        <v>1800</v>
      </c>
      <c r="E558" s="5">
        <v>0.222167366082449</v>
      </c>
      <c r="F558">
        <v>5</v>
      </c>
      <c r="G558" t="s">
        <v>30</v>
      </c>
      <c r="H558" t="s">
        <v>57</v>
      </c>
      <c r="I558" t="s">
        <v>15</v>
      </c>
      <c r="J558" s="1">
        <v>45183</v>
      </c>
      <c r="K558" t="s">
        <v>42</v>
      </c>
      <c r="L558" t="s">
        <v>92</v>
      </c>
      <c r="M558" t="s">
        <v>1480</v>
      </c>
      <c r="N558">
        <v>2023</v>
      </c>
    </row>
    <row r="559" spans="1:14" x14ac:dyDescent="0.25">
      <c r="A559" t="s">
        <v>642</v>
      </c>
      <c r="B559" t="s">
        <v>644</v>
      </c>
      <c r="C559">
        <v>8102</v>
      </c>
      <c r="D559">
        <v>1800</v>
      </c>
      <c r="E559" s="5">
        <v>0.222167366082449</v>
      </c>
      <c r="F559">
        <v>5</v>
      </c>
      <c r="G559" t="s">
        <v>30</v>
      </c>
      <c r="H559" t="s">
        <v>57</v>
      </c>
      <c r="I559" t="s">
        <v>15</v>
      </c>
      <c r="J559" s="1">
        <v>43950</v>
      </c>
      <c r="K559" t="s">
        <v>25</v>
      </c>
      <c r="L559" t="s">
        <v>26</v>
      </c>
      <c r="M559" t="s">
        <v>1481</v>
      </c>
      <c r="N559">
        <v>2020</v>
      </c>
    </row>
    <row r="560" spans="1:14" x14ac:dyDescent="0.25">
      <c r="A560" t="s">
        <v>642</v>
      </c>
      <c r="B560" t="s">
        <v>645</v>
      </c>
      <c r="C560">
        <v>8102</v>
      </c>
      <c r="D560">
        <v>1800</v>
      </c>
      <c r="E560" s="5">
        <v>0.222167366082449</v>
      </c>
      <c r="F560">
        <v>5</v>
      </c>
      <c r="G560" t="s">
        <v>30</v>
      </c>
      <c r="H560" t="s">
        <v>57</v>
      </c>
      <c r="I560" t="s">
        <v>15</v>
      </c>
      <c r="J560" s="1">
        <v>44180</v>
      </c>
      <c r="K560" t="s">
        <v>98</v>
      </c>
      <c r="L560" t="s">
        <v>117</v>
      </c>
      <c r="M560" t="s">
        <v>1471</v>
      </c>
      <c r="N560">
        <v>2020</v>
      </c>
    </row>
    <row r="561" spans="1:14" x14ac:dyDescent="0.25">
      <c r="A561" t="s">
        <v>642</v>
      </c>
      <c r="B561" t="s">
        <v>643</v>
      </c>
      <c r="C561">
        <v>3234</v>
      </c>
      <c r="D561">
        <v>1274</v>
      </c>
      <c r="E561" s="5">
        <v>0.39393939393939398</v>
      </c>
      <c r="F561">
        <v>10</v>
      </c>
      <c r="G561" t="s">
        <v>45</v>
      </c>
      <c r="H561" t="s">
        <v>46</v>
      </c>
      <c r="I561" t="s">
        <v>40</v>
      </c>
      <c r="J561" s="1">
        <v>45183</v>
      </c>
      <c r="K561" t="s">
        <v>42</v>
      </c>
      <c r="L561" t="s">
        <v>92</v>
      </c>
      <c r="M561" t="s">
        <v>1480</v>
      </c>
      <c r="N561">
        <v>2023</v>
      </c>
    </row>
    <row r="562" spans="1:14" x14ac:dyDescent="0.25">
      <c r="A562" t="s">
        <v>642</v>
      </c>
      <c r="B562" t="s">
        <v>644</v>
      </c>
      <c r="C562">
        <v>3234</v>
      </c>
      <c r="D562">
        <v>1274</v>
      </c>
      <c r="E562" s="5">
        <v>0.39393939393939398</v>
      </c>
      <c r="F562">
        <v>10</v>
      </c>
      <c r="G562" t="s">
        <v>45</v>
      </c>
      <c r="H562" t="s">
        <v>46</v>
      </c>
      <c r="I562" t="s">
        <v>40</v>
      </c>
      <c r="J562" s="1">
        <v>43950</v>
      </c>
      <c r="K562" t="s">
        <v>25</v>
      </c>
      <c r="L562" t="s">
        <v>26</v>
      </c>
      <c r="M562" t="s">
        <v>1481</v>
      </c>
      <c r="N562">
        <v>2020</v>
      </c>
    </row>
    <row r="563" spans="1:14" x14ac:dyDescent="0.25">
      <c r="A563" t="s">
        <v>642</v>
      </c>
      <c r="B563" t="s">
        <v>645</v>
      </c>
      <c r="C563">
        <v>3234</v>
      </c>
      <c r="D563">
        <v>1274</v>
      </c>
      <c r="E563" s="5">
        <v>0.39393939393939398</v>
      </c>
      <c r="F563">
        <v>10</v>
      </c>
      <c r="G563" t="s">
        <v>45</v>
      </c>
      <c r="H563" t="s">
        <v>46</v>
      </c>
      <c r="I563" t="s">
        <v>40</v>
      </c>
      <c r="J563" s="1">
        <v>44180</v>
      </c>
      <c r="K563" t="s">
        <v>98</v>
      </c>
      <c r="L563" t="s">
        <v>117</v>
      </c>
      <c r="M563" t="s">
        <v>1471</v>
      </c>
      <c r="N563">
        <v>2020</v>
      </c>
    </row>
    <row r="564" spans="1:14" x14ac:dyDescent="0.25">
      <c r="A564" t="s">
        <v>646</v>
      </c>
      <c r="B564" t="s">
        <v>647</v>
      </c>
      <c r="C564">
        <v>6200</v>
      </c>
      <c r="D564">
        <v>2321</v>
      </c>
      <c r="E564" s="5">
        <v>0.37435483870967701</v>
      </c>
      <c r="F564">
        <v>18</v>
      </c>
      <c r="G564" t="s">
        <v>45</v>
      </c>
      <c r="H564" t="s">
        <v>46</v>
      </c>
      <c r="I564" t="s">
        <v>47</v>
      </c>
      <c r="J564" s="1">
        <v>45484</v>
      </c>
      <c r="K564" t="s">
        <v>42</v>
      </c>
      <c r="L564" t="s">
        <v>43</v>
      </c>
      <c r="M564" t="s">
        <v>1472</v>
      </c>
      <c r="N564">
        <v>2024</v>
      </c>
    </row>
    <row r="565" spans="1:14" x14ac:dyDescent="0.25">
      <c r="A565" t="s">
        <v>646</v>
      </c>
      <c r="B565" t="s">
        <v>648</v>
      </c>
      <c r="C565">
        <v>6200</v>
      </c>
      <c r="D565">
        <v>2321</v>
      </c>
      <c r="E565" s="5">
        <v>0.37435483870967701</v>
      </c>
      <c r="F565">
        <v>18</v>
      </c>
      <c r="G565" t="s">
        <v>45</v>
      </c>
      <c r="H565" t="s">
        <v>46</v>
      </c>
      <c r="I565" t="s">
        <v>47</v>
      </c>
      <c r="J565" s="1">
        <v>45556</v>
      </c>
      <c r="K565" t="s">
        <v>17</v>
      </c>
      <c r="L565" t="s">
        <v>18</v>
      </c>
      <c r="M565" t="s">
        <v>1480</v>
      </c>
      <c r="N565">
        <v>2024</v>
      </c>
    </row>
    <row r="566" spans="1:14" x14ac:dyDescent="0.25">
      <c r="A566" t="s">
        <v>649</v>
      </c>
      <c r="B566" t="s">
        <v>650</v>
      </c>
      <c r="C566">
        <v>4470</v>
      </c>
      <c r="D566">
        <v>413</v>
      </c>
      <c r="E566" s="5">
        <v>9.2393736017897105E-2</v>
      </c>
      <c r="F566">
        <v>13</v>
      </c>
      <c r="G566" t="s">
        <v>13</v>
      </c>
      <c r="H566" t="s">
        <v>39</v>
      </c>
      <c r="I566" t="s">
        <v>15</v>
      </c>
      <c r="J566" s="1">
        <v>45690</v>
      </c>
      <c r="K566" t="s">
        <v>42</v>
      </c>
      <c r="L566" t="s">
        <v>43</v>
      </c>
      <c r="M566" t="s">
        <v>1477</v>
      </c>
      <c r="N566">
        <v>2025</v>
      </c>
    </row>
    <row r="567" spans="1:14" x14ac:dyDescent="0.25">
      <c r="A567" t="s">
        <v>651</v>
      </c>
      <c r="B567" t="s">
        <v>652</v>
      </c>
      <c r="C567">
        <v>916</v>
      </c>
      <c r="D567">
        <v>362</v>
      </c>
      <c r="E567" s="5">
        <v>0.39519650655021799</v>
      </c>
      <c r="F567">
        <v>7</v>
      </c>
      <c r="G567" t="s">
        <v>30</v>
      </c>
      <c r="H567" t="s">
        <v>31</v>
      </c>
      <c r="I567" t="s">
        <v>15</v>
      </c>
      <c r="J567" s="1">
        <v>44855</v>
      </c>
      <c r="K567" t="s">
        <v>21</v>
      </c>
      <c r="L567" t="s">
        <v>63</v>
      </c>
      <c r="M567" t="s">
        <v>1474</v>
      </c>
      <c r="N567">
        <v>2022</v>
      </c>
    </row>
    <row r="568" spans="1:14" x14ac:dyDescent="0.25">
      <c r="A568" t="s">
        <v>651</v>
      </c>
      <c r="B568" t="s">
        <v>653</v>
      </c>
      <c r="C568">
        <v>916</v>
      </c>
      <c r="D568">
        <v>362</v>
      </c>
      <c r="E568" s="5">
        <v>0.39519650655021799</v>
      </c>
      <c r="F568">
        <v>7</v>
      </c>
      <c r="G568" t="s">
        <v>30</v>
      </c>
      <c r="H568" t="s">
        <v>31</v>
      </c>
      <c r="I568" t="s">
        <v>15</v>
      </c>
      <c r="J568" s="1">
        <v>44125</v>
      </c>
      <c r="K568" t="s">
        <v>42</v>
      </c>
      <c r="L568" t="s">
        <v>92</v>
      </c>
      <c r="M568" t="s">
        <v>1474</v>
      </c>
      <c r="N568">
        <v>2020</v>
      </c>
    </row>
    <row r="569" spans="1:14" x14ac:dyDescent="0.25">
      <c r="A569" t="s">
        <v>651</v>
      </c>
      <c r="B569" t="s">
        <v>652</v>
      </c>
      <c r="C569">
        <v>1165</v>
      </c>
      <c r="D569">
        <v>302</v>
      </c>
      <c r="E569" s="5">
        <v>0.25922746781115902</v>
      </c>
      <c r="F569">
        <v>20</v>
      </c>
      <c r="G569" t="s">
        <v>45</v>
      </c>
      <c r="H569" t="s">
        <v>60</v>
      </c>
      <c r="I569" t="s">
        <v>15</v>
      </c>
      <c r="J569" s="1">
        <v>44855</v>
      </c>
      <c r="K569" t="s">
        <v>21</v>
      </c>
      <c r="L569" t="s">
        <v>63</v>
      </c>
      <c r="M569" t="s">
        <v>1474</v>
      </c>
      <c r="N569">
        <v>2022</v>
      </c>
    </row>
    <row r="570" spans="1:14" x14ac:dyDescent="0.25">
      <c r="A570" t="s">
        <v>651</v>
      </c>
      <c r="B570" t="s">
        <v>653</v>
      </c>
      <c r="C570">
        <v>1165</v>
      </c>
      <c r="D570">
        <v>302</v>
      </c>
      <c r="E570" s="5">
        <v>0.25922746781115902</v>
      </c>
      <c r="F570">
        <v>20</v>
      </c>
      <c r="G570" t="s">
        <v>45</v>
      </c>
      <c r="H570" t="s">
        <v>60</v>
      </c>
      <c r="I570" t="s">
        <v>15</v>
      </c>
      <c r="J570" s="1">
        <v>44125</v>
      </c>
      <c r="K570" t="s">
        <v>42</v>
      </c>
      <c r="L570" t="s">
        <v>92</v>
      </c>
      <c r="M570" t="s">
        <v>1474</v>
      </c>
      <c r="N570">
        <v>2020</v>
      </c>
    </row>
    <row r="571" spans="1:14" x14ac:dyDescent="0.25">
      <c r="A571" t="s">
        <v>651</v>
      </c>
      <c r="B571" t="s">
        <v>652</v>
      </c>
      <c r="C571">
        <v>7846</v>
      </c>
      <c r="D571">
        <v>677</v>
      </c>
      <c r="E571" s="5">
        <v>8.6286005607953103E-2</v>
      </c>
      <c r="F571">
        <v>12</v>
      </c>
      <c r="G571" t="s">
        <v>45</v>
      </c>
      <c r="H571" t="s">
        <v>49</v>
      </c>
      <c r="I571" t="s">
        <v>15</v>
      </c>
      <c r="J571" s="1">
        <v>44855</v>
      </c>
      <c r="K571" t="s">
        <v>21</v>
      </c>
      <c r="L571" t="s">
        <v>63</v>
      </c>
      <c r="M571" t="s">
        <v>1474</v>
      </c>
      <c r="N571">
        <v>2022</v>
      </c>
    </row>
    <row r="572" spans="1:14" x14ac:dyDescent="0.25">
      <c r="A572" t="s">
        <v>651</v>
      </c>
      <c r="B572" t="s">
        <v>653</v>
      </c>
      <c r="C572">
        <v>7846</v>
      </c>
      <c r="D572">
        <v>677</v>
      </c>
      <c r="E572" s="5">
        <v>8.6286005607953103E-2</v>
      </c>
      <c r="F572">
        <v>12</v>
      </c>
      <c r="G572" t="s">
        <v>45</v>
      </c>
      <c r="H572" t="s">
        <v>49</v>
      </c>
      <c r="I572" t="s">
        <v>15</v>
      </c>
      <c r="J572" s="1">
        <v>44125</v>
      </c>
      <c r="K572" t="s">
        <v>42</v>
      </c>
      <c r="L572" t="s">
        <v>92</v>
      </c>
      <c r="M572" t="s">
        <v>1474</v>
      </c>
      <c r="N572">
        <v>2020</v>
      </c>
    </row>
    <row r="573" spans="1:14" x14ac:dyDescent="0.25">
      <c r="A573" t="s">
        <v>654</v>
      </c>
      <c r="B573" t="s">
        <v>655</v>
      </c>
      <c r="C573">
        <v>3022</v>
      </c>
      <c r="D573">
        <v>384</v>
      </c>
      <c r="E573" s="5">
        <v>0.127068166776969</v>
      </c>
      <c r="F573">
        <v>1</v>
      </c>
      <c r="G573" t="s">
        <v>30</v>
      </c>
      <c r="H573" t="s">
        <v>31</v>
      </c>
      <c r="I573" t="s">
        <v>47</v>
      </c>
      <c r="J573" s="1">
        <v>44572</v>
      </c>
      <c r="K573" t="s">
        <v>71</v>
      </c>
      <c r="L573" t="s">
        <v>86</v>
      </c>
      <c r="M573" t="s">
        <v>1478</v>
      </c>
      <c r="N573">
        <v>2022</v>
      </c>
    </row>
    <row r="574" spans="1:14" x14ac:dyDescent="0.25">
      <c r="A574" t="s">
        <v>654</v>
      </c>
      <c r="B574" t="s">
        <v>656</v>
      </c>
      <c r="C574">
        <v>3022</v>
      </c>
      <c r="D574">
        <v>384</v>
      </c>
      <c r="E574" s="5">
        <v>0.127068166776969</v>
      </c>
      <c r="F574">
        <v>1</v>
      </c>
      <c r="G574" t="s">
        <v>30</v>
      </c>
      <c r="H574" t="s">
        <v>31</v>
      </c>
      <c r="I574" t="s">
        <v>47</v>
      </c>
      <c r="J574" s="1">
        <v>44244</v>
      </c>
      <c r="K574" t="s">
        <v>21</v>
      </c>
      <c r="L574" t="s">
        <v>22</v>
      </c>
      <c r="M574" t="s">
        <v>1477</v>
      </c>
      <c r="N574">
        <v>2021</v>
      </c>
    </row>
    <row r="575" spans="1:14" x14ac:dyDescent="0.25">
      <c r="A575" t="s">
        <v>654</v>
      </c>
      <c r="B575" t="s">
        <v>655</v>
      </c>
      <c r="C575">
        <v>5266</v>
      </c>
      <c r="D575">
        <v>1111</v>
      </c>
      <c r="E575" s="5">
        <v>0.21097607292062301</v>
      </c>
      <c r="F575">
        <v>13</v>
      </c>
      <c r="G575" t="s">
        <v>13</v>
      </c>
      <c r="H575" t="s">
        <v>14</v>
      </c>
      <c r="I575" t="s">
        <v>32</v>
      </c>
      <c r="J575" s="1">
        <v>44572</v>
      </c>
      <c r="K575" t="s">
        <v>71</v>
      </c>
      <c r="L575" t="s">
        <v>86</v>
      </c>
      <c r="M575" t="s">
        <v>1478</v>
      </c>
      <c r="N575">
        <v>2022</v>
      </c>
    </row>
    <row r="576" spans="1:14" x14ac:dyDescent="0.25">
      <c r="A576" t="s">
        <v>654</v>
      </c>
      <c r="B576" t="s">
        <v>656</v>
      </c>
      <c r="C576">
        <v>5266</v>
      </c>
      <c r="D576">
        <v>1111</v>
      </c>
      <c r="E576" s="5">
        <v>0.21097607292062301</v>
      </c>
      <c r="F576">
        <v>13</v>
      </c>
      <c r="G576" t="s">
        <v>13</v>
      </c>
      <c r="H576" t="s">
        <v>14</v>
      </c>
      <c r="I576" t="s">
        <v>32</v>
      </c>
      <c r="J576" s="1">
        <v>44244</v>
      </c>
      <c r="K576" t="s">
        <v>21</v>
      </c>
      <c r="L576" t="s">
        <v>22</v>
      </c>
      <c r="M576" t="s">
        <v>1477</v>
      </c>
      <c r="N576">
        <v>2021</v>
      </c>
    </row>
    <row r="577" spans="1:14" x14ac:dyDescent="0.25">
      <c r="A577" t="s">
        <v>657</v>
      </c>
      <c r="B577" t="s">
        <v>658</v>
      </c>
      <c r="C577">
        <v>4853</v>
      </c>
      <c r="D577">
        <v>1764</v>
      </c>
      <c r="E577" s="5">
        <v>0.36348650319390102</v>
      </c>
      <c r="F577">
        <v>9</v>
      </c>
      <c r="G577" t="s">
        <v>30</v>
      </c>
      <c r="H577" t="s">
        <v>31</v>
      </c>
      <c r="I577" t="s">
        <v>32</v>
      </c>
      <c r="J577" s="1">
        <v>44506</v>
      </c>
      <c r="K577" t="s">
        <v>17</v>
      </c>
      <c r="L577" t="s">
        <v>34</v>
      </c>
      <c r="M577" t="s">
        <v>1475</v>
      </c>
      <c r="N577">
        <v>2021</v>
      </c>
    </row>
    <row r="578" spans="1:14" x14ac:dyDescent="0.25">
      <c r="A578" t="s">
        <v>657</v>
      </c>
      <c r="B578" t="s">
        <v>659</v>
      </c>
      <c r="C578">
        <v>4853</v>
      </c>
      <c r="D578">
        <v>1764</v>
      </c>
      <c r="E578" s="5">
        <v>0.36348650319390102</v>
      </c>
      <c r="F578">
        <v>9</v>
      </c>
      <c r="G578" t="s">
        <v>30</v>
      </c>
      <c r="H578" t="s">
        <v>31</v>
      </c>
      <c r="I578" t="s">
        <v>32</v>
      </c>
      <c r="J578" s="1">
        <v>44803</v>
      </c>
      <c r="K578" t="s">
        <v>71</v>
      </c>
      <c r="L578" t="s">
        <v>138</v>
      </c>
      <c r="M578" t="s">
        <v>1479</v>
      </c>
      <c r="N578">
        <v>2022</v>
      </c>
    </row>
    <row r="579" spans="1:14" x14ac:dyDescent="0.25">
      <c r="A579" t="s">
        <v>660</v>
      </c>
      <c r="B579" t="s">
        <v>661</v>
      </c>
      <c r="C579">
        <v>9832</v>
      </c>
      <c r="D579">
        <v>1270</v>
      </c>
      <c r="E579" s="5">
        <v>0.129170056956876</v>
      </c>
      <c r="F579">
        <v>1</v>
      </c>
      <c r="G579" t="s">
        <v>30</v>
      </c>
      <c r="H579" t="s">
        <v>31</v>
      </c>
      <c r="I579" t="s">
        <v>65</v>
      </c>
      <c r="J579" s="1">
        <v>44841</v>
      </c>
      <c r="K579" t="s">
        <v>42</v>
      </c>
      <c r="L579" t="s">
        <v>92</v>
      </c>
      <c r="M579" t="s">
        <v>1474</v>
      </c>
      <c r="N579">
        <v>2022</v>
      </c>
    </row>
    <row r="580" spans="1:14" x14ac:dyDescent="0.25">
      <c r="A580" t="s">
        <v>660</v>
      </c>
      <c r="B580" t="s">
        <v>661</v>
      </c>
      <c r="C580">
        <v>796</v>
      </c>
      <c r="D580">
        <v>153</v>
      </c>
      <c r="E580" s="5">
        <v>0.19221105527638199</v>
      </c>
      <c r="F580">
        <v>15</v>
      </c>
      <c r="G580" t="s">
        <v>30</v>
      </c>
      <c r="H580" t="s">
        <v>31</v>
      </c>
      <c r="I580" t="s">
        <v>47</v>
      </c>
      <c r="J580" s="1">
        <v>44841</v>
      </c>
      <c r="K580" t="s">
        <v>42</v>
      </c>
      <c r="L580" t="s">
        <v>92</v>
      </c>
      <c r="M580" t="s">
        <v>1474</v>
      </c>
      <c r="N580">
        <v>2022</v>
      </c>
    </row>
    <row r="581" spans="1:14" x14ac:dyDescent="0.25">
      <c r="A581" t="s">
        <v>662</v>
      </c>
      <c r="B581" t="s">
        <v>663</v>
      </c>
      <c r="C581">
        <v>883</v>
      </c>
      <c r="D581">
        <v>127</v>
      </c>
      <c r="E581" s="5">
        <v>0.143827859569649</v>
      </c>
      <c r="F581">
        <v>7</v>
      </c>
      <c r="G581" t="s">
        <v>45</v>
      </c>
      <c r="H581" t="s">
        <v>49</v>
      </c>
      <c r="I581" t="s">
        <v>65</v>
      </c>
      <c r="J581" s="1">
        <v>45081</v>
      </c>
      <c r="K581" t="s">
        <v>42</v>
      </c>
      <c r="L581" t="s">
        <v>92</v>
      </c>
      <c r="M581" t="s">
        <v>1470</v>
      </c>
      <c r="N581">
        <v>2023</v>
      </c>
    </row>
    <row r="582" spans="1:14" x14ac:dyDescent="0.25">
      <c r="A582" t="s">
        <v>662</v>
      </c>
      <c r="B582" t="s">
        <v>663</v>
      </c>
      <c r="C582">
        <v>4539</v>
      </c>
      <c r="D582">
        <v>1155</v>
      </c>
      <c r="E582" s="5">
        <v>0.25446133509583602</v>
      </c>
      <c r="F582">
        <v>8</v>
      </c>
      <c r="G582" t="s">
        <v>45</v>
      </c>
      <c r="H582" t="s">
        <v>109</v>
      </c>
      <c r="I582" t="s">
        <v>32</v>
      </c>
      <c r="J582" s="1">
        <v>45081</v>
      </c>
      <c r="K582" t="s">
        <v>42</v>
      </c>
      <c r="L582" t="s">
        <v>92</v>
      </c>
      <c r="M582" t="s">
        <v>1470</v>
      </c>
      <c r="N582">
        <v>2023</v>
      </c>
    </row>
    <row r="583" spans="1:14" x14ac:dyDescent="0.25">
      <c r="A583" t="s">
        <v>662</v>
      </c>
      <c r="B583" t="s">
        <v>663</v>
      </c>
      <c r="C583">
        <v>9659</v>
      </c>
      <c r="D583">
        <v>2226</v>
      </c>
      <c r="E583" s="5">
        <v>0.23045863961072599</v>
      </c>
      <c r="F583">
        <v>16</v>
      </c>
      <c r="G583" t="s">
        <v>30</v>
      </c>
      <c r="H583" t="s">
        <v>78</v>
      </c>
      <c r="I583" t="s">
        <v>32</v>
      </c>
      <c r="J583" s="1">
        <v>45081</v>
      </c>
      <c r="K583" t="s">
        <v>42</v>
      </c>
      <c r="L583" t="s">
        <v>92</v>
      </c>
      <c r="M583" t="s">
        <v>1470</v>
      </c>
      <c r="N583">
        <v>2023</v>
      </c>
    </row>
    <row r="584" spans="1:14" x14ac:dyDescent="0.25">
      <c r="A584" t="s">
        <v>664</v>
      </c>
      <c r="B584" t="s">
        <v>665</v>
      </c>
      <c r="C584">
        <v>9562</v>
      </c>
      <c r="D584">
        <v>325</v>
      </c>
      <c r="E584" s="5">
        <v>3.3988705291779997E-2</v>
      </c>
      <c r="F584">
        <v>2</v>
      </c>
      <c r="G584" t="s">
        <v>13</v>
      </c>
      <c r="H584" t="s">
        <v>28</v>
      </c>
      <c r="I584" t="s">
        <v>32</v>
      </c>
      <c r="J584" s="1">
        <v>44694</v>
      </c>
      <c r="K584" t="s">
        <v>42</v>
      </c>
      <c r="L584" t="s">
        <v>75</v>
      </c>
      <c r="M584" t="s">
        <v>1473</v>
      </c>
      <c r="N584">
        <v>2022</v>
      </c>
    </row>
    <row r="585" spans="1:14" x14ac:dyDescent="0.25">
      <c r="A585" t="s">
        <v>666</v>
      </c>
      <c r="B585" t="s">
        <v>667</v>
      </c>
      <c r="C585">
        <v>4688</v>
      </c>
      <c r="D585">
        <v>1841</v>
      </c>
      <c r="E585" s="5">
        <v>0.392704778156997</v>
      </c>
      <c r="F585">
        <v>3</v>
      </c>
      <c r="G585" t="s">
        <v>13</v>
      </c>
      <c r="H585" t="s">
        <v>39</v>
      </c>
      <c r="I585" t="s">
        <v>47</v>
      </c>
      <c r="J585" s="1">
        <v>44949</v>
      </c>
      <c r="K585" t="s">
        <v>42</v>
      </c>
      <c r="L585" t="s">
        <v>92</v>
      </c>
      <c r="M585" t="s">
        <v>1478</v>
      </c>
      <c r="N585">
        <v>2023</v>
      </c>
    </row>
    <row r="586" spans="1:14" x14ac:dyDescent="0.25">
      <c r="A586" t="s">
        <v>666</v>
      </c>
      <c r="B586" t="s">
        <v>668</v>
      </c>
      <c r="C586">
        <v>4688</v>
      </c>
      <c r="D586">
        <v>1841</v>
      </c>
      <c r="E586" s="5">
        <v>0.392704778156997</v>
      </c>
      <c r="F586">
        <v>3</v>
      </c>
      <c r="G586" t="s">
        <v>13</v>
      </c>
      <c r="H586" t="s">
        <v>39</v>
      </c>
      <c r="I586" t="s">
        <v>47</v>
      </c>
      <c r="J586" s="1">
        <v>44402</v>
      </c>
      <c r="K586" t="s">
        <v>42</v>
      </c>
      <c r="L586" t="s">
        <v>75</v>
      </c>
      <c r="M586" t="s">
        <v>1472</v>
      </c>
      <c r="N586">
        <v>2021</v>
      </c>
    </row>
    <row r="587" spans="1:14" x14ac:dyDescent="0.25">
      <c r="A587" t="s">
        <v>669</v>
      </c>
      <c r="B587" t="s">
        <v>670</v>
      </c>
      <c r="C587">
        <v>7900</v>
      </c>
      <c r="D587">
        <v>482</v>
      </c>
      <c r="E587" s="5">
        <v>6.1012658227848099E-2</v>
      </c>
      <c r="F587">
        <v>4</v>
      </c>
      <c r="G587" t="s">
        <v>13</v>
      </c>
      <c r="H587" t="s">
        <v>82</v>
      </c>
      <c r="I587" t="s">
        <v>65</v>
      </c>
      <c r="J587" s="1">
        <v>45724</v>
      </c>
      <c r="K587" t="s">
        <v>98</v>
      </c>
      <c r="L587" t="s">
        <v>99</v>
      </c>
      <c r="M587" t="s">
        <v>1476</v>
      </c>
      <c r="N587">
        <v>2025</v>
      </c>
    </row>
    <row r="588" spans="1:14" x14ac:dyDescent="0.25">
      <c r="A588" t="s">
        <v>671</v>
      </c>
      <c r="B588" t="s">
        <v>672</v>
      </c>
      <c r="C588">
        <v>6967</v>
      </c>
      <c r="D588">
        <v>3257</v>
      </c>
      <c r="E588" s="5">
        <v>0.46748959379934002</v>
      </c>
      <c r="F588">
        <v>17</v>
      </c>
      <c r="G588" t="s">
        <v>45</v>
      </c>
      <c r="H588" t="s">
        <v>109</v>
      </c>
      <c r="I588" t="s">
        <v>65</v>
      </c>
      <c r="J588" s="1">
        <v>44920</v>
      </c>
      <c r="K588" t="s">
        <v>98</v>
      </c>
      <c r="L588" t="s">
        <v>107</v>
      </c>
      <c r="M588" t="s">
        <v>1471</v>
      </c>
      <c r="N588">
        <v>2022</v>
      </c>
    </row>
    <row r="589" spans="1:14" x14ac:dyDescent="0.25">
      <c r="A589" t="s">
        <v>671</v>
      </c>
      <c r="B589" t="s">
        <v>672</v>
      </c>
      <c r="C589">
        <v>1091</v>
      </c>
      <c r="D589">
        <v>277</v>
      </c>
      <c r="E589" s="5">
        <v>0.25389550870760802</v>
      </c>
      <c r="F589">
        <v>6</v>
      </c>
      <c r="G589" t="s">
        <v>30</v>
      </c>
      <c r="H589" t="s">
        <v>64</v>
      </c>
      <c r="I589" t="s">
        <v>65</v>
      </c>
      <c r="J589" s="1">
        <v>44920</v>
      </c>
      <c r="K589" t="s">
        <v>98</v>
      </c>
      <c r="L589" t="s">
        <v>107</v>
      </c>
      <c r="M589" t="s">
        <v>1471</v>
      </c>
      <c r="N589">
        <v>2022</v>
      </c>
    </row>
    <row r="590" spans="1:14" x14ac:dyDescent="0.25">
      <c r="A590" t="s">
        <v>671</v>
      </c>
      <c r="B590" t="s">
        <v>672</v>
      </c>
      <c r="C590">
        <v>6027</v>
      </c>
      <c r="D590">
        <v>1530</v>
      </c>
      <c r="E590" s="5">
        <v>0.25385764061722199</v>
      </c>
      <c r="F590">
        <v>2</v>
      </c>
      <c r="G590" t="s">
        <v>30</v>
      </c>
      <c r="H590" t="s">
        <v>78</v>
      </c>
      <c r="I590" t="s">
        <v>47</v>
      </c>
      <c r="J590" s="1">
        <v>44920</v>
      </c>
      <c r="K590" t="s">
        <v>98</v>
      </c>
      <c r="L590" t="s">
        <v>107</v>
      </c>
      <c r="M590" t="s">
        <v>1471</v>
      </c>
      <c r="N590">
        <v>2022</v>
      </c>
    </row>
    <row r="591" spans="1:14" x14ac:dyDescent="0.25">
      <c r="A591" t="s">
        <v>673</v>
      </c>
      <c r="B591" t="s">
        <v>674</v>
      </c>
      <c r="C591">
        <v>4852</v>
      </c>
      <c r="D591">
        <v>218</v>
      </c>
      <c r="E591" s="5">
        <v>4.4929925803792202E-2</v>
      </c>
      <c r="F591">
        <v>2</v>
      </c>
      <c r="G591" t="s">
        <v>45</v>
      </c>
      <c r="H591" t="s">
        <v>46</v>
      </c>
      <c r="I591" t="s">
        <v>40</v>
      </c>
      <c r="J591" s="1">
        <v>45406</v>
      </c>
      <c r="K591" t="s">
        <v>71</v>
      </c>
      <c r="L591" t="s">
        <v>72</v>
      </c>
      <c r="M591" t="s">
        <v>1481</v>
      </c>
      <c r="N591">
        <v>2024</v>
      </c>
    </row>
    <row r="592" spans="1:14" x14ac:dyDescent="0.25">
      <c r="A592" t="s">
        <v>673</v>
      </c>
      <c r="B592" t="s">
        <v>675</v>
      </c>
      <c r="C592">
        <v>4852</v>
      </c>
      <c r="D592">
        <v>218</v>
      </c>
      <c r="E592" s="5">
        <v>4.4929925803792202E-2</v>
      </c>
      <c r="F592">
        <v>2</v>
      </c>
      <c r="G592" t="s">
        <v>45</v>
      </c>
      <c r="H592" t="s">
        <v>46</v>
      </c>
      <c r="I592" t="s">
        <v>40</v>
      </c>
      <c r="J592" s="1">
        <v>44554</v>
      </c>
      <c r="K592" t="s">
        <v>17</v>
      </c>
      <c r="L592" t="s">
        <v>150</v>
      </c>
      <c r="M592" t="s">
        <v>1471</v>
      </c>
      <c r="N592">
        <v>2021</v>
      </c>
    </row>
    <row r="593" spans="1:14" x14ac:dyDescent="0.25">
      <c r="A593" t="s">
        <v>673</v>
      </c>
      <c r="B593" t="s">
        <v>676</v>
      </c>
      <c r="C593">
        <v>4852</v>
      </c>
      <c r="D593">
        <v>218</v>
      </c>
      <c r="E593" s="5">
        <v>4.4929925803792202E-2</v>
      </c>
      <c r="F593">
        <v>2</v>
      </c>
      <c r="G593" t="s">
        <v>45</v>
      </c>
      <c r="H593" t="s">
        <v>46</v>
      </c>
      <c r="I593" t="s">
        <v>40</v>
      </c>
      <c r="J593" s="1">
        <v>45176</v>
      </c>
      <c r="K593" t="s">
        <v>21</v>
      </c>
      <c r="L593" t="s">
        <v>63</v>
      </c>
      <c r="M593" t="s">
        <v>1480</v>
      </c>
      <c r="N593">
        <v>2023</v>
      </c>
    </row>
    <row r="594" spans="1:14" x14ac:dyDescent="0.25">
      <c r="A594" t="s">
        <v>677</v>
      </c>
      <c r="B594" t="s">
        <v>678</v>
      </c>
      <c r="C594">
        <v>4314</v>
      </c>
      <c r="D594">
        <v>1453</v>
      </c>
      <c r="E594" s="5">
        <v>0.33681038479369502</v>
      </c>
      <c r="F594">
        <v>6</v>
      </c>
      <c r="G594" t="s">
        <v>45</v>
      </c>
      <c r="H594" t="s">
        <v>60</v>
      </c>
      <c r="I594" t="s">
        <v>65</v>
      </c>
      <c r="J594" s="1">
        <v>44418</v>
      </c>
      <c r="K594" t="s">
        <v>17</v>
      </c>
      <c r="L594" t="s">
        <v>150</v>
      </c>
      <c r="M594" t="s">
        <v>1479</v>
      </c>
      <c r="N594">
        <v>2021</v>
      </c>
    </row>
    <row r="595" spans="1:14" x14ac:dyDescent="0.25">
      <c r="A595" t="s">
        <v>679</v>
      </c>
      <c r="B595" t="s">
        <v>680</v>
      </c>
      <c r="C595">
        <v>3288</v>
      </c>
      <c r="D595">
        <v>1477</v>
      </c>
      <c r="E595" s="5">
        <v>0.44920924574209198</v>
      </c>
      <c r="F595">
        <v>3</v>
      </c>
      <c r="G595" t="s">
        <v>30</v>
      </c>
      <c r="H595" t="s">
        <v>31</v>
      </c>
      <c r="I595" t="s">
        <v>40</v>
      </c>
      <c r="J595" s="1">
        <v>45438</v>
      </c>
      <c r="K595" t="s">
        <v>71</v>
      </c>
      <c r="L595" t="s">
        <v>86</v>
      </c>
      <c r="M595" t="s">
        <v>1473</v>
      </c>
      <c r="N595">
        <v>2024</v>
      </c>
    </row>
    <row r="596" spans="1:14" x14ac:dyDescent="0.25">
      <c r="A596" t="s">
        <v>679</v>
      </c>
      <c r="B596" t="s">
        <v>681</v>
      </c>
      <c r="C596">
        <v>3288</v>
      </c>
      <c r="D596">
        <v>1477</v>
      </c>
      <c r="E596" s="5">
        <v>0.44920924574209198</v>
      </c>
      <c r="F596">
        <v>3</v>
      </c>
      <c r="G596" t="s">
        <v>30</v>
      </c>
      <c r="H596" t="s">
        <v>31</v>
      </c>
      <c r="I596" t="s">
        <v>40</v>
      </c>
      <c r="J596" s="1">
        <v>44611</v>
      </c>
      <c r="K596" t="s">
        <v>21</v>
      </c>
      <c r="L596" t="s">
        <v>63</v>
      </c>
      <c r="M596" t="s">
        <v>1477</v>
      </c>
      <c r="N596">
        <v>2022</v>
      </c>
    </row>
    <row r="597" spans="1:14" x14ac:dyDescent="0.25">
      <c r="A597" t="s">
        <v>682</v>
      </c>
      <c r="B597" t="s">
        <v>683</v>
      </c>
      <c r="C597">
        <v>3977</v>
      </c>
      <c r="D597">
        <v>813</v>
      </c>
      <c r="E597" s="5">
        <v>0.20442544631631901</v>
      </c>
      <c r="F597">
        <v>5</v>
      </c>
      <c r="G597" t="s">
        <v>30</v>
      </c>
      <c r="H597" t="s">
        <v>78</v>
      </c>
      <c r="I597" t="s">
        <v>47</v>
      </c>
      <c r="J597" s="1">
        <v>45635</v>
      </c>
      <c r="K597" t="s">
        <v>25</v>
      </c>
      <c r="L597" t="s">
        <v>51</v>
      </c>
      <c r="M597" t="s">
        <v>1471</v>
      </c>
      <c r="N597">
        <v>2024</v>
      </c>
    </row>
    <row r="598" spans="1:14" x14ac:dyDescent="0.25">
      <c r="A598" t="s">
        <v>684</v>
      </c>
      <c r="B598" t="s">
        <v>685</v>
      </c>
      <c r="C598">
        <v>6252</v>
      </c>
      <c r="D598">
        <v>1377</v>
      </c>
      <c r="E598" s="5">
        <v>0.22024952015355101</v>
      </c>
      <c r="F598">
        <v>2</v>
      </c>
      <c r="G598" t="s">
        <v>13</v>
      </c>
      <c r="H598" t="s">
        <v>28</v>
      </c>
      <c r="I598" t="s">
        <v>40</v>
      </c>
      <c r="J598" s="1">
        <v>45078</v>
      </c>
      <c r="K598" t="s">
        <v>21</v>
      </c>
      <c r="L598" t="s">
        <v>22</v>
      </c>
      <c r="M598" t="s">
        <v>1470</v>
      </c>
      <c r="N598">
        <v>2023</v>
      </c>
    </row>
    <row r="599" spans="1:14" x14ac:dyDescent="0.25">
      <c r="A599" t="s">
        <v>686</v>
      </c>
      <c r="B599" t="s">
        <v>687</v>
      </c>
      <c r="C599">
        <v>9084</v>
      </c>
      <c r="D599">
        <v>3253</v>
      </c>
      <c r="E599" s="5">
        <v>0.35810215763980602</v>
      </c>
      <c r="F599">
        <v>12</v>
      </c>
      <c r="G599" t="s">
        <v>30</v>
      </c>
      <c r="H599" t="s">
        <v>31</v>
      </c>
      <c r="I599" t="s">
        <v>32</v>
      </c>
      <c r="J599" s="1">
        <v>45235</v>
      </c>
      <c r="K599" t="s">
        <v>25</v>
      </c>
      <c r="L599" t="s">
        <v>26</v>
      </c>
      <c r="M599" t="s">
        <v>1475</v>
      </c>
      <c r="N599">
        <v>2023</v>
      </c>
    </row>
    <row r="600" spans="1:14" x14ac:dyDescent="0.25">
      <c r="A600" t="s">
        <v>688</v>
      </c>
      <c r="B600" t="s">
        <v>689</v>
      </c>
      <c r="C600">
        <v>8994</v>
      </c>
      <c r="D600">
        <v>1481</v>
      </c>
      <c r="E600" s="5">
        <v>0.16466533244385101</v>
      </c>
      <c r="F600">
        <v>15</v>
      </c>
      <c r="G600" t="s">
        <v>13</v>
      </c>
      <c r="H600" t="s">
        <v>82</v>
      </c>
      <c r="I600" t="s">
        <v>47</v>
      </c>
      <c r="J600" s="1">
        <v>44003</v>
      </c>
      <c r="K600" t="s">
        <v>42</v>
      </c>
      <c r="L600" t="s">
        <v>75</v>
      </c>
      <c r="M600" t="s">
        <v>1470</v>
      </c>
      <c r="N600">
        <v>2020</v>
      </c>
    </row>
    <row r="601" spans="1:14" x14ac:dyDescent="0.25">
      <c r="A601" t="s">
        <v>690</v>
      </c>
      <c r="B601" t="s">
        <v>691</v>
      </c>
      <c r="C601">
        <v>1089</v>
      </c>
      <c r="D601">
        <v>176</v>
      </c>
      <c r="E601" s="5">
        <v>0.16161616161616199</v>
      </c>
      <c r="F601">
        <v>16</v>
      </c>
      <c r="G601" t="s">
        <v>30</v>
      </c>
      <c r="H601" t="s">
        <v>57</v>
      </c>
      <c r="I601" t="s">
        <v>40</v>
      </c>
      <c r="J601" s="1">
        <v>44130</v>
      </c>
      <c r="K601" t="s">
        <v>71</v>
      </c>
      <c r="L601" t="s">
        <v>72</v>
      </c>
      <c r="M601" t="s">
        <v>1474</v>
      </c>
      <c r="N601">
        <v>2020</v>
      </c>
    </row>
    <row r="602" spans="1:14" x14ac:dyDescent="0.25">
      <c r="A602" t="s">
        <v>692</v>
      </c>
      <c r="B602" t="s">
        <v>693</v>
      </c>
      <c r="C602">
        <v>6690</v>
      </c>
      <c r="D602">
        <v>1001</v>
      </c>
      <c r="E602" s="5">
        <v>0.14962630792227199</v>
      </c>
      <c r="F602">
        <v>19</v>
      </c>
      <c r="G602" t="s">
        <v>30</v>
      </c>
      <c r="H602" t="s">
        <v>78</v>
      </c>
      <c r="I602" t="s">
        <v>15</v>
      </c>
      <c r="J602" s="1">
        <v>44718</v>
      </c>
      <c r="K602" t="s">
        <v>21</v>
      </c>
      <c r="L602" t="s">
        <v>63</v>
      </c>
      <c r="M602" t="s">
        <v>1470</v>
      </c>
      <c r="N602">
        <v>2022</v>
      </c>
    </row>
    <row r="603" spans="1:14" x14ac:dyDescent="0.25">
      <c r="A603" t="s">
        <v>692</v>
      </c>
      <c r="B603" t="s">
        <v>694</v>
      </c>
      <c r="C603">
        <v>6690</v>
      </c>
      <c r="D603">
        <v>1001</v>
      </c>
      <c r="E603" s="5">
        <v>0.14962630792227199</v>
      </c>
      <c r="F603">
        <v>19</v>
      </c>
      <c r="G603" t="s">
        <v>30</v>
      </c>
      <c r="H603" t="s">
        <v>78</v>
      </c>
      <c r="I603" t="s">
        <v>15</v>
      </c>
      <c r="J603" s="1">
        <v>44513</v>
      </c>
      <c r="K603" t="s">
        <v>21</v>
      </c>
      <c r="L603" t="s">
        <v>22</v>
      </c>
      <c r="M603" t="s">
        <v>1475</v>
      </c>
      <c r="N603">
        <v>2021</v>
      </c>
    </row>
    <row r="604" spans="1:14" x14ac:dyDescent="0.25">
      <c r="A604" t="s">
        <v>692</v>
      </c>
      <c r="B604" t="s">
        <v>693</v>
      </c>
      <c r="C604">
        <v>4985</v>
      </c>
      <c r="D604">
        <v>1920</v>
      </c>
      <c r="E604" s="5">
        <v>0.38515546639919801</v>
      </c>
      <c r="F604">
        <v>10</v>
      </c>
      <c r="G604" t="s">
        <v>45</v>
      </c>
      <c r="H604" t="s">
        <v>109</v>
      </c>
      <c r="I604" t="s">
        <v>47</v>
      </c>
      <c r="J604" s="1">
        <v>44718</v>
      </c>
      <c r="K604" t="s">
        <v>21</v>
      </c>
      <c r="L604" t="s">
        <v>63</v>
      </c>
      <c r="M604" t="s">
        <v>1470</v>
      </c>
      <c r="N604">
        <v>2022</v>
      </c>
    </row>
    <row r="605" spans="1:14" x14ac:dyDescent="0.25">
      <c r="A605" t="s">
        <v>692</v>
      </c>
      <c r="B605" t="s">
        <v>694</v>
      </c>
      <c r="C605">
        <v>4985</v>
      </c>
      <c r="D605">
        <v>1920</v>
      </c>
      <c r="E605" s="5">
        <v>0.38515546639919801</v>
      </c>
      <c r="F605">
        <v>10</v>
      </c>
      <c r="G605" t="s">
        <v>45</v>
      </c>
      <c r="H605" t="s">
        <v>109</v>
      </c>
      <c r="I605" t="s">
        <v>47</v>
      </c>
      <c r="J605" s="1">
        <v>44513</v>
      </c>
      <c r="K605" t="s">
        <v>21</v>
      </c>
      <c r="L605" t="s">
        <v>22</v>
      </c>
      <c r="M605" t="s">
        <v>1475</v>
      </c>
      <c r="N605">
        <v>2021</v>
      </c>
    </row>
    <row r="606" spans="1:14" x14ac:dyDescent="0.25">
      <c r="A606" t="s">
        <v>695</v>
      </c>
      <c r="B606" t="s">
        <v>696</v>
      </c>
      <c r="C606">
        <v>8590</v>
      </c>
      <c r="D606">
        <v>3565</v>
      </c>
      <c r="E606" s="5">
        <v>0.41501746216530799</v>
      </c>
      <c r="F606">
        <v>15</v>
      </c>
      <c r="G606" t="s">
        <v>13</v>
      </c>
      <c r="H606" t="s">
        <v>14</v>
      </c>
      <c r="I606" t="s">
        <v>40</v>
      </c>
      <c r="J606" s="1">
        <v>44511</v>
      </c>
      <c r="K606" t="s">
        <v>17</v>
      </c>
      <c r="L606" t="s">
        <v>18</v>
      </c>
      <c r="M606" t="s">
        <v>1475</v>
      </c>
      <c r="N606">
        <v>2021</v>
      </c>
    </row>
    <row r="607" spans="1:14" x14ac:dyDescent="0.25">
      <c r="A607" t="s">
        <v>695</v>
      </c>
      <c r="B607" t="s">
        <v>696</v>
      </c>
      <c r="C607">
        <v>6973</v>
      </c>
      <c r="D607">
        <v>3038</v>
      </c>
      <c r="E607" s="5">
        <v>0.43568048185859698</v>
      </c>
      <c r="F607">
        <v>10</v>
      </c>
      <c r="G607" t="s">
        <v>45</v>
      </c>
      <c r="H607" t="s">
        <v>46</v>
      </c>
      <c r="I607" t="s">
        <v>65</v>
      </c>
      <c r="J607" s="1">
        <v>44511</v>
      </c>
      <c r="K607" t="s">
        <v>17</v>
      </c>
      <c r="L607" t="s">
        <v>18</v>
      </c>
      <c r="M607" t="s">
        <v>1475</v>
      </c>
      <c r="N607">
        <v>2021</v>
      </c>
    </row>
    <row r="608" spans="1:14" x14ac:dyDescent="0.25">
      <c r="A608" t="s">
        <v>697</v>
      </c>
      <c r="B608" t="s">
        <v>476</v>
      </c>
      <c r="C608">
        <v>4591</v>
      </c>
      <c r="D608">
        <v>1941</v>
      </c>
      <c r="E608" s="5">
        <v>0.42278370725332198</v>
      </c>
      <c r="F608">
        <v>19</v>
      </c>
      <c r="G608" t="s">
        <v>13</v>
      </c>
      <c r="H608" t="s">
        <v>28</v>
      </c>
      <c r="I608" t="s">
        <v>40</v>
      </c>
      <c r="J608" s="1">
        <v>44408</v>
      </c>
      <c r="K608" t="s">
        <v>71</v>
      </c>
      <c r="L608" t="s">
        <v>72</v>
      </c>
      <c r="M608" t="s">
        <v>1472</v>
      </c>
      <c r="N608">
        <v>2021</v>
      </c>
    </row>
    <row r="609" spans="1:14" x14ac:dyDescent="0.25">
      <c r="A609" t="s">
        <v>697</v>
      </c>
      <c r="B609" t="s">
        <v>476</v>
      </c>
      <c r="C609">
        <v>9612</v>
      </c>
      <c r="D609">
        <v>2572</v>
      </c>
      <c r="E609" s="5">
        <v>0.26758218893050401</v>
      </c>
      <c r="F609">
        <v>17</v>
      </c>
      <c r="G609" t="s">
        <v>30</v>
      </c>
      <c r="H609" t="s">
        <v>31</v>
      </c>
      <c r="I609" t="s">
        <v>47</v>
      </c>
      <c r="J609" s="1">
        <v>44408</v>
      </c>
      <c r="K609" t="s">
        <v>71</v>
      </c>
      <c r="L609" t="s">
        <v>72</v>
      </c>
      <c r="M609" t="s">
        <v>1472</v>
      </c>
      <c r="N609">
        <v>2021</v>
      </c>
    </row>
    <row r="610" spans="1:14" x14ac:dyDescent="0.25">
      <c r="A610" t="s">
        <v>698</v>
      </c>
      <c r="B610" t="s">
        <v>699</v>
      </c>
      <c r="C610">
        <v>5343</v>
      </c>
      <c r="D610">
        <v>655</v>
      </c>
      <c r="E610" s="5">
        <v>0.122590305072057</v>
      </c>
      <c r="F610">
        <v>1</v>
      </c>
      <c r="G610" t="s">
        <v>45</v>
      </c>
      <c r="H610" t="s">
        <v>49</v>
      </c>
      <c r="I610" t="s">
        <v>40</v>
      </c>
      <c r="J610" s="1">
        <v>45395</v>
      </c>
      <c r="K610" t="s">
        <v>42</v>
      </c>
      <c r="L610" t="s">
        <v>75</v>
      </c>
      <c r="M610" t="s">
        <v>1481</v>
      </c>
      <c r="N610">
        <v>2024</v>
      </c>
    </row>
    <row r="611" spans="1:14" x14ac:dyDescent="0.25">
      <c r="A611" t="s">
        <v>700</v>
      </c>
      <c r="B611" t="s">
        <v>701</v>
      </c>
      <c r="C611">
        <v>6956</v>
      </c>
      <c r="D611">
        <v>318</v>
      </c>
      <c r="E611" s="5">
        <v>4.5715928694652103E-2</v>
      </c>
      <c r="F611">
        <v>20</v>
      </c>
      <c r="G611" t="s">
        <v>30</v>
      </c>
      <c r="H611" t="s">
        <v>57</v>
      </c>
      <c r="I611" t="s">
        <v>32</v>
      </c>
      <c r="J611" s="1">
        <v>44670</v>
      </c>
      <c r="K611" t="s">
        <v>21</v>
      </c>
      <c r="L611" t="s">
        <v>63</v>
      </c>
      <c r="M611" t="s">
        <v>1481</v>
      </c>
      <c r="N611">
        <v>2022</v>
      </c>
    </row>
    <row r="612" spans="1:14" x14ac:dyDescent="0.25">
      <c r="A612" t="s">
        <v>702</v>
      </c>
      <c r="B612" t="s">
        <v>703</v>
      </c>
      <c r="C612">
        <v>5306</v>
      </c>
      <c r="D612">
        <v>2405</v>
      </c>
      <c r="E612" s="5">
        <v>0.453260459856766</v>
      </c>
      <c r="F612">
        <v>17</v>
      </c>
      <c r="G612" t="s">
        <v>45</v>
      </c>
      <c r="H612" t="s">
        <v>46</v>
      </c>
      <c r="I612" t="s">
        <v>40</v>
      </c>
      <c r="J612" s="1">
        <v>45374</v>
      </c>
      <c r="K612" t="s">
        <v>25</v>
      </c>
      <c r="L612" t="s">
        <v>26</v>
      </c>
      <c r="M612" t="s">
        <v>1476</v>
      </c>
      <c r="N612">
        <v>2024</v>
      </c>
    </row>
    <row r="613" spans="1:14" x14ac:dyDescent="0.25">
      <c r="A613" t="s">
        <v>704</v>
      </c>
      <c r="B613" t="s">
        <v>705</v>
      </c>
      <c r="C613">
        <v>8982</v>
      </c>
      <c r="D613">
        <v>448</v>
      </c>
      <c r="E613" s="5">
        <v>4.9877532843464703E-2</v>
      </c>
      <c r="F613">
        <v>17</v>
      </c>
      <c r="G613" t="s">
        <v>45</v>
      </c>
      <c r="H613" t="s">
        <v>60</v>
      </c>
      <c r="I613" t="s">
        <v>15</v>
      </c>
      <c r="J613" s="1">
        <v>44323</v>
      </c>
      <c r="K613" t="s">
        <v>25</v>
      </c>
      <c r="L613" t="s">
        <v>51</v>
      </c>
      <c r="M613" t="s">
        <v>1473</v>
      </c>
      <c r="N613">
        <v>2021</v>
      </c>
    </row>
    <row r="614" spans="1:14" x14ac:dyDescent="0.25">
      <c r="A614" t="s">
        <v>704</v>
      </c>
      <c r="B614" t="s">
        <v>705</v>
      </c>
      <c r="C614">
        <v>4826</v>
      </c>
      <c r="D614">
        <v>562</v>
      </c>
      <c r="E614" s="5">
        <v>0.116452548694571</v>
      </c>
      <c r="F614">
        <v>5</v>
      </c>
      <c r="G614" t="s">
        <v>30</v>
      </c>
      <c r="H614" t="s">
        <v>64</v>
      </c>
      <c r="I614" t="s">
        <v>32</v>
      </c>
      <c r="J614" s="1">
        <v>44323</v>
      </c>
      <c r="K614" t="s">
        <v>25</v>
      </c>
      <c r="L614" t="s">
        <v>51</v>
      </c>
      <c r="M614" t="s">
        <v>1473</v>
      </c>
      <c r="N614">
        <v>2021</v>
      </c>
    </row>
    <row r="615" spans="1:14" x14ac:dyDescent="0.25">
      <c r="A615" t="s">
        <v>706</v>
      </c>
      <c r="B615" t="s">
        <v>707</v>
      </c>
      <c r="C615">
        <v>972</v>
      </c>
      <c r="D615">
        <v>106</v>
      </c>
      <c r="E615" s="5">
        <v>0.109053497942387</v>
      </c>
      <c r="F615">
        <v>15</v>
      </c>
      <c r="G615" t="s">
        <v>30</v>
      </c>
      <c r="H615" t="s">
        <v>31</v>
      </c>
      <c r="I615" t="s">
        <v>40</v>
      </c>
      <c r="J615" s="1">
        <v>44687</v>
      </c>
      <c r="K615" t="s">
        <v>98</v>
      </c>
      <c r="L615" t="s">
        <v>107</v>
      </c>
      <c r="M615" t="s">
        <v>1473</v>
      </c>
      <c r="N615">
        <v>2022</v>
      </c>
    </row>
    <row r="616" spans="1:14" x14ac:dyDescent="0.25">
      <c r="A616" t="s">
        <v>708</v>
      </c>
      <c r="B616" t="s">
        <v>709</v>
      </c>
      <c r="C616">
        <v>3665</v>
      </c>
      <c r="D616">
        <v>802</v>
      </c>
      <c r="E616" s="5">
        <v>0.218826739427012</v>
      </c>
      <c r="F616">
        <v>4</v>
      </c>
      <c r="G616" t="s">
        <v>30</v>
      </c>
      <c r="H616" t="s">
        <v>57</v>
      </c>
      <c r="I616" t="s">
        <v>47</v>
      </c>
      <c r="J616" s="1">
        <v>44417</v>
      </c>
      <c r="K616" t="s">
        <v>17</v>
      </c>
      <c r="L616" t="s">
        <v>18</v>
      </c>
      <c r="M616" t="s">
        <v>1479</v>
      </c>
      <c r="N616">
        <v>2021</v>
      </c>
    </row>
    <row r="617" spans="1:14" x14ac:dyDescent="0.25">
      <c r="A617" t="s">
        <v>708</v>
      </c>
      <c r="B617" t="s">
        <v>710</v>
      </c>
      <c r="C617">
        <v>3665</v>
      </c>
      <c r="D617">
        <v>802</v>
      </c>
      <c r="E617" s="5">
        <v>0.218826739427012</v>
      </c>
      <c r="F617">
        <v>4</v>
      </c>
      <c r="G617" t="s">
        <v>30</v>
      </c>
      <c r="H617" t="s">
        <v>57</v>
      </c>
      <c r="I617" t="s">
        <v>47</v>
      </c>
      <c r="J617" s="1">
        <v>45697</v>
      </c>
      <c r="K617" t="s">
        <v>17</v>
      </c>
      <c r="L617" t="s">
        <v>150</v>
      </c>
      <c r="M617" t="s">
        <v>1477</v>
      </c>
      <c r="N617">
        <v>2025</v>
      </c>
    </row>
    <row r="618" spans="1:14" x14ac:dyDescent="0.25">
      <c r="A618" t="s">
        <v>711</v>
      </c>
      <c r="B618" t="s">
        <v>712</v>
      </c>
      <c r="C618">
        <v>9808</v>
      </c>
      <c r="D618">
        <v>2117</v>
      </c>
      <c r="E618" s="5">
        <v>0.21584420880913499</v>
      </c>
      <c r="F618">
        <v>2</v>
      </c>
      <c r="G618" t="s">
        <v>30</v>
      </c>
      <c r="H618" t="s">
        <v>31</v>
      </c>
      <c r="I618" t="s">
        <v>15</v>
      </c>
      <c r="J618" s="1">
        <v>45405</v>
      </c>
      <c r="K618" t="s">
        <v>42</v>
      </c>
      <c r="L618" t="s">
        <v>43</v>
      </c>
      <c r="M618" t="s">
        <v>1481</v>
      </c>
      <c r="N618">
        <v>2024</v>
      </c>
    </row>
    <row r="619" spans="1:14" x14ac:dyDescent="0.25">
      <c r="A619" t="s">
        <v>713</v>
      </c>
      <c r="B619" t="s">
        <v>714</v>
      </c>
      <c r="C619">
        <v>1133</v>
      </c>
      <c r="D619">
        <v>73</v>
      </c>
      <c r="E619" s="5">
        <v>6.4430714916151793E-2</v>
      </c>
      <c r="F619">
        <v>17</v>
      </c>
      <c r="G619" t="s">
        <v>45</v>
      </c>
      <c r="H619" t="s">
        <v>49</v>
      </c>
      <c r="I619" t="s">
        <v>15</v>
      </c>
      <c r="J619" s="1">
        <v>44980</v>
      </c>
      <c r="K619" t="s">
        <v>98</v>
      </c>
      <c r="L619" t="s">
        <v>117</v>
      </c>
      <c r="M619" t="s">
        <v>1477</v>
      </c>
      <c r="N619">
        <v>2023</v>
      </c>
    </row>
    <row r="620" spans="1:14" x14ac:dyDescent="0.25">
      <c r="A620" t="s">
        <v>713</v>
      </c>
      <c r="B620" t="s">
        <v>715</v>
      </c>
      <c r="C620">
        <v>1133</v>
      </c>
      <c r="D620">
        <v>73</v>
      </c>
      <c r="E620" s="5">
        <v>6.4430714916151793E-2</v>
      </c>
      <c r="F620">
        <v>17</v>
      </c>
      <c r="G620" t="s">
        <v>45</v>
      </c>
      <c r="H620" t="s">
        <v>49</v>
      </c>
      <c r="I620" t="s">
        <v>15</v>
      </c>
      <c r="J620" s="1">
        <v>45449</v>
      </c>
      <c r="K620" t="s">
        <v>42</v>
      </c>
      <c r="L620" t="s">
        <v>75</v>
      </c>
      <c r="M620" t="s">
        <v>1470</v>
      </c>
      <c r="N620">
        <v>2024</v>
      </c>
    </row>
    <row r="621" spans="1:14" x14ac:dyDescent="0.25">
      <c r="A621" t="s">
        <v>713</v>
      </c>
      <c r="B621" t="s">
        <v>714</v>
      </c>
      <c r="C621">
        <v>6248</v>
      </c>
      <c r="D621">
        <v>1168</v>
      </c>
      <c r="E621" s="5">
        <v>0.18693982074263801</v>
      </c>
      <c r="F621">
        <v>19</v>
      </c>
      <c r="G621" t="s">
        <v>45</v>
      </c>
      <c r="H621" t="s">
        <v>109</v>
      </c>
      <c r="I621" t="s">
        <v>65</v>
      </c>
      <c r="J621" s="1">
        <v>44980</v>
      </c>
      <c r="K621" t="s">
        <v>98</v>
      </c>
      <c r="L621" t="s">
        <v>117</v>
      </c>
      <c r="M621" t="s">
        <v>1477</v>
      </c>
      <c r="N621">
        <v>2023</v>
      </c>
    </row>
    <row r="622" spans="1:14" x14ac:dyDescent="0.25">
      <c r="A622" t="s">
        <v>713</v>
      </c>
      <c r="B622" t="s">
        <v>715</v>
      </c>
      <c r="C622">
        <v>6248</v>
      </c>
      <c r="D622">
        <v>1168</v>
      </c>
      <c r="E622" s="5">
        <v>0.18693982074263801</v>
      </c>
      <c r="F622">
        <v>19</v>
      </c>
      <c r="G622" t="s">
        <v>45</v>
      </c>
      <c r="H622" t="s">
        <v>109</v>
      </c>
      <c r="I622" t="s">
        <v>65</v>
      </c>
      <c r="J622" s="1">
        <v>45449</v>
      </c>
      <c r="K622" t="s">
        <v>42</v>
      </c>
      <c r="L622" t="s">
        <v>75</v>
      </c>
      <c r="M622" t="s">
        <v>1470</v>
      </c>
      <c r="N622">
        <v>2024</v>
      </c>
    </row>
    <row r="623" spans="1:14" x14ac:dyDescent="0.25">
      <c r="A623" t="s">
        <v>716</v>
      </c>
      <c r="B623" t="s">
        <v>717</v>
      </c>
      <c r="C623">
        <v>5666</v>
      </c>
      <c r="D623">
        <v>2733</v>
      </c>
      <c r="E623" s="5">
        <v>0.48235086480762401</v>
      </c>
      <c r="F623">
        <v>17</v>
      </c>
      <c r="G623" t="s">
        <v>13</v>
      </c>
      <c r="H623" t="s">
        <v>14</v>
      </c>
      <c r="I623" t="s">
        <v>47</v>
      </c>
      <c r="J623" s="1">
        <v>45684</v>
      </c>
      <c r="K623" t="s">
        <v>17</v>
      </c>
      <c r="L623" t="s">
        <v>150</v>
      </c>
      <c r="M623" t="s">
        <v>1478</v>
      </c>
      <c r="N623">
        <v>2025</v>
      </c>
    </row>
    <row r="624" spans="1:14" x14ac:dyDescent="0.25">
      <c r="A624" t="s">
        <v>718</v>
      </c>
      <c r="B624" t="s">
        <v>719</v>
      </c>
      <c r="C624">
        <v>4171</v>
      </c>
      <c r="D624">
        <v>1450</v>
      </c>
      <c r="E624" s="5">
        <v>0.34763845600575399</v>
      </c>
      <c r="F624">
        <v>18</v>
      </c>
      <c r="G624" t="s">
        <v>30</v>
      </c>
      <c r="H624" t="s">
        <v>57</v>
      </c>
      <c r="I624" t="s">
        <v>65</v>
      </c>
      <c r="J624" s="1">
        <v>45023</v>
      </c>
      <c r="K624" t="s">
        <v>71</v>
      </c>
      <c r="L624" t="s">
        <v>72</v>
      </c>
      <c r="M624" t="s">
        <v>1481</v>
      </c>
      <c r="N624">
        <v>2023</v>
      </c>
    </row>
    <row r="625" spans="1:14" x14ac:dyDescent="0.25">
      <c r="A625" t="s">
        <v>720</v>
      </c>
      <c r="B625" t="s">
        <v>721</v>
      </c>
      <c r="C625">
        <v>6236</v>
      </c>
      <c r="D625">
        <v>2839</v>
      </c>
      <c r="E625" s="5">
        <v>0.45525978191148198</v>
      </c>
      <c r="F625">
        <v>7</v>
      </c>
      <c r="G625" t="s">
        <v>13</v>
      </c>
      <c r="H625" t="s">
        <v>28</v>
      </c>
      <c r="I625" t="s">
        <v>47</v>
      </c>
      <c r="J625" s="1">
        <v>44581</v>
      </c>
      <c r="K625" t="s">
        <v>21</v>
      </c>
      <c r="L625" t="s">
        <v>63</v>
      </c>
      <c r="M625" t="s">
        <v>1478</v>
      </c>
      <c r="N625">
        <v>2022</v>
      </c>
    </row>
    <row r="626" spans="1:14" x14ac:dyDescent="0.25">
      <c r="A626" t="s">
        <v>720</v>
      </c>
      <c r="B626" t="s">
        <v>722</v>
      </c>
      <c r="C626">
        <v>6236</v>
      </c>
      <c r="D626">
        <v>2839</v>
      </c>
      <c r="E626" s="5">
        <v>0.45525978191148198</v>
      </c>
      <c r="F626">
        <v>7</v>
      </c>
      <c r="G626" t="s">
        <v>13</v>
      </c>
      <c r="H626" t="s">
        <v>28</v>
      </c>
      <c r="I626" t="s">
        <v>47</v>
      </c>
      <c r="J626" s="1">
        <v>44691</v>
      </c>
      <c r="K626" t="s">
        <v>17</v>
      </c>
      <c r="L626" t="s">
        <v>34</v>
      </c>
      <c r="M626" t="s">
        <v>1473</v>
      </c>
      <c r="N626">
        <v>2022</v>
      </c>
    </row>
    <row r="627" spans="1:14" x14ac:dyDescent="0.25">
      <c r="A627" t="s">
        <v>723</v>
      </c>
      <c r="B627" t="s">
        <v>724</v>
      </c>
      <c r="C627">
        <v>5410</v>
      </c>
      <c r="D627">
        <v>2456</v>
      </c>
      <c r="E627" s="5">
        <v>0.45397412199630299</v>
      </c>
      <c r="F627">
        <v>8</v>
      </c>
      <c r="G627" t="s">
        <v>45</v>
      </c>
      <c r="H627" t="s">
        <v>49</v>
      </c>
      <c r="I627" t="s">
        <v>47</v>
      </c>
      <c r="J627" s="1">
        <v>45441</v>
      </c>
      <c r="K627" t="s">
        <v>42</v>
      </c>
      <c r="L627" t="s">
        <v>43</v>
      </c>
      <c r="M627" t="s">
        <v>1473</v>
      </c>
      <c r="N627">
        <v>2024</v>
      </c>
    </row>
    <row r="628" spans="1:14" x14ac:dyDescent="0.25">
      <c r="A628" t="s">
        <v>723</v>
      </c>
      <c r="B628" t="s">
        <v>725</v>
      </c>
      <c r="C628">
        <v>5410</v>
      </c>
      <c r="D628">
        <v>2456</v>
      </c>
      <c r="E628" s="5">
        <v>0.45397412199630299</v>
      </c>
      <c r="F628">
        <v>8</v>
      </c>
      <c r="G628" t="s">
        <v>45</v>
      </c>
      <c r="H628" t="s">
        <v>49</v>
      </c>
      <c r="I628" t="s">
        <v>47</v>
      </c>
      <c r="J628" s="1">
        <v>44565</v>
      </c>
      <c r="K628" t="s">
        <v>17</v>
      </c>
      <c r="L628" t="s">
        <v>150</v>
      </c>
      <c r="M628" t="s">
        <v>1478</v>
      </c>
      <c r="N628">
        <v>2022</v>
      </c>
    </row>
    <row r="629" spans="1:14" x14ac:dyDescent="0.25">
      <c r="A629" t="s">
        <v>726</v>
      </c>
      <c r="B629" t="s">
        <v>727</v>
      </c>
      <c r="C629">
        <v>3024</v>
      </c>
      <c r="D629">
        <v>1353</v>
      </c>
      <c r="E629" s="5">
        <v>0.447420634920635</v>
      </c>
      <c r="F629">
        <v>1</v>
      </c>
      <c r="G629" t="s">
        <v>45</v>
      </c>
      <c r="H629" t="s">
        <v>60</v>
      </c>
      <c r="I629" t="s">
        <v>47</v>
      </c>
      <c r="J629" s="1">
        <v>45414</v>
      </c>
      <c r="K629" t="s">
        <v>42</v>
      </c>
      <c r="L629" t="s">
        <v>43</v>
      </c>
      <c r="M629" t="s">
        <v>1473</v>
      </c>
      <c r="N629">
        <v>2024</v>
      </c>
    </row>
    <row r="630" spans="1:14" x14ac:dyDescent="0.25">
      <c r="A630" t="s">
        <v>726</v>
      </c>
      <c r="B630" t="s">
        <v>728</v>
      </c>
      <c r="C630">
        <v>3024</v>
      </c>
      <c r="D630">
        <v>1353</v>
      </c>
      <c r="E630" s="5">
        <v>0.447420634920635</v>
      </c>
      <c r="F630">
        <v>1</v>
      </c>
      <c r="G630" t="s">
        <v>45</v>
      </c>
      <c r="H630" t="s">
        <v>60</v>
      </c>
      <c r="I630" t="s">
        <v>47</v>
      </c>
      <c r="J630" s="1">
        <v>44558</v>
      </c>
      <c r="K630" t="s">
        <v>98</v>
      </c>
      <c r="L630" t="s">
        <v>99</v>
      </c>
      <c r="M630" t="s">
        <v>1471</v>
      </c>
      <c r="N630">
        <v>2021</v>
      </c>
    </row>
    <row r="631" spans="1:14" x14ac:dyDescent="0.25">
      <c r="A631" t="s">
        <v>729</v>
      </c>
      <c r="B631" t="s">
        <v>730</v>
      </c>
      <c r="C631">
        <v>7434</v>
      </c>
      <c r="D631">
        <v>2851</v>
      </c>
      <c r="E631" s="5">
        <v>0.38350820554210402</v>
      </c>
      <c r="F631">
        <v>5</v>
      </c>
      <c r="G631" t="s">
        <v>30</v>
      </c>
      <c r="H631" t="s">
        <v>57</v>
      </c>
      <c r="I631" t="s">
        <v>15</v>
      </c>
      <c r="J631" s="1">
        <v>44907</v>
      </c>
      <c r="K631" t="s">
        <v>21</v>
      </c>
      <c r="L631" t="s">
        <v>63</v>
      </c>
      <c r="M631" t="s">
        <v>1471</v>
      </c>
      <c r="N631">
        <v>2022</v>
      </c>
    </row>
    <row r="632" spans="1:14" x14ac:dyDescent="0.25">
      <c r="A632" t="s">
        <v>731</v>
      </c>
      <c r="B632" t="s">
        <v>732</v>
      </c>
      <c r="C632">
        <v>7213</v>
      </c>
      <c r="D632">
        <v>508</v>
      </c>
      <c r="E632" s="5">
        <v>7.0428393178982404E-2</v>
      </c>
      <c r="F632">
        <v>19</v>
      </c>
      <c r="G632" t="s">
        <v>13</v>
      </c>
      <c r="H632" t="s">
        <v>14</v>
      </c>
      <c r="I632" t="s">
        <v>32</v>
      </c>
      <c r="J632" s="1">
        <v>45155</v>
      </c>
      <c r="K632" t="s">
        <v>71</v>
      </c>
      <c r="L632" t="s">
        <v>72</v>
      </c>
      <c r="M632" t="s">
        <v>1479</v>
      </c>
      <c r="N632">
        <v>2023</v>
      </c>
    </row>
    <row r="633" spans="1:14" x14ac:dyDescent="0.25">
      <c r="A633" t="s">
        <v>731</v>
      </c>
      <c r="B633" t="s">
        <v>733</v>
      </c>
      <c r="C633">
        <v>7213</v>
      </c>
      <c r="D633">
        <v>508</v>
      </c>
      <c r="E633" s="5">
        <v>7.0428393178982404E-2</v>
      </c>
      <c r="F633">
        <v>19</v>
      </c>
      <c r="G633" t="s">
        <v>13</v>
      </c>
      <c r="H633" t="s">
        <v>14</v>
      </c>
      <c r="I633" t="s">
        <v>32</v>
      </c>
      <c r="J633" s="1">
        <v>44529</v>
      </c>
      <c r="K633" t="s">
        <v>98</v>
      </c>
      <c r="L633" t="s">
        <v>107</v>
      </c>
      <c r="M633" t="s">
        <v>1475</v>
      </c>
      <c r="N633">
        <v>2021</v>
      </c>
    </row>
    <row r="634" spans="1:14" x14ac:dyDescent="0.25">
      <c r="A634" t="s">
        <v>731</v>
      </c>
      <c r="B634" t="s">
        <v>732</v>
      </c>
      <c r="C634">
        <v>3176</v>
      </c>
      <c r="D634">
        <v>586</v>
      </c>
      <c r="E634" s="5">
        <v>0.184508816120907</v>
      </c>
      <c r="F634">
        <v>9</v>
      </c>
      <c r="G634" t="s">
        <v>45</v>
      </c>
      <c r="H634" t="s">
        <v>46</v>
      </c>
      <c r="I634" t="s">
        <v>40</v>
      </c>
      <c r="J634" s="1">
        <v>45155</v>
      </c>
      <c r="K634" t="s">
        <v>71</v>
      </c>
      <c r="L634" t="s">
        <v>72</v>
      </c>
      <c r="M634" t="s">
        <v>1479</v>
      </c>
      <c r="N634">
        <v>2023</v>
      </c>
    </row>
    <row r="635" spans="1:14" x14ac:dyDescent="0.25">
      <c r="A635" t="s">
        <v>731</v>
      </c>
      <c r="B635" t="s">
        <v>733</v>
      </c>
      <c r="C635">
        <v>3176</v>
      </c>
      <c r="D635">
        <v>586</v>
      </c>
      <c r="E635" s="5">
        <v>0.184508816120907</v>
      </c>
      <c r="F635">
        <v>9</v>
      </c>
      <c r="G635" t="s">
        <v>45</v>
      </c>
      <c r="H635" t="s">
        <v>46</v>
      </c>
      <c r="I635" t="s">
        <v>40</v>
      </c>
      <c r="J635" s="1">
        <v>44529</v>
      </c>
      <c r="K635" t="s">
        <v>98</v>
      </c>
      <c r="L635" t="s">
        <v>107</v>
      </c>
      <c r="M635" t="s">
        <v>1475</v>
      </c>
      <c r="N635">
        <v>2021</v>
      </c>
    </row>
    <row r="636" spans="1:14" x14ac:dyDescent="0.25">
      <c r="A636" t="s">
        <v>734</v>
      </c>
      <c r="B636" t="s">
        <v>735</v>
      </c>
      <c r="C636">
        <v>9144</v>
      </c>
      <c r="D636">
        <v>2220</v>
      </c>
      <c r="E636" s="5">
        <v>0.24278215223097099</v>
      </c>
      <c r="F636">
        <v>18</v>
      </c>
      <c r="G636" t="s">
        <v>30</v>
      </c>
      <c r="H636" t="s">
        <v>78</v>
      </c>
      <c r="I636" t="s">
        <v>47</v>
      </c>
      <c r="J636" s="1">
        <v>44360</v>
      </c>
      <c r="K636" t="s">
        <v>17</v>
      </c>
      <c r="L636" t="s">
        <v>18</v>
      </c>
      <c r="M636" t="s">
        <v>1470</v>
      </c>
      <c r="N636">
        <v>2021</v>
      </c>
    </row>
    <row r="637" spans="1:14" x14ac:dyDescent="0.25">
      <c r="A637" t="s">
        <v>736</v>
      </c>
      <c r="B637" t="s">
        <v>737</v>
      </c>
      <c r="C637">
        <v>4146</v>
      </c>
      <c r="D637">
        <v>865</v>
      </c>
      <c r="E637" s="5">
        <v>0.20863482875060299</v>
      </c>
      <c r="F637">
        <v>19</v>
      </c>
      <c r="G637" t="s">
        <v>45</v>
      </c>
      <c r="H637" t="s">
        <v>46</v>
      </c>
      <c r="I637" t="s">
        <v>40</v>
      </c>
      <c r="J637" s="1">
        <v>44746</v>
      </c>
      <c r="K637" t="s">
        <v>71</v>
      </c>
      <c r="L637" t="s">
        <v>138</v>
      </c>
      <c r="M637" t="s">
        <v>1472</v>
      </c>
      <c r="N637">
        <v>2022</v>
      </c>
    </row>
    <row r="638" spans="1:14" x14ac:dyDescent="0.25">
      <c r="A638" t="s">
        <v>736</v>
      </c>
      <c r="B638" t="s">
        <v>737</v>
      </c>
      <c r="C638">
        <v>3793</v>
      </c>
      <c r="D638">
        <v>875</v>
      </c>
      <c r="E638" s="5">
        <v>0.23068810967571801</v>
      </c>
      <c r="F638">
        <v>7</v>
      </c>
      <c r="G638" t="s">
        <v>45</v>
      </c>
      <c r="H638" t="s">
        <v>46</v>
      </c>
      <c r="I638" t="s">
        <v>40</v>
      </c>
      <c r="J638" s="1">
        <v>44746</v>
      </c>
      <c r="K638" t="s">
        <v>71</v>
      </c>
      <c r="L638" t="s">
        <v>138</v>
      </c>
      <c r="M638" t="s">
        <v>1472</v>
      </c>
      <c r="N638">
        <v>2022</v>
      </c>
    </row>
    <row r="639" spans="1:14" x14ac:dyDescent="0.25">
      <c r="A639" t="s">
        <v>738</v>
      </c>
      <c r="B639" t="s">
        <v>739</v>
      </c>
      <c r="C639">
        <v>7169</v>
      </c>
      <c r="D639">
        <v>2385</v>
      </c>
      <c r="E639" s="5">
        <v>0.332682382480123</v>
      </c>
      <c r="F639">
        <v>11</v>
      </c>
      <c r="G639" t="s">
        <v>45</v>
      </c>
      <c r="H639" t="s">
        <v>60</v>
      </c>
      <c r="I639" t="s">
        <v>65</v>
      </c>
      <c r="J639" s="1">
        <v>44374</v>
      </c>
      <c r="K639" t="s">
        <v>42</v>
      </c>
      <c r="L639" t="s">
        <v>43</v>
      </c>
      <c r="M639" t="s">
        <v>1470</v>
      </c>
      <c r="N639">
        <v>2021</v>
      </c>
    </row>
    <row r="640" spans="1:14" x14ac:dyDescent="0.25">
      <c r="A640" t="s">
        <v>738</v>
      </c>
      <c r="B640" t="s">
        <v>739</v>
      </c>
      <c r="C640">
        <v>4046</v>
      </c>
      <c r="D640">
        <v>417</v>
      </c>
      <c r="E640" s="5">
        <v>0.10306475531389001</v>
      </c>
      <c r="F640">
        <v>18</v>
      </c>
      <c r="G640" t="s">
        <v>45</v>
      </c>
      <c r="H640" t="s">
        <v>49</v>
      </c>
      <c r="I640" t="s">
        <v>47</v>
      </c>
      <c r="J640" s="1">
        <v>44374</v>
      </c>
      <c r="K640" t="s">
        <v>42</v>
      </c>
      <c r="L640" t="s">
        <v>43</v>
      </c>
      <c r="M640" t="s">
        <v>1470</v>
      </c>
      <c r="N640">
        <v>2021</v>
      </c>
    </row>
    <row r="641" spans="1:14" x14ac:dyDescent="0.25">
      <c r="A641" t="s">
        <v>740</v>
      </c>
      <c r="B641" t="s">
        <v>741</v>
      </c>
      <c r="C641">
        <v>4164</v>
      </c>
      <c r="D641">
        <v>905</v>
      </c>
      <c r="E641" s="5">
        <v>0.217339097022094</v>
      </c>
      <c r="F641">
        <v>11</v>
      </c>
      <c r="G641" t="s">
        <v>13</v>
      </c>
      <c r="H641" t="s">
        <v>82</v>
      </c>
      <c r="I641" t="s">
        <v>65</v>
      </c>
      <c r="J641" s="1">
        <v>45264</v>
      </c>
      <c r="K641" t="s">
        <v>42</v>
      </c>
      <c r="L641" t="s">
        <v>75</v>
      </c>
      <c r="M641" t="s">
        <v>1471</v>
      </c>
      <c r="N641">
        <v>2023</v>
      </c>
    </row>
    <row r="642" spans="1:14" x14ac:dyDescent="0.25">
      <c r="A642" t="s">
        <v>740</v>
      </c>
      <c r="B642" t="s">
        <v>741</v>
      </c>
      <c r="C642">
        <v>5389</v>
      </c>
      <c r="D642">
        <v>2196</v>
      </c>
      <c r="E642" s="5">
        <v>0.40749675264427498</v>
      </c>
      <c r="F642">
        <v>5</v>
      </c>
      <c r="G642" t="s">
        <v>45</v>
      </c>
      <c r="H642" t="s">
        <v>46</v>
      </c>
      <c r="I642" t="s">
        <v>15</v>
      </c>
      <c r="J642" s="1">
        <v>45264</v>
      </c>
      <c r="K642" t="s">
        <v>42</v>
      </c>
      <c r="L642" t="s">
        <v>75</v>
      </c>
      <c r="M642" t="s">
        <v>1471</v>
      </c>
      <c r="N642">
        <v>2023</v>
      </c>
    </row>
    <row r="643" spans="1:14" x14ac:dyDescent="0.25">
      <c r="A643" t="s">
        <v>742</v>
      </c>
      <c r="B643" t="s">
        <v>743</v>
      </c>
      <c r="C643">
        <v>5448</v>
      </c>
      <c r="D643">
        <v>2204</v>
      </c>
      <c r="E643" s="5">
        <v>0.404552129221733</v>
      </c>
      <c r="F643">
        <v>5</v>
      </c>
      <c r="G643" t="s">
        <v>45</v>
      </c>
      <c r="H643" t="s">
        <v>60</v>
      </c>
      <c r="I643" t="s">
        <v>65</v>
      </c>
      <c r="J643" s="1">
        <v>44782</v>
      </c>
      <c r="K643" t="s">
        <v>25</v>
      </c>
      <c r="L643" t="s">
        <v>51</v>
      </c>
      <c r="M643" t="s">
        <v>1479</v>
      </c>
      <c r="N643">
        <v>2022</v>
      </c>
    </row>
    <row r="644" spans="1:14" x14ac:dyDescent="0.25">
      <c r="A644" t="s">
        <v>744</v>
      </c>
      <c r="B644" t="s">
        <v>745</v>
      </c>
      <c r="C644">
        <v>4115</v>
      </c>
      <c r="D644">
        <v>1285</v>
      </c>
      <c r="E644" s="5">
        <v>0.31227217496962301</v>
      </c>
      <c r="F644">
        <v>1</v>
      </c>
      <c r="G644" t="s">
        <v>45</v>
      </c>
      <c r="H644" t="s">
        <v>60</v>
      </c>
      <c r="I644" t="s">
        <v>15</v>
      </c>
      <c r="J644" s="1">
        <v>43929</v>
      </c>
      <c r="K644" t="s">
        <v>17</v>
      </c>
      <c r="L644" t="s">
        <v>34</v>
      </c>
      <c r="M644" t="s">
        <v>1481</v>
      </c>
      <c r="N644">
        <v>2020</v>
      </c>
    </row>
    <row r="645" spans="1:14" x14ac:dyDescent="0.25">
      <c r="A645" t="s">
        <v>744</v>
      </c>
      <c r="B645" t="s">
        <v>745</v>
      </c>
      <c r="C645">
        <v>4761</v>
      </c>
      <c r="D645">
        <v>2231</v>
      </c>
      <c r="E645" s="5">
        <v>0.46859903381642498</v>
      </c>
      <c r="F645">
        <v>12</v>
      </c>
      <c r="G645" t="s">
        <v>45</v>
      </c>
      <c r="H645" t="s">
        <v>46</v>
      </c>
      <c r="I645" t="s">
        <v>15</v>
      </c>
      <c r="J645" s="1">
        <v>43929</v>
      </c>
      <c r="K645" t="s">
        <v>17</v>
      </c>
      <c r="L645" t="s">
        <v>34</v>
      </c>
      <c r="M645" t="s">
        <v>1481</v>
      </c>
      <c r="N645">
        <v>2020</v>
      </c>
    </row>
    <row r="646" spans="1:14" x14ac:dyDescent="0.25">
      <c r="A646" t="s">
        <v>746</v>
      </c>
      <c r="B646" t="s">
        <v>747</v>
      </c>
      <c r="C646">
        <v>5899</v>
      </c>
      <c r="D646">
        <v>2264</v>
      </c>
      <c r="E646" s="5">
        <v>0.38379386336667198</v>
      </c>
      <c r="F646">
        <v>6</v>
      </c>
      <c r="G646" t="s">
        <v>30</v>
      </c>
      <c r="H646" t="s">
        <v>78</v>
      </c>
      <c r="I646" t="s">
        <v>40</v>
      </c>
      <c r="J646" s="1">
        <v>45219</v>
      </c>
      <c r="K646" t="s">
        <v>25</v>
      </c>
      <c r="L646" t="s">
        <v>26</v>
      </c>
      <c r="M646" t="s">
        <v>1474</v>
      </c>
      <c r="N646">
        <v>2023</v>
      </c>
    </row>
    <row r="647" spans="1:14" x14ac:dyDescent="0.25">
      <c r="A647" t="s">
        <v>748</v>
      </c>
      <c r="B647" t="s">
        <v>749</v>
      </c>
      <c r="C647">
        <v>6109</v>
      </c>
      <c r="D647">
        <v>3040</v>
      </c>
      <c r="E647" s="5">
        <v>0.497626452774595</v>
      </c>
      <c r="F647">
        <v>9</v>
      </c>
      <c r="G647" t="s">
        <v>45</v>
      </c>
      <c r="H647" t="s">
        <v>49</v>
      </c>
      <c r="I647" t="s">
        <v>40</v>
      </c>
      <c r="J647" s="1">
        <v>44602</v>
      </c>
      <c r="K647" t="s">
        <v>25</v>
      </c>
      <c r="L647" t="s">
        <v>26</v>
      </c>
      <c r="M647" t="s">
        <v>1477</v>
      </c>
      <c r="N647">
        <v>2022</v>
      </c>
    </row>
    <row r="648" spans="1:14" x14ac:dyDescent="0.25">
      <c r="A648" t="s">
        <v>748</v>
      </c>
      <c r="B648" t="s">
        <v>750</v>
      </c>
      <c r="C648">
        <v>6109</v>
      </c>
      <c r="D648">
        <v>3040</v>
      </c>
      <c r="E648" s="5">
        <v>0.497626452774595</v>
      </c>
      <c r="F648">
        <v>9</v>
      </c>
      <c r="G648" t="s">
        <v>45</v>
      </c>
      <c r="H648" t="s">
        <v>49</v>
      </c>
      <c r="I648" t="s">
        <v>40</v>
      </c>
      <c r="J648" s="1">
        <v>45204</v>
      </c>
      <c r="K648" t="s">
        <v>25</v>
      </c>
      <c r="L648" t="s">
        <v>68</v>
      </c>
      <c r="M648" t="s">
        <v>1474</v>
      </c>
      <c r="N648">
        <v>2023</v>
      </c>
    </row>
    <row r="649" spans="1:14" x14ac:dyDescent="0.25">
      <c r="A649" t="s">
        <v>748</v>
      </c>
      <c r="B649" t="s">
        <v>749</v>
      </c>
      <c r="C649">
        <v>4628</v>
      </c>
      <c r="D649">
        <v>1491</v>
      </c>
      <c r="E649" s="5">
        <v>0.32216940363007801</v>
      </c>
      <c r="F649">
        <v>17</v>
      </c>
      <c r="G649" t="s">
        <v>13</v>
      </c>
      <c r="H649" t="s">
        <v>14</v>
      </c>
      <c r="I649" t="s">
        <v>15</v>
      </c>
      <c r="J649" s="1">
        <v>44602</v>
      </c>
      <c r="K649" t="s">
        <v>25</v>
      </c>
      <c r="L649" t="s">
        <v>26</v>
      </c>
      <c r="M649" t="s">
        <v>1477</v>
      </c>
      <c r="N649">
        <v>2022</v>
      </c>
    </row>
    <row r="650" spans="1:14" x14ac:dyDescent="0.25">
      <c r="A650" t="s">
        <v>748</v>
      </c>
      <c r="B650" t="s">
        <v>750</v>
      </c>
      <c r="C650">
        <v>4628</v>
      </c>
      <c r="D650">
        <v>1491</v>
      </c>
      <c r="E650" s="5">
        <v>0.32216940363007801</v>
      </c>
      <c r="F650">
        <v>17</v>
      </c>
      <c r="G650" t="s">
        <v>13</v>
      </c>
      <c r="H650" t="s">
        <v>14</v>
      </c>
      <c r="I650" t="s">
        <v>15</v>
      </c>
      <c r="J650" s="1">
        <v>45204</v>
      </c>
      <c r="K650" t="s">
        <v>25</v>
      </c>
      <c r="L650" t="s">
        <v>68</v>
      </c>
      <c r="M650" t="s">
        <v>1474</v>
      </c>
      <c r="N650">
        <v>2023</v>
      </c>
    </row>
    <row r="651" spans="1:14" x14ac:dyDescent="0.25">
      <c r="A651" t="s">
        <v>751</v>
      </c>
      <c r="B651" t="s">
        <v>752</v>
      </c>
      <c r="C651">
        <v>4369</v>
      </c>
      <c r="D651">
        <v>584</v>
      </c>
      <c r="E651" s="5">
        <v>0.13366903181506101</v>
      </c>
      <c r="F651">
        <v>13</v>
      </c>
      <c r="G651" t="s">
        <v>30</v>
      </c>
      <c r="H651" t="s">
        <v>31</v>
      </c>
      <c r="I651" t="s">
        <v>47</v>
      </c>
      <c r="J651" s="1">
        <v>44826</v>
      </c>
      <c r="K651" t="s">
        <v>21</v>
      </c>
      <c r="L651" t="s">
        <v>172</v>
      </c>
      <c r="M651" t="s">
        <v>1480</v>
      </c>
      <c r="N651">
        <v>2022</v>
      </c>
    </row>
    <row r="652" spans="1:14" x14ac:dyDescent="0.25">
      <c r="A652" t="s">
        <v>751</v>
      </c>
      <c r="B652" t="s">
        <v>753</v>
      </c>
      <c r="C652">
        <v>4369</v>
      </c>
      <c r="D652">
        <v>584</v>
      </c>
      <c r="E652" s="5">
        <v>0.13366903181506101</v>
      </c>
      <c r="F652">
        <v>13</v>
      </c>
      <c r="G652" t="s">
        <v>30</v>
      </c>
      <c r="H652" t="s">
        <v>31</v>
      </c>
      <c r="I652" t="s">
        <v>47</v>
      </c>
      <c r="J652" s="1">
        <v>44289</v>
      </c>
      <c r="K652" t="s">
        <v>71</v>
      </c>
      <c r="L652" t="s">
        <v>86</v>
      </c>
      <c r="M652" t="s">
        <v>1481</v>
      </c>
      <c r="N652">
        <v>2021</v>
      </c>
    </row>
    <row r="653" spans="1:14" x14ac:dyDescent="0.25">
      <c r="A653" t="s">
        <v>754</v>
      </c>
      <c r="B653" t="s">
        <v>755</v>
      </c>
      <c r="C653">
        <v>5632</v>
      </c>
      <c r="D653">
        <v>2358</v>
      </c>
      <c r="E653" s="5">
        <v>0.41867897727272702</v>
      </c>
      <c r="F653">
        <v>20</v>
      </c>
      <c r="G653" t="s">
        <v>45</v>
      </c>
      <c r="H653" t="s">
        <v>60</v>
      </c>
      <c r="I653" t="s">
        <v>47</v>
      </c>
      <c r="J653" s="1">
        <v>44319</v>
      </c>
      <c r="K653" t="s">
        <v>42</v>
      </c>
      <c r="L653" t="s">
        <v>43</v>
      </c>
      <c r="M653" t="s">
        <v>1473</v>
      </c>
      <c r="N653">
        <v>2021</v>
      </c>
    </row>
    <row r="654" spans="1:14" x14ac:dyDescent="0.25">
      <c r="A654" t="s">
        <v>754</v>
      </c>
      <c r="B654" t="s">
        <v>756</v>
      </c>
      <c r="C654">
        <v>5632</v>
      </c>
      <c r="D654">
        <v>2358</v>
      </c>
      <c r="E654" s="5">
        <v>0.41867897727272702</v>
      </c>
      <c r="F654">
        <v>20</v>
      </c>
      <c r="G654" t="s">
        <v>45</v>
      </c>
      <c r="H654" t="s">
        <v>60</v>
      </c>
      <c r="I654" t="s">
        <v>47</v>
      </c>
      <c r="J654" s="1">
        <v>45333</v>
      </c>
      <c r="K654" t="s">
        <v>17</v>
      </c>
      <c r="L654" t="s">
        <v>18</v>
      </c>
      <c r="M654" t="s">
        <v>1477</v>
      </c>
      <c r="N654">
        <v>2024</v>
      </c>
    </row>
    <row r="655" spans="1:14" x14ac:dyDescent="0.25">
      <c r="A655" t="s">
        <v>754</v>
      </c>
      <c r="B655" t="s">
        <v>757</v>
      </c>
      <c r="C655">
        <v>5632</v>
      </c>
      <c r="D655">
        <v>2358</v>
      </c>
      <c r="E655" s="5">
        <v>0.41867897727272702</v>
      </c>
      <c r="F655">
        <v>20</v>
      </c>
      <c r="G655" t="s">
        <v>45</v>
      </c>
      <c r="H655" t="s">
        <v>60</v>
      </c>
      <c r="I655" t="s">
        <v>47</v>
      </c>
      <c r="J655" s="1">
        <v>45692</v>
      </c>
      <c r="K655" t="s">
        <v>98</v>
      </c>
      <c r="L655" t="s">
        <v>117</v>
      </c>
      <c r="M655" t="s">
        <v>1477</v>
      </c>
      <c r="N655">
        <v>2025</v>
      </c>
    </row>
    <row r="656" spans="1:14" x14ac:dyDescent="0.25">
      <c r="A656" t="s">
        <v>758</v>
      </c>
      <c r="B656" t="s">
        <v>759</v>
      </c>
      <c r="C656">
        <v>7519</v>
      </c>
      <c r="D656">
        <v>402</v>
      </c>
      <c r="E656" s="5">
        <v>5.3464556456975697E-2</v>
      </c>
      <c r="F656">
        <v>14</v>
      </c>
      <c r="G656" t="s">
        <v>30</v>
      </c>
      <c r="H656" t="s">
        <v>64</v>
      </c>
      <c r="I656" t="s">
        <v>15</v>
      </c>
      <c r="J656" s="1">
        <v>44846</v>
      </c>
      <c r="K656" t="s">
        <v>42</v>
      </c>
      <c r="L656" t="s">
        <v>75</v>
      </c>
      <c r="M656" t="s">
        <v>1474</v>
      </c>
      <c r="N656">
        <v>2022</v>
      </c>
    </row>
    <row r="657" spans="1:14" x14ac:dyDescent="0.25">
      <c r="A657" t="s">
        <v>758</v>
      </c>
      <c r="B657" t="s">
        <v>759</v>
      </c>
      <c r="C657">
        <v>1564</v>
      </c>
      <c r="D657">
        <v>674</v>
      </c>
      <c r="E657" s="5">
        <v>0.430946291560102</v>
      </c>
      <c r="F657">
        <v>13</v>
      </c>
      <c r="G657" t="s">
        <v>13</v>
      </c>
      <c r="H657" t="s">
        <v>14</v>
      </c>
      <c r="I657" t="s">
        <v>32</v>
      </c>
      <c r="J657" s="1">
        <v>44846</v>
      </c>
      <c r="K657" t="s">
        <v>42</v>
      </c>
      <c r="L657" t="s">
        <v>75</v>
      </c>
      <c r="M657" t="s">
        <v>1474</v>
      </c>
      <c r="N657">
        <v>2022</v>
      </c>
    </row>
    <row r="658" spans="1:14" x14ac:dyDescent="0.25">
      <c r="A658" t="s">
        <v>760</v>
      </c>
      <c r="B658" t="s">
        <v>761</v>
      </c>
      <c r="C658">
        <v>2804</v>
      </c>
      <c r="D658">
        <v>936</v>
      </c>
      <c r="E658" s="5">
        <v>0.33380884450784598</v>
      </c>
      <c r="F658">
        <v>10</v>
      </c>
      <c r="G658" t="s">
        <v>13</v>
      </c>
      <c r="H658" t="s">
        <v>14</v>
      </c>
      <c r="I658" t="s">
        <v>47</v>
      </c>
      <c r="J658" s="1">
        <v>44598</v>
      </c>
      <c r="K658" t="s">
        <v>71</v>
      </c>
      <c r="L658" t="s">
        <v>86</v>
      </c>
      <c r="M658" t="s">
        <v>1477</v>
      </c>
      <c r="N658">
        <v>2022</v>
      </c>
    </row>
    <row r="659" spans="1:14" x14ac:dyDescent="0.25">
      <c r="A659" t="s">
        <v>760</v>
      </c>
      <c r="B659" t="s">
        <v>762</v>
      </c>
      <c r="C659">
        <v>2804</v>
      </c>
      <c r="D659">
        <v>936</v>
      </c>
      <c r="E659" s="5">
        <v>0.33380884450784598</v>
      </c>
      <c r="F659">
        <v>10</v>
      </c>
      <c r="G659" t="s">
        <v>13</v>
      </c>
      <c r="H659" t="s">
        <v>14</v>
      </c>
      <c r="I659" t="s">
        <v>47</v>
      </c>
      <c r="J659" s="1">
        <v>44144</v>
      </c>
      <c r="K659" t="s">
        <v>17</v>
      </c>
      <c r="L659" t="s">
        <v>150</v>
      </c>
      <c r="M659" t="s">
        <v>1475</v>
      </c>
      <c r="N659">
        <v>2020</v>
      </c>
    </row>
    <row r="660" spans="1:14" x14ac:dyDescent="0.25">
      <c r="A660" t="s">
        <v>760</v>
      </c>
      <c r="B660" t="s">
        <v>763</v>
      </c>
      <c r="C660">
        <v>2804</v>
      </c>
      <c r="D660">
        <v>936</v>
      </c>
      <c r="E660" s="5">
        <v>0.33380884450784598</v>
      </c>
      <c r="F660">
        <v>10</v>
      </c>
      <c r="G660" t="s">
        <v>13</v>
      </c>
      <c r="H660" t="s">
        <v>14</v>
      </c>
      <c r="I660" t="s">
        <v>47</v>
      </c>
      <c r="J660" s="1">
        <v>45049</v>
      </c>
      <c r="K660" t="s">
        <v>17</v>
      </c>
      <c r="L660" t="s">
        <v>150</v>
      </c>
      <c r="M660" t="s">
        <v>1473</v>
      </c>
      <c r="N660">
        <v>2023</v>
      </c>
    </row>
    <row r="661" spans="1:14" x14ac:dyDescent="0.25">
      <c r="A661" t="s">
        <v>764</v>
      </c>
      <c r="B661" t="s">
        <v>765</v>
      </c>
      <c r="C661">
        <v>2321</v>
      </c>
      <c r="D661">
        <v>505</v>
      </c>
      <c r="E661" s="5">
        <v>0.21757862990090501</v>
      </c>
      <c r="F661">
        <v>6</v>
      </c>
      <c r="G661" t="s">
        <v>45</v>
      </c>
      <c r="H661" t="s">
        <v>49</v>
      </c>
      <c r="I661" t="s">
        <v>40</v>
      </c>
      <c r="J661" s="1">
        <v>44838</v>
      </c>
      <c r="K661" t="s">
        <v>21</v>
      </c>
      <c r="L661" t="s">
        <v>63</v>
      </c>
      <c r="M661" t="s">
        <v>1474</v>
      </c>
      <c r="N661">
        <v>2022</v>
      </c>
    </row>
    <row r="662" spans="1:14" x14ac:dyDescent="0.25">
      <c r="A662" t="s">
        <v>766</v>
      </c>
      <c r="B662" t="s">
        <v>767</v>
      </c>
      <c r="C662">
        <v>5730</v>
      </c>
      <c r="D662">
        <v>482</v>
      </c>
      <c r="E662" s="5">
        <v>8.4118673647469402E-2</v>
      </c>
      <c r="F662">
        <v>6</v>
      </c>
      <c r="G662" t="s">
        <v>13</v>
      </c>
      <c r="H662" t="s">
        <v>39</v>
      </c>
      <c r="I662" t="s">
        <v>65</v>
      </c>
      <c r="J662" s="1">
        <v>45525</v>
      </c>
      <c r="K662" t="s">
        <v>17</v>
      </c>
      <c r="L662" t="s">
        <v>150</v>
      </c>
      <c r="M662" t="s">
        <v>1479</v>
      </c>
      <c r="N662">
        <v>2024</v>
      </c>
    </row>
    <row r="663" spans="1:14" x14ac:dyDescent="0.25">
      <c r="A663" t="s">
        <v>768</v>
      </c>
      <c r="B663" t="s">
        <v>769</v>
      </c>
      <c r="C663">
        <v>7441</v>
      </c>
      <c r="D663">
        <v>867</v>
      </c>
      <c r="E663" s="5">
        <v>0.116516597231555</v>
      </c>
      <c r="F663">
        <v>12</v>
      </c>
      <c r="G663" t="s">
        <v>45</v>
      </c>
      <c r="H663" t="s">
        <v>60</v>
      </c>
      <c r="I663" t="s">
        <v>65</v>
      </c>
      <c r="J663" s="1">
        <v>44520</v>
      </c>
      <c r="K663" t="s">
        <v>21</v>
      </c>
      <c r="L663" t="s">
        <v>22</v>
      </c>
      <c r="M663" t="s">
        <v>1475</v>
      </c>
      <c r="N663">
        <v>2021</v>
      </c>
    </row>
    <row r="664" spans="1:14" x14ac:dyDescent="0.25">
      <c r="A664" t="s">
        <v>768</v>
      </c>
      <c r="B664" t="s">
        <v>770</v>
      </c>
      <c r="C664">
        <v>7441</v>
      </c>
      <c r="D664">
        <v>867</v>
      </c>
      <c r="E664" s="5">
        <v>0.116516597231555</v>
      </c>
      <c r="F664">
        <v>12</v>
      </c>
      <c r="G664" t="s">
        <v>45</v>
      </c>
      <c r="H664" t="s">
        <v>60</v>
      </c>
      <c r="I664" t="s">
        <v>65</v>
      </c>
      <c r="J664" s="1">
        <v>43964</v>
      </c>
      <c r="K664" t="s">
        <v>71</v>
      </c>
      <c r="L664" t="s">
        <v>86</v>
      </c>
      <c r="M664" t="s">
        <v>1473</v>
      </c>
      <c r="N664">
        <v>2020</v>
      </c>
    </row>
    <row r="665" spans="1:14" x14ac:dyDescent="0.25">
      <c r="A665" t="s">
        <v>771</v>
      </c>
      <c r="B665" t="s">
        <v>772</v>
      </c>
      <c r="C665">
        <v>1732</v>
      </c>
      <c r="D665">
        <v>766</v>
      </c>
      <c r="E665" s="5">
        <v>0.44226327944572702</v>
      </c>
      <c r="F665">
        <v>7</v>
      </c>
      <c r="G665" t="s">
        <v>30</v>
      </c>
      <c r="H665" t="s">
        <v>78</v>
      </c>
      <c r="I665" t="s">
        <v>15</v>
      </c>
      <c r="J665" s="1">
        <v>44985</v>
      </c>
      <c r="K665" t="s">
        <v>25</v>
      </c>
      <c r="L665" t="s">
        <v>51</v>
      </c>
      <c r="M665" t="s">
        <v>1477</v>
      </c>
      <c r="N665">
        <v>2023</v>
      </c>
    </row>
    <row r="666" spans="1:14" x14ac:dyDescent="0.25">
      <c r="A666" t="s">
        <v>771</v>
      </c>
      <c r="B666" t="s">
        <v>772</v>
      </c>
      <c r="C666">
        <v>8788</v>
      </c>
      <c r="D666">
        <v>3944</v>
      </c>
      <c r="E666" s="5">
        <v>0.44879380974055499</v>
      </c>
      <c r="F666">
        <v>19</v>
      </c>
      <c r="G666" t="s">
        <v>30</v>
      </c>
      <c r="H666" t="s">
        <v>64</v>
      </c>
      <c r="I666" t="s">
        <v>40</v>
      </c>
      <c r="J666" s="1">
        <v>44985</v>
      </c>
      <c r="K666" t="s">
        <v>25</v>
      </c>
      <c r="L666" t="s">
        <v>51</v>
      </c>
      <c r="M666" t="s">
        <v>1477</v>
      </c>
      <c r="N666">
        <v>2023</v>
      </c>
    </row>
    <row r="667" spans="1:14" x14ac:dyDescent="0.25">
      <c r="A667" t="s">
        <v>773</v>
      </c>
      <c r="B667" t="s">
        <v>774</v>
      </c>
      <c r="C667">
        <v>838</v>
      </c>
      <c r="D667">
        <v>271</v>
      </c>
      <c r="E667" s="5">
        <v>0.32338902147971399</v>
      </c>
      <c r="F667">
        <v>11</v>
      </c>
      <c r="G667" t="s">
        <v>30</v>
      </c>
      <c r="H667" t="s">
        <v>57</v>
      </c>
      <c r="I667" t="s">
        <v>40</v>
      </c>
      <c r="J667" s="1">
        <v>44217</v>
      </c>
      <c r="K667" t="s">
        <v>98</v>
      </c>
      <c r="L667" t="s">
        <v>99</v>
      </c>
      <c r="M667" t="s">
        <v>1478</v>
      </c>
      <c r="N667">
        <v>2021</v>
      </c>
    </row>
    <row r="668" spans="1:14" x14ac:dyDescent="0.25">
      <c r="A668" t="s">
        <v>773</v>
      </c>
      <c r="B668" t="s">
        <v>775</v>
      </c>
      <c r="C668">
        <v>838</v>
      </c>
      <c r="D668">
        <v>271</v>
      </c>
      <c r="E668" s="5">
        <v>0.32338902147971399</v>
      </c>
      <c r="F668">
        <v>11</v>
      </c>
      <c r="G668" t="s">
        <v>30</v>
      </c>
      <c r="H668" t="s">
        <v>57</v>
      </c>
      <c r="I668" t="s">
        <v>40</v>
      </c>
      <c r="J668" s="1">
        <v>44620</v>
      </c>
      <c r="K668" t="s">
        <v>21</v>
      </c>
      <c r="L668" t="s">
        <v>172</v>
      </c>
      <c r="M668" t="s">
        <v>1477</v>
      </c>
      <c r="N668">
        <v>2022</v>
      </c>
    </row>
    <row r="669" spans="1:14" x14ac:dyDescent="0.25">
      <c r="A669" t="s">
        <v>773</v>
      </c>
      <c r="B669" t="s">
        <v>774</v>
      </c>
      <c r="C669">
        <v>3577</v>
      </c>
      <c r="D669">
        <v>699</v>
      </c>
      <c r="E669" s="5">
        <v>0.19541515236231499</v>
      </c>
      <c r="F669">
        <v>2</v>
      </c>
      <c r="G669" t="s">
        <v>45</v>
      </c>
      <c r="H669" t="s">
        <v>46</v>
      </c>
      <c r="I669" t="s">
        <v>15</v>
      </c>
      <c r="J669" s="1">
        <v>44217</v>
      </c>
      <c r="K669" t="s">
        <v>98</v>
      </c>
      <c r="L669" t="s">
        <v>99</v>
      </c>
      <c r="M669" t="s">
        <v>1478</v>
      </c>
      <c r="N669">
        <v>2021</v>
      </c>
    </row>
    <row r="670" spans="1:14" x14ac:dyDescent="0.25">
      <c r="A670" t="s">
        <v>773</v>
      </c>
      <c r="B670" t="s">
        <v>775</v>
      </c>
      <c r="C670">
        <v>3577</v>
      </c>
      <c r="D670">
        <v>699</v>
      </c>
      <c r="E670" s="5">
        <v>0.19541515236231499</v>
      </c>
      <c r="F670">
        <v>2</v>
      </c>
      <c r="G670" t="s">
        <v>45</v>
      </c>
      <c r="H670" t="s">
        <v>46</v>
      </c>
      <c r="I670" t="s">
        <v>15</v>
      </c>
      <c r="J670" s="1">
        <v>44620</v>
      </c>
      <c r="K670" t="s">
        <v>21</v>
      </c>
      <c r="L670" t="s">
        <v>172</v>
      </c>
      <c r="M670" t="s">
        <v>1477</v>
      </c>
      <c r="N670">
        <v>2022</v>
      </c>
    </row>
    <row r="671" spans="1:14" x14ac:dyDescent="0.25">
      <c r="A671" t="s">
        <v>776</v>
      </c>
      <c r="B671" t="s">
        <v>777</v>
      </c>
      <c r="C671">
        <v>7122</v>
      </c>
      <c r="D671">
        <v>1836</v>
      </c>
      <c r="E671" s="5">
        <v>0.25779275484414499</v>
      </c>
      <c r="F671">
        <v>6</v>
      </c>
      <c r="G671" t="s">
        <v>13</v>
      </c>
      <c r="H671" t="s">
        <v>82</v>
      </c>
      <c r="I671" t="s">
        <v>32</v>
      </c>
      <c r="J671" s="1">
        <v>45407</v>
      </c>
      <c r="K671" t="s">
        <v>71</v>
      </c>
      <c r="L671" t="s">
        <v>72</v>
      </c>
      <c r="M671" t="s">
        <v>1481</v>
      </c>
      <c r="N671">
        <v>2024</v>
      </c>
    </row>
    <row r="672" spans="1:14" x14ac:dyDescent="0.25">
      <c r="A672" t="s">
        <v>776</v>
      </c>
      <c r="B672" t="s">
        <v>778</v>
      </c>
      <c r="C672">
        <v>7122</v>
      </c>
      <c r="D672">
        <v>1836</v>
      </c>
      <c r="E672" s="5">
        <v>0.25779275484414499</v>
      </c>
      <c r="F672">
        <v>6</v>
      </c>
      <c r="G672" t="s">
        <v>13</v>
      </c>
      <c r="H672" t="s">
        <v>82</v>
      </c>
      <c r="I672" t="s">
        <v>32</v>
      </c>
      <c r="J672" s="1">
        <v>44995</v>
      </c>
      <c r="K672" t="s">
        <v>71</v>
      </c>
      <c r="L672" t="s">
        <v>138</v>
      </c>
      <c r="M672" t="s">
        <v>1476</v>
      </c>
      <c r="N672">
        <v>2023</v>
      </c>
    </row>
    <row r="673" spans="1:14" x14ac:dyDescent="0.25">
      <c r="A673" t="s">
        <v>776</v>
      </c>
      <c r="B673" t="s">
        <v>779</v>
      </c>
      <c r="C673">
        <v>7122</v>
      </c>
      <c r="D673">
        <v>1836</v>
      </c>
      <c r="E673" s="5">
        <v>0.25779275484414499</v>
      </c>
      <c r="F673">
        <v>6</v>
      </c>
      <c r="G673" t="s">
        <v>13</v>
      </c>
      <c r="H673" t="s">
        <v>82</v>
      </c>
      <c r="I673" t="s">
        <v>32</v>
      </c>
      <c r="J673" s="1">
        <v>45117</v>
      </c>
      <c r="K673" t="s">
        <v>25</v>
      </c>
      <c r="L673" t="s">
        <v>51</v>
      </c>
      <c r="M673" t="s">
        <v>1472</v>
      </c>
      <c r="N673">
        <v>2023</v>
      </c>
    </row>
    <row r="674" spans="1:14" x14ac:dyDescent="0.25">
      <c r="A674" t="s">
        <v>776</v>
      </c>
      <c r="B674" t="s">
        <v>777</v>
      </c>
      <c r="C674">
        <v>7327</v>
      </c>
      <c r="D674">
        <v>2596</v>
      </c>
      <c r="E674" s="5">
        <v>0.35430599153814701</v>
      </c>
      <c r="F674">
        <v>15</v>
      </c>
      <c r="G674" t="s">
        <v>30</v>
      </c>
      <c r="H674" t="s">
        <v>57</v>
      </c>
      <c r="I674" t="s">
        <v>47</v>
      </c>
      <c r="J674" s="1">
        <v>45407</v>
      </c>
      <c r="K674" t="s">
        <v>71</v>
      </c>
      <c r="L674" t="s">
        <v>72</v>
      </c>
      <c r="M674" t="s">
        <v>1481</v>
      </c>
      <c r="N674">
        <v>2024</v>
      </c>
    </row>
    <row r="675" spans="1:14" x14ac:dyDescent="0.25">
      <c r="A675" t="s">
        <v>776</v>
      </c>
      <c r="B675" t="s">
        <v>778</v>
      </c>
      <c r="C675">
        <v>7327</v>
      </c>
      <c r="D675">
        <v>2596</v>
      </c>
      <c r="E675" s="5">
        <v>0.35430599153814701</v>
      </c>
      <c r="F675">
        <v>15</v>
      </c>
      <c r="G675" t="s">
        <v>30</v>
      </c>
      <c r="H675" t="s">
        <v>57</v>
      </c>
      <c r="I675" t="s">
        <v>47</v>
      </c>
      <c r="J675" s="1">
        <v>44995</v>
      </c>
      <c r="K675" t="s">
        <v>71</v>
      </c>
      <c r="L675" t="s">
        <v>138</v>
      </c>
      <c r="M675" t="s">
        <v>1476</v>
      </c>
      <c r="N675">
        <v>2023</v>
      </c>
    </row>
    <row r="676" spans="1:14" x14ac:dyDescent="0.25">
      <c r="A676" t="s">
        <v>776</v>
      </c>
      <c r="B676" t="s">
        <v>779</v>
      </c>
      <c r="C676">
        <v>7327</v>
      </c>
      <c r="D676">
        <v>2596</v>
      </c>
      <c r="E676" s="5">
        <v>0.35430599153814701</v>
      </c>
      <c r="F676">
        <v>15</v>
      </c>
      <c r="G676" t="s">
        <v>30</v>
      </c>
      <c r="H676" t="s">
        <v>57</v>
      </c>
      <c r="I676" t="s">
        <v>47</v>
      </c>
      <c r="J676" s="1">
        <v>45117</v>
      </c>
      <c r="K676" t="s">
        <v>25</v>
      </c>
      <c r="L676" t="s">
        <v>51</v>
      </c>
      <c r="M676" t="s">
        <v>1472</v>
      </c>
      <c r="N676">
        <v>2023</v>
      </c>
    </row>
    <row r="677" spans="1:14" x14ac:dyDescent="0.25">
      <c r="A677" t="s">
        <v>780</v>
      </c>
      <c r="B677" t="s">
        <v>781</v>
      </c>
      <c r="C677">
        <v>2239</v>
      </c>
      <c r="D677">
        <v>1094</v>
      </c>
      <c r="E677" s="5">
        <v>0.48861098704778899</v>
      </c>
      <c r="F677">
        <v>18</v>
      </c>
      <c r="G677" t="s">
        <v>13</v>
      </c>
      <c r="H677" t="s">
        <v>28</v>
      </c>
      <c r="I677" t="s">
        <v>65</v>
      </c>
      <c r="J677" s="1">
        <v>45501</v>
      </c>
      <c r="K677" t="s">
        <v>17</v>
      </c>
      <c r="L677" t="s">
        <v>150</v>
      </c>
      <c r="M677" t="s">
        <v>1472</v>
      </c>
      <c r="N677">
        <v>2024</v>
      </c>
    </row>
    <row r="678" spans="1:14" x14ac:dyDescent="0.25">
      <c r="A678" t="s">
        <v>780</v>
      </c>
      <c r="B678" t="s">
        <v>781</v>
      </c>
      <c r="C678">
        <v>4932</v>
      </c>
      <c r="D678">
        <v>1153</v>
      </c>
      <c r="E678" s="5">
        <v>0.233779399837794</v>
      </c>
      <c r="F678">
        <v>1</v>
      </c>
      <c r="G678" t="s">
        <v>30</v>
      </c>
      <c r="H678" t="s">
        <v>57</v>
      </c>
      <c r="I678" t="s">
        <v>65</v>
      </c>
      <c r="J678" s="1">
        <v>45501</v>
      </c>
      <c r="K678" t="s">
        <v>17</v>
      </c>
      <c r="L678" t="s">
        <v>150</v>
      </c>
      <c r="M678" t="s">
        <v>1472</v>
      </c>
      <c r="N678">
        <v>2024</v>
      </c>
    </row>
    <row r="679" spans="1:14" x14ac:dyDescent="0.25">
      <c r="A679" t="s">
        <v>782</v>
      </c>
      <c r="B679" t="s">
        <v>783</v>
      </c>
      <c r="C679">
        <v>4609</v>
      </c>
      <c r="D679">
        <v>1084</v>
      </c>
      <c r="E679" s="5">
        <v>0.23519201562160999</v>
      </c>
      <c r="F679">
        <v>8</v>
      </c>
      <c r="G679" t="s">
        <v>13</v>
      </c>
      <c r="H679" t="s">
        <v>28</v>
      </c>
      <c r="I679" t="s">
        <v>15</v>
      </c>
      <c r="J679" s="1">
        <v>45137</v>
      </c>
      <c r="K679" t="s">
        <v>17</v>
      </c>
      <c r="L679" t="s">
        <v>34</v>
      </c>
      <c r="M679" t="s">
        <v>1472</v>
      </c>
      <c r="N679">
        <v>2023</v>
      </c>
    </row>
    <row r="680" spans="1:14" x14ac:dyDescent="0.25">
      <c r="A680" t="s">
        <v>782</v>
      </c>
      <c r="B680" t="s">
        <v>783</v>
      </c>
      <c r="C680">
        <v>2328</v>
      </c>
      <c r="D680">
        <v>788</v>
      </c>
      <c r="E680" s="5">
        <v>0.33848797250859097</v>
      </c>
      <c r="F680">
        <v>4</v>
      </c>
      <c r="G680" t="s">
        <v>30</v>
      </c>
      <c r="H680" t="s">
        <v>64</v>
      </c>
      <c r="I680" t="s">
        <v>15</v>
      </c>
      <c r="J680" s="1">
        <v>45137</v>
      </c>
      <c r="K680" t="s">
        <v>17</v>
      </c>
      <c r="L680" t="s">
        <v>34</v>
      </c>
      <c r="M680" t="s">
        <v>1472</v>
      </c>
      <c r="N680">
        <v>2023</v>
      </c>
    </row>
    <row r="681" spans="1:14" x14ac:dyDescent="0.25">
      <c r="A681" t="s">
        <v>782</v>
      </c>
      <c r="B681" t="s">
        <v>783</v>
      </c>
      <c r="C681">
        <v>4734</v>
      </c>
      <c r="D681">
        <v>958</v>
      </c>
      <c r="E681" s="5">
        <v>0.202365863962822</v>
      </c>
      <c r="F681">
        <v>7</v>
      </c>
      <c r="G681" t="s">
        <v>13</v>
      </c>
      <c r="H681" t="s">
        <v>28</v>
      </c>
      <c r="I681" t="s">
        <v>32</v>
      </c>
      <c r="J681" s="1">
        <v>45137</v>
      </c>
      <c r="K681" t="s">
        <v>17</v>
      </c>
      <c r="L681" t="s">
        <v>34</v>
      </c>
      <c r="M681" t="s">
        <v>1472</v>
      </c>
      <c r="N681">
        <v>2023</v>
      </c>
    </row>
    <row r="682" spans="1:14" x14ac:dyDescent="0.25">
      <c r="A682" t="s">
        <v>784</v>
      </c>
      <c r="B682" t="s">
        <v>785</v>
      </c>
      <c r="C682">
        <v>1388</v>
      </c>
      <c r="D682">
        <v>345</v>
      </c>
      <c r="E682" s="5">
        <v>0.248559077809798</v>
      </c>
      <c r="F682">
        <v>5</v>
      </c>
      <c r="G682" t="s">
        <v>45</v>
      </c>
      <c r="H682" t="s">
        <v>60</v>
      </c>
      <c r="I682" t="s">
        <v>15</v>
      </c>
      <c r="J682" s="1">
        <v>45570</v>
      </c>
      <c r="K682" t="s">
        <v>25</v>
      </c>
      <c r="L682" t="s">
        <v>51</v>
      </c>
      <c r="M682" t="s">
        <v>1474</v>
      </c>
      <c r="N682">
        <v>2024</v>
      </c>
    </row>
    <row r="683" spans="1:14" x14ac:dyDescent="0.25">
      <c r="A683" t="s">
        <v>784</v>
      </c>
      <c r="B683" t="s">
        <v>785</v>
      </c>
      <c r="C683">
        <v>8555</v>
      </c>
      <c r="D683">
        <v>1638</v>
      </c>
      <c r="E683" s="5">
        <v>0.191466978375219</v>
      </c>
      <c r="F683">
        <v>8</v>
      </c>
      <c r="G683" t="s">
        <v>13</v>
      </c>
      <c r="H683" t="s">
        <v>39</v>
      </c>
      <c r="I683" t="s">
        <v>47</v>
      </c>
      <c r="J683" s="1">
        <v>45570</v>
      </c>
      <c r="K683" t="s">
        <v>25</v>
      </c>
      <c r="L683" t="s">
        <v>51</v>
      </c>
      <c r="M683" t="s">
        <v>1474</v>
      </c>
      <c r="N683">
        <v>2024</v>
      </c>
    </row>
    <row r="684" spans="1:14" x14ac:dyDescent="0.25">
      <c r="A684" t="s">
        <v>786</v>
      </c>
      <c r="B684" t="s">
        <v>787</v>
      </c>
      <c r="C684">
        <v>9024</v>
      </c>
      <c r="D684">
        <v>730</v>
      </c>
      <c r="E684" s="5">
        <v>8.0895390070922002E-2</v>
      </c>
      <c r="F684">
        <v>4</v>
      </c>
      <c r="G684" t="s">
        <v>45</v>
      </c>
      <c r="H684" t="s">
        <v>46</v>
      </c>
      <c r="I684" t="s">
        <v>47</v>
      </c>
      <c r="J684" s="1">
        <v>45342</v>
      </c>
      <c r="K684" t="s">
        <v>71</v>
      </c>
      <c r="L684" t="s">
        <v>72</v>
      </c>
      <c r="M684" t="s">
        <v>1477</v>
      </c>
      <c r="N684">
        <v>2024</v>
      </c>
    </row>
    <row r="685" spans="1:14" x14ac:dyDescent="0.25">
      <c r="A685" t="s">
        <v>786</v>
      </c>
      <c r="B685" t="s">
        <v>787</v>
      </c>
      <c r="C685">
        <v>2468</v>
      </c>
      <c r="D685">
        <v>418</v>
      </c>
      <c r="E685" s="5">
        <v>0.16936790923824999</v>
      </c>
      <c r="F685">
        <v>4</v>
      </c>
      <c r="G685" t="s">
        <v>13</v>
      </c>
      <c r="H685" t="s">
        <v>39</v>
      </c>
      <c r="I685" t="s">
        <v>47</v>
      </c>
      <c r="J685" s="1">
        <v>45342</v>
      </c>
      <c r="K685" t="s">
        <v>71</v>
      </c>
      <c r="L685" t="s">
        <v>72</v>
      </c>
      <c r="M685" t="s">
        <v>1477</v>
      </c>
      <c r="N685">
        <v>2024</v>
      </c>
    </row>
    <row r="686" spans="1:14" x14ac:dyDescent="0.25">
      <c r="A686" t="s">
        <v>788</v>
      </c>
      <c r="B686" t="s">
        <v>789</v>
      </c>
      <c r="C686">
        <v>9438</v>
      </c>
      <c r="D686">
        <v>1801</v>
      </c>
      <c r="E686" s="5">
        <v>0.19082432718796399</v>
      </c>
      <c r="F686">
        <v>4</v>
      </c>
      <c r="G686" t="s">
        <v>13</v>
      </c>
      <c r="H686" t="s">
        <v>14</v>
      </c>
      <c r="I686" t="s">
        <v>65</v>
      </c>
      <c r="J686" s="1">
        <v>45035</v>
      </c>
      <c r="K686" t="s">
        <v>17</v>
      </c>
      <c r="L686" t="s">
        <v>34</v>
      </c>
      <c r="M686" t="s">
        <v>1481</v>
      </c>
      <c r="N686">
        <v>2023</v>
      </c>
    </row>
    <row r="687" spans="1:14" x14ac:dyDescent="0.25">
      <c r="A687" t="s">
        <v>788</v>
      </c>
      <c r="B687" t="s">
        <v>790</v>
      </c>
      <c r="C687">
        <v>9438</v>
      </c>
      <c r="D687">
        <v>1801</v>
      </c>
      <c r="E687" s="5">
        <v>0.19082432718796399</v>
      </c>
      <c r="F687">
        <v>4</v>
      </c>
      <c r="G687" t="s">
        <v>13</v>
      </c>
      <c r="H687" t="s">
        <v>14</v>
      </c>
      <c r="I687" t="s">
        <v>65</v>
      </c>
      <c r="J687" s="1">
        <v>45228</v>
      </c>
      <c r="K687" t="s">
        <v>71</v>
      </c>
      <c r="L687" t="s">
        <v>86</v>
      </c>
      <c r="M687" t="s">
        <v>1474</v>
      </c>
      <c r="N687">
        <v>2023</v>
      </c>
    </row>
    <row r="688" spans="1:14" x14ac:dyDescent="0.25">
      <c r="A688" t="s">
        <v>791</v>
      </c>
      <c r="B688" t="s">
        <v>792</v>
      </c>
      <c r="C688">
        <v>2685</v>
      </c>
      <c r="D688">
        <v>379</v>
      </c>
      <c r="E688" s="5">
        <v>0.14115456238361301</v>
      </c>
      <c r="F688">
        <v>18</v>
      </c>
      <c r="G688" t="s">
        <v>13</v>
      </c>
      <c r="H688" t="s">
        <v>82</v>
      </c>
      <c r="I688" t="s">
        <v>15</v>
      </c>
      <c r="J688" s="1">
        <v>44628</v>
      </c>
      <c r="K688" t="s">
        <v>98</v>
      </c>
      <c r="L688" t="s">
        <v>117</v>
      </c>
      <c r="M688" t="s">
        <v>1476</v>
      </c>
      <c r="N688">
        <v>2022</v>
      </c>
    </row>
    <row r="689" spans="1:14" x14ac:dyDescent="0.25">
      <c r="A689" t="s">
        <v>791</v>
      </c>
      <c r="B689" t="s">
        <v>793</v>
      </c>
      <c r="C689">
        <v>2685</v>
      </c>
      <c r="D689">
        <v>379</v>
      </c>
      <c r="E689" s="5">
        <v>0.14115456238361301</v>
      </c>
      <c r="F689">
        <v>18</v>
      </c>
      <c r="G689" t="s">
        <v>13</v>
      </c>
      <c r="H689" t="s">
        <v>82</v>
      </c>
      <c r="I689" t="s">
        <v>15</v>
      </c>
      <c r="J689" s="1">
        <v>44903</v>
      </c>
      <c r="K689" t="s">
        <v>17</v>
      </c>
      <c r="L689" t="s">
        <v>150</v>
      </c>
      <c r="M689" t="s">
        <v>1471</v>
      </c>
      <c r="N689">
        <v>2022</v>
      </c>
    </row>
    <row r="690" spans="1:14" x14ac:dyDescent="0.25">
      <c r="A690" t="s">
        <v>791</v>
      </c>
      <c r="B690" t="s">
        <v>792</v>
      </c>
      <c r="C690">
        <v>9916</v>
      </c>
      <c r="D690">
        <v>4602</v>
      </c>
      <c r="E690" s="5">
        <v>0.46409842678499402</v>
      </c>
      <c r="F690">
        <v>14</v>
      </c>
      <c r="G690" t="s">
        <v>45</v>
      </c>
      <c r="H690" t="s">
        <v>49</v>
      </c>
      <c r="I690" t="s">
        <v>15</v>
      </c>
      <c r="J690" s="1">
        <v>44628</v>
      </c>
      <c r="K690" t="s">
        <v>98</v>
      </c>
      <c r="L690" t="s">
        <v>117</v>
      </c>
      <c r="M690" t="s">
        <v>1476</v>
      </c>
      <c r="N690">
        <v>2022</v>
      </c>
    </row>
    <row r="691" spans="1:14" x14ac:dyDescent="0.25">
      <c r="A691" t="s">
        <v>791</v>
      </c>
      <c r="B691" t="s">
        <v>793</v>
      </c>
      <c r="C691">
        <v>9916</v>
      </c>
      <c r="D691">
        <v>4602</v>
      </c>
      <c r="E691" s="5">
        <v>0.46409842678499402</v>
      </c>
      <c r="F691">
        <v>14</v>
      </c>
      <c r="G691" t="s">
        <v>45</v>
      </c>
      <c r="H691" t="s">
        <v>49</v>
      </c>
      <c r="I691" t="s">
        <v>15</v>
      </c>
      <c r="J691" s="1">
        <v>44903</v>
      </c>
      <c r="K691" t="s">
        <v>17</v>
      </c>
      <c r="L691" t="s">
        <v>150</v>
      </c>
      <c r="M691" t="s">
        <v>1471</v>
      </c>
      <c r="N691">
        <v>2022</v>
      </c>
    </row>
    <row r="692" spans="1:14" x14ac:dyDescent="0.25">
      <c r="A692" t="s">
        <v>791</v>
      </c>
      <c r="B692" t="s">
        <v>792</v>
      </c>
      <c r="C692">
        <v>6184</v>
      </c>
      <c r="D692">
        <v>50</v>
      </c>
      <c r="E692" s="5">
        <v>8.0853816300129402E-3</v>
      </c>
      <c r="F692">
        <v>14</v>
      </c>
      <c r="G692" t="s">
        <v>13</v>
      </c>
      <c r="H692" t="s">
        <v>14</v>
      </c>
      <c r="I692" t="s">
        <v>47</v>
      </c>
      <c r="J692" s="1">
        <v>44628</v>
      </c>
      <c r="K692" t="s">
        <v>98</v>
      </c>
      <c r="L692" t="s">
        <v>117</v>
      </c>
      <c r="M692" t="s">
        <v>1476</v>
      </c>
      <c r="N692">
        <v>2022</v>
      </c>
    </row>
    <row r="693" spans="1:14" x14ac:dyDescent="0.25">
      <c r="A693" t="s">
        <v>791</v>
      </c>
      <c r="B693" t="s">
        <v>793</v>
      </c>
      <c r="C693">
        <v>6184</v>
      </c>
      <c r="D693">
        <v>50</v>
      </c>
      <c r="E693" s="5">
        <v>8.0853816300129402E-3</v>
      </c>
      <c r="F693">
        <v>14</v>
      </c>
      <c r="G693" t="s">
        <v>13</v>
      </c>
      <c r="H693" t="s">
        <v>14</v>
      </c>
      <c r="I693" t="s">
        <v>47</v>
      </c>
      <c r="J693" s="1">
        <v>44903</v>
      </c>
      <c r="K693" t="s">
        <v>17</v>
      </c>
      <c r="L693" t="s">
        <v>150</v>
      </c>
      <c r="M693" t="s">
        <v>1471</v>
      </c>
      <c r="N693">
        <v>2022</v>
      </c>
    </row>
    <row r="694" spans="1:14" x14ac:dyDescent="0.25">
      <c r="A694" t="s">
        <v>791</v>
      </c>
      <c r="B694" t="s">
        <v>792</v>
      </c>
      <c r="C694">
        <v>4548</v>
      </c>
      <c r="D694">
        <v>2135</v>
      </c>
      <c r="E694" s="5">
        <v>0.46943711521547898</v>
      </c>
      <c r="F694">
        <v>8</v>
      </c>
      <c r="G694" t="s">
        <v>30</v>
      </c>
      <c r="H694" t="s">
        <v>57</v>
      </c>
      <c r="I694" t="s">
        <v>32</v>
      </c>
      <c r="J694" s="1">
        <v>44628</v>
      </c>
      <c r="K694" t="s">
        <v>98</v>
      </c>
      <c r="L694" t="s">
        <v>117</v>
      </c>
      <c r="M694" t="s">
        <v>1476</v>
      </c>
      <c r="N694">
        <v>2022</v>
      </c>
    </row>
    <row r="695" spans="1:14" x14ac:dyDescent="0.25">
      <c r="A695" t="s">
        <v>791</v>
      </c>
      <c r="B695" t="s">
        <v>793</v>
      </c>
      <c r="C695">
        <v>4548</v>
      </c>
      <c r="D695">
        <v>2135</v>
      </c>
      <c r="E695" s="5">
        <v>0.46943711521547898</v>
      </c>
      <c r="F695">
        <v>8</v>
      </c>
      <c r="G695" t="s">
        <v>30</v>
      </c>
      <c r="H695" t="s">
        <v>57</v>
      </c>
      <c r="I695" t="s">
        <v>32</v>
      </c>
      <c r="J695" s="1">
        <v>44903</v>
      </c>
      <c r="K695" t="s">
        <v>17</v>
      </c>
      <c r="L695" t="s">
        <v>150</v>
      </c>
      <c r="M695" t="s">
        <v>1471</v>
      </c>
      <c r="N695">
        <v>2022</v>
      </c>
    </row>
    <row r="696" spans="1:14" x14ac:dyDescent="0.25">
      <c r="A696" t="s">
        <v>794</v>
      </c>
      <c r="B696" t="s">
        <v>795</v>
      </c>
      <c r="C696">
        <v>7195</v>
      </c>
      <c r="D696">
        <v>1665</v>
      </c>
      <c r="E696" s="5">
        <v>0.231410701876303</v>
      </c>
      <c r="F696">
        <v>7</v>
      </c>
      <c r="G696" t="s">
        <v>30</v>
      </c>
      <c r="H696" t="s">
        <v>57</v>
      </c>
      <c r="I696" t="s">
        <v>65</v>
      </c>
      <c r="J696" s="1">
        <v>45500</v>
      </c>
      <c r="K696" t="s">
        <v>25</v>
      </c>
      <c r="L696" t="s">
        <v>68</v>
      </c>
      <c r="M696" t="s">
        <v>1472</v>
      </c>
      <c r="N696">
        <v>2024</v>
      </c>
    </row>
    <row r="697" spans="1:14" x14ac:dyDescent="0.25">
      <c r="A697" t="s">
        <v>794</v>
      </c>
      <c r="B697" t="s">
        <v>796</v>
      </c>
      <c r="C697">
        <v>7195</v>
      </c>
      <c r="D697">
        <v>1665</v>
      </c>
      <c r="E697" s="5">
        <v>0.231410701876303</v>
      </c>
      <c r="F697">
        <v>7</v>
      </c>
      <c r="G697" t="s">
        <v>30</v>
      </c>
      <c r="H697" t="s">
        <v>57</v>
      </c>
      <c r="I697" t="s">
        <v>65</v>
      </c>
      <c r="J697" s="1">
        <v>44747</v>
      </c>
      <c r="K697" t="s">
        <v>25</v>
      </c>
      <c r="L697" t="s">
        <v>26</v>
      </c>
      <c r="M697" t="s">
        <v>1472</v>
      </c>
      <c r="N697">
        <v>2022</v>
      </c>
    </row>
    <row r="698" spans="1:14" x14ac:dyDescent="0.25">
      <c r="A698" t="s">
        <v>797</v>
      </c>
      <c r="B698" t="s">
        <v>798</v>
      </c>
      <c r="C698">
        <v>3098</v>
      </c>
      <c r="D698">
        <v>957</v>
      </c>
      <c r="E698" s="5">
        <v>0.30890897353131003</v>
      </c>
      <c r="F698">
        <v>18</v>
      </c>
      <c r="G698" t="s">
        <v>45</v>
      </c>
      <c r="H698" t="s">
        <v>109</v>
      </c>
      <c r="I698" t="s">
        <v>65</v>
      </c>
      <c r="J698" s="1">
        <v>45477</v>
      </c>
      <c r="K698" t="s">
        <v>71</v>
      </c>
      <c r="L698" t="s">
        <v>86</v>
      </c>
      <c r="M698" t="s">
        <v>1472</v>
      </c>
      <c r="N698">
        <v>2024</v>
      </c>
    </row>
    <row r="699" spans="1:14" x14ac:dyDescent="0.25">
      <c r="A699" t="s">
        <v>799</v>
      </c>
      <c r="B699" t="s">
        <v>800</v>
      </c>
      <c r="C699">
        <v>5412</v>
      </c>
      <c r="D699">
        <v>1192</v>
      </c>
      <c r="E699" s="5">
        <v>0.22025129342202501</v>
      </c>
      <c r="F699">
        <v>18</v>
      </c>
      <c r="G699" t="s">
        <v>45</v>
      </c>
      <c r="H699" t="s">
        <v>46</v>
      </c>
      <c r="I699" t="s">
        <v>47</v>
      </c>
      <c r="J699" s="1">
        <v>45350</v>
      </c>
      <c r="K699" t="s">
        <v>42</v>
      </c>
      <c r="L699" t="s">
        <v>75</v>
      </c>
      <c r="M699" t="s">
        <v>1477</v>
      </c>
      <c r="N699">
        <v>2024</v>
      </c>
    </row>
    <row r="700" spans="1:14" x14ac:dyDescent="0.25">
      <c r="A700" t="s">
        <v>799</v>
      </c>
      <c r="B700" t="s">
        <v>801</v>
      </c>
      <c r="C700">
        <v>5412</v>
      </c>
      <c r="D700">
        <v>1192</v>
      </c>
      <c r="E700" s="5">
        <v>0.22025129342202501</v>
      </c>
      <c r="F700">
        <v>18</v>
      </c>
      <c r="G700" t="s">
        <v>45</v>
      </c>
      <c r="H700" t="s">
        <v>46</v>
      </c>
      <c r="I700" t="s">
        <v>47</v>
      </c>
      <c r="J700" s="1">
        <v>45660</v>
      </c>
      <c r="K700" t="s">
        <v>42</v>
      </c>
      <c r="L700" t="s">
        <v>43</v>
      </c>
      <c r="M700" t="s">
        <v>1478</v>
      </c>
      <c r="N700">
        <v>2025</v>
      </c>
    </row>
    <row r="701" spans="1:14" x14ac:dyDescent="0.25">
      <c r="A701" t="s">
        <v>802</v>
      </c>
      <c r="B701" t="s">
        <v>803</v>
      </c>
      <c r="C701">
        <v>1397</v>
      </c>
      <c r="D701">
        <v>686</v>
      </c>
      <c r="E701" s="5">
        <v>0.491052254831782</v>
      </c>
      <c r="F701">
        <v>11</v>
      </c>
      <c r="G701" t="s">
        <v>45</v>
      </c>
      <c r="H701" t="s">
        <v>49</v>
      </c>
      <c r="I701" t="s">
        <v>47</v>
      </c>
      <c r="J701" s="1">
        <v>44537</v>
      </c>
      <c r="K701" t="s">
        <v>25</v>
      </c>
      <c r="L701" t="s">
        <v>51</v>
      </c>
      <c r="M701" t="s">
        <v>1471</v>
      </c>
      <c r="N701">
        <v>2021</v>
      </c>
    </row>
    <row r="702" spans="1:14" x14ac:dyDescent="0.25">
      <c r="A702" t="s">
        <v>804</v>
      </c>
      <c r="B702" t="s">
        <v>805</v>
      </c>
      <c r="C702">
        <v>9279</v>
      </c>
      <c r="D702">
        <v>552</v>
      </c>
      <c r="E702" s="5">
        <v>5.9489169091496902E-2</v>
      </c>
      <c r="F702">
        <v>14</v>
      </c>
      <c r="G702" t="s">
        <v>45</v>
      </c>
      <c r="H702" t="s">
        <v>49</v>
      </c>
      <c r="I702" t="s">
        <v>40</v>
      </c>
      <c r="J702" s="1">
        <v>44544</v>
      </c>
      <c r="K702" t="s">
        <v>25</v>
      </c>
      <c r="L702" t="s">
        <v>26</v>
      </c>
      <c r="M702" t="s">
        <v>1471</v>
      </c>
      <c r="N702">
        <v>2021</v>
      </c>
    </row>
    <row r="703" spans="1:14" x14ac:dyDescent="0.25">
      <c r="A703" t="s">
        <v>804</v>
      </c>
      <c r="B703" t="s">
        <v>806</v>
      </c>
      <c r="C703">
        <v>9279</v>
      </c>
      <c r="D703">
        <v>552</v>
      </c>
      <c r="E703" s="5">
        <v>5.9489169091496902E-2</v>
      </c>
      <c r="F703">
        <v>14</v>
      </c>
      <c r="G703" t="s">
        <v>45</v>
      </c>
      <c r="H703" t="s">
        <v>49</v>
      </c>
      <c r="I703" t="s">
        <v>40</v>
      </c>
      <c r="J703" s="1">
        <v>44165</v>
      </c>
      <c r="K703" t="s">
        <v>42</v>
      </c>
      <c r="L703" t="s">
        <v>92</v>
      </c>
      <c r="M703" t="s">
        <v>1475</v>
      </c>
      <c r="N703">
        <v>2020</v>
      </c>
    </row>
    <row r="704" spans="1:14" x14ac:dyDescent="0.25">
      <c r="A704" t="s">
        <v>804</v>
      </c>
      <c r="B704" t="s">
        <v>805</v>
      </c>
      <c r="C704">
        <v>2596</v>
      </c>
      <c r="D704">
        <v>1003</v>
      </c>
      <c r="E704" s="5">
        <v>0.38636363636363602</v>
      </c>
      <c r="F704">
        <v>19</v>
      </c>
      <c r="G704" t="s">
        <v>30</v>
      </c>
      <c r="H704" t="s">
        <v>64</v>
      </c>
      <c r="I704" t="s">
        <v>47</v>
      </c>
      <c r="J704" s="1">
        <v>44544</v>
      </c>
      <c r="K704" t="s">
        <v>25</v>
      </c>
      <c r="L704" t="s">
        <v>26</v>
      </c>
      <c r="M704" t="s">
        <v>1471</v>
      </c>
      <c r="N704">
        <v>2021</v>
      </c>
    </row>
    <row r="705" spans="1:14" x14ac:dyDescent="0.25">
      <c r="A705" t="s">
        <v>804</v>
      </c>
      <c r="B705" t="s">
        <v>806</v>
      </c>
      <c r="C705">
        <v>2596</v>
      </c>
      <c r="D705">
        <v>1003</v>
      </c>
      <c r="E705" s="5">
        <v>0.38636363636363602</v>
      </c>
      <c r="F705">
        <v>19</v>
      </c>
      <c r="G705" t="s">
        <v>30</v>
      </c>
      <c r="H705" t="s">
        <v>64</v>
      </c>
      <c r="I705" t="s">
        <v>47</v>
      </c>
      <c r="J705" s="1">
        <v>44165</v>
      </c>
      <c r="K705" t="s">
        <v>42</v>
      </c>
      <c r="L705" t="s">
        <v>92</v>
      </c>
      <c r="M705" t="s">
        <v>1475</v>
      </c>
      <c r="N705">
        <v>2020</v>
      </c>
    </row>
    <row r="706" spans="1:14" x14ac:dyDescent="0.25">
      <c r="A706" t="s">
        <v>807</v>
      </c>
      <c r="B706" t="s">
        <v>808</v>
      </c>
      <c r="C706">
        <v>6732</v>
      </c>
      <c r="D706">
        <v>911</v>
      </c>
      <c r="E706" s="5">
        <v>0.13532382650029701</v>
      </c>
      <c r="F706">
        <v>19</v>
      </c>
      <c r="G706" t="s">
        <v>45</v>
      </c>
      <c r="H706" t="s">
        <v>109</v>
      </c>
      <c r="I706" t="s">
        <v>40</v>
      </c>
      <c r="J706" s="1">
        <v>44559</v>
      </c>
      <c r="K706" t="s">
        <v>25</v>
      </c>
      <c r="L706" t="s">
        <v>26</v>
      </c>
      <c r="M706" t="s">
        <v>1471</v>
      </c>
      <c r="N706">
        <v>2021</v>
      </c>
    </row>
    <row r="707" spans="1:14" x14ac:dyDescent="0.25">
      <c r="A707" t="s">
        <v>807</v>
      </c>
      <c r="B707" t="s">
        <v>808</v>
      </c>
      <c r="C707">
        <v>4495</v>
      </c>
      <c r="D707">
        <v>1408</v>
      </c>
      <c r="E707" s="5">
        <v>0.31323692992213598</v>
      </c>
      <c r="F707">
        <v>14</v>
      </c>
      <c r="G707" t="s">
        <v>30</v>
      </c>
      <c r="H707" t="s">
        <v>31</v>
      </c>
      <c r="I707" t="s">
        <v>40</v>
      </c>
      <c r="J707" s="1">
        <v>44559</v>
      </c>
      <c r="K707" t="s">
        <v>25</v>
      </c>
      <c r="L707" t="s">
        <v>26</v>
      </c>
      <c r="M707" t="s">
        <v>1471</v>
      </c>
      <c r="N707">
        <v>2021</v>
      </c>
    </row>
    <row r="708" spans="1:14" x14ac:dyDescent="0.25">
      <c r="A708" t="s">
        <v>809</v>
      </c>
      <c r="B708" t="s">
        <v>810</v>
      </c>
      <c r="C708">
        <v>9653</v>
      </c>
      <c r="D708">
        <v>2471</v>
      </c>
      <c r="E708" s="5">
        <v>0.255982596084119</v>
      </c>
      <c r="F708">
        <v>6</v>
      </c>
      <c r="G708" t="s">
        <v>30</v>
      </c>
      <c r="H708" t="s">
        <v>64</v>
      </c>
      <c r="I708" t="s">
        <v>15</v>
      </c>
      <c r="J708" s="1">
        <v>45481</v>
      </c>
      <c r="K708" t="s">
        <v>25</v>
      </c>
      <c r="L708" t="s">
        <v>26</v>
      </c>
      <c r="M708" t="s">
        <v>1472</v>
      </c>
      <c r="N708">
        <v>2024</v>
      </c>
    </row>
    <row r="709" spans="1:14" x14ac:dyDescent="0.25">
      <c r="A709" t="s">
        <v>811</v>
      </c>
      <c r="B709" t="s">
        <v>812</v>
      </c>
      <c r="C709">
        <v>8945</v>
      </c>
      <c r="D709">
        <v>1728</v>
      </c>
      <c r="E709" s="5">
        <v>0.19318054779206301</v>
      </c>
      <c r="F709">
        <v>10</v>
      </c>
      <c r="G709" t="s">
        <v>45</v>
      </c>
      <c r="H709" t="s">
        <v>46</v>
      </c>
      <c r="I709" t="s">
        <v>15</v>
      </c>
      <c r="J709" s="1">
        <v>44237</v>
      </c>
      <c r="K709" t="s">
        <v>21</v>
      </c>
      <c r="L709" t="s">
        <v>172</v>
      </c>
      <c r="M709" t="s">
        <v>1477</v>
      </c>
      <c r="N709">
        <v>2021</v>
      </c>
    </row>
    <row r="710" spans="1:14" x14ac:dyDescent="0.25">
      <c r="A710" t="s">
        <v>813</v>
      </c>
      <c r="B710" t="s">
        <v>814</v>
      </c>
      <c r="C710">
        <v>4007</v>
      </c>
      <c r="D710">
        <v>201</v>
      </c>
      <c r="E710" s="5">
        <v>5.0162216121786903E-2</v>
      </c>
      <c r="F710">
        <v>13</v>
      </c>
      <c r="G710" t="s">
        <v>45</v>
      </c>
      <c r="H710" t="s">
        <v>109</v>
      </c>
      <c r="I710" t="s">
        <v>65</v>
      </c>
      <c r="J710" s="1">
        <v>44125</v>
      </c>
      <c r="K710" t="s">
        <v>98</v>
      </c>
      <c r="L710" t="s">
        <v>99</v>
      </c>
      <c r="M710" t="s">
        <v>1474</v>
      </c>
      <c r="N710">
        <v>2020</v>
      </c>
    </row>
    <row r="711" spans="1:14" x14ac:dyDescent="0.25">
      <c r="A711" t="s">
        <v>813</v>
      </c>
      <c r="B711" t="s">
        <v>815</v>
      </c>
      <c r="C711">
        <v>4007</v>
      </c>
      <c r="D711">
        <v>201</v>
      </c>
      <c r="E711" s="5">
        <v>5.0162216121786903E-2</v>
      </c>
      <c r="F711">
        <v>13</v>
      </c>
      <c r="G711" t="s">
        <v>45</v>
      </c>
      <c r="H711" t="s">
        <v>109</v>
      </c>
      <c r="I711" t="s">
        <v>65</v>
      </c>
      <c r="J711" s="1">
        <v>45033</v>
      </c>
      <c r="K711" t="s">
        <v>71</v>
      </c>
      <c r="L711" t="s">
        <v>72</v>
      </c>
      <c r="M711" t="s">
        <v>1481</v>
      </c>
      <c r="N711">
        <v>2023</v>
      </c>
    </row>
    <row r="712" spans="1:14" x14ac:dyDescent="0.25">
      <c r="A712" t="s">
        <v>816</v>
      </c>
      <c r="B712" t="s">
        <v>817</v>
      </c>
      <c r="C712">
        <v>810</v>
      </c>
      <c r="D712">
        <v>231</v>
      </c>
      <c r="E712" s="5">
        <v>0.28518518518518499</v>
      </c>
      <c r="F712">
        <v>18</v>
      </c>
      <c r="G712" t="s">
        <v>45</v>
      </c>
      <c r="H712" t="s">
        <v>109</v>
      </c>
      <c r="I712" t="s">
        <v>40</v>
      </c>
      <c r="J712" s="1">
        <v>44125</v>
      </c>
      <c r="K712" t="s">
        <v>17</v>
      </c>
      <c r="L712" t="s">
        <v>150</v>
      </c>
      <c r="M712" t="s">
        <v>1474</v>
      </c>
      <c r="N712">
        <v>2020</v>
      </c>
    </row>
    <row r="713" spans="1:14" x14ac:dyDescent="0.25">
      <c r="A713" t="s">
        <v>818</v>
      </c>
      <c r="B713" t="s">
        <v>819</v>
      </c>
      <c r="C713">
        <v>9789</v>
      </c>
      <c r="D713">
        <v>2071</v>
      </c>
      <c r="E713" s="5">
        <v>0.211564000408622</v>
      </c>
      <c r="F713">
        <v>18</v>
      </c>
      <c r="G713" t="s">
        <v>45</v>
      </c>
      <c r="H713" t="s">
        <v>109</v>
      </c>
      <c r="I713" t="s">
        <v>32</v>
      </c>
      <c r="J713" s="1">
        <v>45288</v>
      </c>
      <c r="K713" t="s">
        <v>25</v>
      </c>
      <c r="L713" t="s">
        <v>68</v>
      </c>
      <c r="M713" t="s">
        <v>1471</v>
      </c>
      <c r="N713">
        <v>2023</v>
      </c>
    </row>
    <row r="714" spans="1:14" x14ac:dyDescent="0.25">
      <c r="A714" t="s">
        <v>818</v>
      </c>
      <c r="B714" t="s">
        <v>819</v>
      </c>
      <c r="C714">
        <v>9229</v>
      </c>
      <c r="D714">
        <v>4090</v>
      </c>
      <c r="E714" s="5">
        <v>0.44316827391916802</v>
      </c>
      <c r="F714">
        <v>8</v>
      </c>
      <c r="G714" t="s">
        <v>13</v>
      </c>
      <c r="H714" t="s">
        <v>14</v>
      </c>
      <c r="I714" t="s">
        <v>65</v>
      </c>
      <c r="J714" s="1">
        <v>45288</v>
      </c>
      <c r="K714" t="s">
        <v>25</v>
      </c>
      <c r="L714" t="s">
        <v>68</v>
      </c>
      <c r="M714" t="s">
        <v>1471</v>
      </c>
      <c r="N714">
        <v>2023</v>
      </c>
    </row>
    <row r="715" spans="1:14" x14ac:dyDescent="0.25">
      <c r="A715" t="s">
        <v>820</v>
      </c>
      <c r="B715" t="s">
        <v>821</v>
      </c>
      <c r="C715">
        <v>8141</v>
      </c>
      <c r="D715">
        <v>3968</v>
      </c>
      <c r="E715" s="5">
        <v>0.48740940916349301</v>
      </c>
      <c r="F715">
        <v>18</v>
      </c>
      <c r="G715" t="s">
        <v>30</v>
      </c>
      <c r="H715" t="s">
        <v>57</v>
      </c>
      <c r="I715" t="s">
        <v>32</v>
      </c>
      <c r="J715" s="1">
        <v>44918</v>
      </c>
      <c r="K715" t="s">
        <v>25</v>
      </c>
      <c r="L715" t="s">
        <v>68</v>
      </c>
      <c r="M715" t="s">
        <v>1471</v>
      </c>
      <c r="N715">
        <v>2022</v>
      </c>
    </row>
    <row r="716" spans="1:14" x14ac:dyDescent="0.25">
      <c r="A716" t="s">
        <v>820</v>
      </c>
      <c r="B716" t="s">
        <v>822</v>
      </c>
      <c r="C716">
        <v>8141</v>
      </c>
      <c r="D716">
        <v>3968</v>
      </c>
      <c r="E716" s="5">
        <v>0.48740940916349301</v>
      </c>
      <c r="F716">
        <v>18</v>
      </c>
      <c r="G716" t="s">
        <v>30</v>
      </c>
      <c r="H716" t="s">
        <v>57</v>
      </c>
      <c r="I716" t="s">
        <v>32</v>
      </c>
      <c r="J716" s="1">
        <v>44783</v>
      </c>
      <c r="K716" t="s">
        <v>21</v>
      </c>
      <c r="L716" t="s">
        <v>172</v>
      </c>
      <c r="M716" t="s">
        <v>1479</v>
      </c>
      <c r="N716">
        <v>2022</v>
      </c>
    </row>
    <row r="717" spans="1:14" x14ac:dyDescent="0.25">
      <c r="A717" t="s">
        <v>820</v>
      </c>
      <c r="B717" t="s">
        <v>821</v>
      </c>
      <c r="C717">
        <v>1067</v>
      </c>
      <c r="D717">
        <v>251</v>
      </c>
      <c r="E717" s="5">
        <v>0.235238987816307</v>
      </c>
      <c r="F717">
        <v>14</v>
      </c>
      <c r="G717" t="s">
        <v>45</v>
      </c>
      <c r="H717" t="s">
        <v>60</v>
      </c>
      <c r="I717" t="s">
        <v>40</v>
      </c>
      <c r="J717" s="1">
        <v>44918</v>
      </c>
      <c r="K717" t="s">
        <v>25</v>
      </c>
      <c r="L717" t="s">
        <v>68</v>
      </c>
      <c r="M717" t="s">
        <v>1471</v>
      </c>
      <c r="N717">
        <v>2022</v>
      </c>
    </row>
    <row r="718" spans="1:14" x14ac:dyDescent="0.25">
      <c r="A718" t="s">
        <v>820</v>
      </c>
      <c r="B718" t="s">
        <v>822</v>
      </c>
      <c r="C718">
        <v>1067</v>
      </c>
      <c r="D718">
        <v>251</v>
      </c>
      <c r="E718" s="5">
        <v>0.235238987816307</v>
      </c>
      <c r="F718">
        <v>14</v>
      </c>
      <c r="G718" t="s">
        <v>45</v>
      </c>
      <c r="H718" t="s">
        <v>60</v>
      </c>
      <c r="I718" t="s">
        <v>40</v>
      </c>
      <c r="J718" s="1">
        <v>44783</v>
      </c>
      <c r="K718" t="s">
        <v>21</v>
      </c>
      <c r="L718" t="s">
        <v>172</v>
      </c>
      <c r="M718" t="s">
        <v>1479</v>
      </c>
      <c r="N718">
        <v>2022</v>
      </c>
    </row>
    <row r="719" spans="1:14" x14ac:dyDescent="0.25">
      <c r="A719" t="s">
        <v>823</v>
      </c>
      <c r="B719" t="s">
        <v>824</v>
      </c>
      <c r="C719">
        <v>3839</v>
      </c>
      <c r="D719">
        <v>1415</v>
      </c>
      <c r="E719" s="5">
        <v>0.368585569158635</v>
      </c>
      <c r="F719">
        <v>10</v>
      </c>
      <c r="G719" t="s">
        <v>30</v>
      </c>
      <c r="H719" t="s">
        <v>78</v>
      </c>
      <c r="I719" t="s">
        <v>15</v>
      </c>
      <c r="J719" s="1">
        <v>45216</v>
      </c>
      <c r="K719" t="s">
        <v>42</v>
      </c>
      <c r="L719" t="s">
        <v>43</v>
      </c>
      <c r="M719" t="s">
        <v>1474</v>
      </c>
      <c r="N719">
        <v>2023</v>
      </c>
    </row>
    <row r="720" spans="1:14" x14ac:dyDescent="0.25">
      <c r="A720" t="s">
        <v>823</v>
      </c>
      <c r="B720" t="s">
        <v>825</v>
      </c>
      <c r="C720">
        <v>3839</v>
      </c>
      <c r="D720">
        <v>1415</v>
      </c>
      <c r="E720" s="5">
        <v>0.368585569158635</v>
      </c>
      <c r="F720">
        <v>10</v>
      </c>
      <c r="G720" t="s">
        <v>30</v>
      </c>
      <c r="H720" t="s">
        <v>78</v>
      </c>
      <c r="I720" t="s">
        <v>15</v>
      </c>
      <c r="J720" s="1">
        <v>44620</v>
      </c>
      <c r="K720" t="s">
        <v>17</v>
      </c>
      <c r="L720" t="s">
        <v>34</v>
      </c>
      <c r="M720" t="s">
        <v>1477</v>
      </c>
      <c r="N720">
        <v>2022</v>
      </c>
    </row>
    <row r="721" spans="1:14" x14ac:dyDescent="0.25">
      <c r="A721" t="s">
        <v>826</v>
      </c>
      <c r="B721" t="s">
        <v>827</v>
      </c>
      <c r="C721">
        <v>2858</v>
      </c>
      <c r="D721">
        <v>482</v>
      </c>
      <c r="E721" s="5">
        <v>0.16864940517844601</v>
      </c>
      <c r="F721">
        <v>13</v>
      </c>
      <c r="G721" t="s">
        <v>13</v>
      </c>
      <c r="H721" t="s">
        <v>14</v>
      </c>
      <c r="I721" t="s">
        <v>65</v>
      </c>
      <c r="J721" s="1">
        <v>45436</v>
      </c>
      <c r="K721" t="s">
        <v>71</v>
      </c>
      <c r="L721" t="s">
        <v>86</v>
      </c>
      <c r="M721" t="s">
        <v>1473</v>
      </c>
      <c r="N721">
        <v>2024</v>
      </c>
    </row>
    <row r="722" spans="1:14" x14ac:dyDescent="0.25">
      <c r="A722" t="s">
        <v>828</v>
      </c>
      <c r="B722" t="s">
        <v>829</v>
      </c>
      <c r="C722">
        <v>2137</v>
      </c>
      <c r="D722">
        <v>638</v>
      </c>
      <c r="E722" s="5">
        <v>0.29854936827327999</v>
      </c>
      <c r="F722">
        <v>12</v>
      </c>
      <c r="G722" t="s">
        <v>45</v>
      </c>
      <c r="H722" t="s">
        <v>109</v>
      </c>
      <c r="I722" t="s">
        <v>32</v>
      </c>
      <c r="J722" s="1">
        <v>44106</v>
      </c>
      <c r="K722" t="s">
        <v>25</v>
      </c>
      <c r="L722" t="s">
        <v>51</v>
      </c>
      <c r="M722" t="s">
        <v>1474</v>
      </c>
      <c r="N722">
        <v>2020</v>
      </c>
    </row>
    <row r="723" spans="1:14" x14ac:dyDescent="0.25">
      <c r="A723" t="s">
        <v>828</v>
      </c>
      <c r="B723" t="s">
        <v>829</v>
      </c>
      <c r="C723">
        <v>2831</v>
      </c>
      <c r="D723">
        <v>1289</v>
      </c>
      <c r="E723" s="5">
        <v>0.45531614270575799</v>
      </c>
      <c r="F723">
        <v>12</v>
      </c>
      <c r="G723" t="s">
        <v>45</v>
      </c>
      <c r="H723" t="s">
        <v>49</v>
      </c>
      <c r="I723" t="s">
        <v>32</v>
      </c>
      <c r="J723" s="1">
        <v>44106</v>
      </c>
      <c r="K723" t="s">
        <v>25</v>
      </c>
      <c r="L723" t="s">
        <v>51</v>
      </c>
      <c r="M723" t="s">
        <v>1474</v>
      </c>
      <c r="N723">
        <v>2020</v>
      </c>
    </row>
    <row r="724" spans="1:14" x14ac:dyDescent="0.25">
      <c r="A724" t="s">
        <v>830</v>
      </c>
      <c r="B724" t="s">
        <v>831</v>
      </c>
      <c r="C724">
        <v>3913</v>
      </c>
      <c r="D724">
        <v>961</v>
      </c>
      <c r="E724" s="5">
        <v>0.24559161768464099</v>
      </c>
      <c r="F724">
        <v>15</v>
      </c>
      <c r="G724" t="s">
        <v>45</v>
      </c>
      <c r="H724" t="s">
        <v>60</v>
      </c>
      <c r="I724" t="s">
        <v>15</v>
      </c>
      <c r="J724" s="1">
        <v>45332</v>
      </c>
      <c r="K724" t="s">
        <v>98</v>
      </c>
      <c r="L724" t="s">
        <v>99</v>
      </c>
      <c r="M724" t="s">
        <v>1477</v>
      </c>
      <c r="N724">
        <v>2024</v>
      </c>
    </row>
    <row r="725" spans="1:14" x14ac:dyDescent="0.25">
      <c r="A725" t="s">
        <v>830</v>
      </c>
      <c r="B725" t="s">
        <v>832</v>
      </c>
      <c r="C725">
        <v>3913</v>
      </c>
      <c r="D725">
        <v>961</v>
      </c>
      <c r="E725" s="5">
        <v>0.24559161768464099</v>
      </c>
      <c r="F725">
        <v>15</v>
      </c>
      <c r="G725" t="s">
        <v>45</v>
      </c>
      <c r="H725" t="s">
        <v>60</v>
      </c>
      <c r="I725" t="s">
        <v>15</v>
      </c>
      <c r="J725" s="1">
        <v>44233</v>
      </c>
      <c r="K725" t="s">
        <v>42</v>
      </c>
      <c r="L725" t="s">
        <v>92</v>
      </c>
      <c r="M725" t="s">
        <v>1477</v>
      </c>
      <c r="N725">
        <v>2021</v>
      </c>
    </row>
    <row r="726" spans="1:14" x14ac:dyDescent="0.25">
      <c r="A726" t="s">
        <v>833</v>
      </c>
      <c r="B726" t="s">
        <v>834</v>
      </c>
      <c r="C726">
        <v>4468</v>
      </c>
      <c r="D726">
        <v>1940</v>
      </c>
      <c r="E726" s="5">
        <v>0.43419874664279301</v>
      </c>
      <c r="F726">
        <v>9</v>
      </c>
      <c r="G726" t="s">
        <v>30</v>
      </c>
      <c r="H726" t="s">
        <v>64</v>
      </c>
      <c r="I726" t="s">
        <v>65</v>
      </c>
      <c r="J726" s="1">
        <v>44636</v>
      </c>
      <c r="K726" t="s">
        <v>17</v>
      </c>
      <c r="L726" t="s">
        <v>150</v>
      </c>
      <c r="M726" t="s">
        <v>1476</v>
      </c>
      <c r="N726">
        <v>2022</v>
      </c>
    </row>
    <row r="727" spans="1:14" x14ac:dyDescent="0.25">
      <c r="A727" t="s">
        <v>835</v>
      </c>
      <c r="B727" t="s">
        <v>836</v>
      </c>
      <c r="C727">
        <v>1579</v>
      </c>
      <c r="D727">
        <v>602</v>
      </c>
      <c r="E727" s="5">
        <v>0.38125395820139302</v>
      </c>
      <c r="F727">
        <v>9</v>
      </c>
      <c r="G727" t="s">
        <v>13</v>
      </c>
      <c r="H727" t="s">
        <v>39</v>
      </c>
      <c r="I727" t="s">
        <v>47</v>
      </c>
      <c r="J727" s="1">
        <v>43975</v>
      </c>
      <c r="K727" t="s">
        <v>98</v>
      </c>
      <c r="L727" t="s">
        <v>107</v>
      </c>
      <c r="M727" t="s">
        <v>1473</v>
      </c>
      <c r="N727">
        <v>2020</v>
      </c>
    </row>
    <row r="728" spans="1:14" x14ac:dyDescent="0.25">
      <c r="A728" t="s">
        <v>835</v>
      </c>
      <c r="B728" t="s">
        <v>837</v>
      </c>
      <c r="C728">
        <v>1579</v>
      </c>
      <c r="D728">
        <v>602</v>
      </c>
      <c r="E728" s="5">
        <v>0.38125395820139302</v>
      </c>
      <c r="F728">
        <v>9</v>
      </c>
      <c r="G728" t="s">
        <v>13</v>
      </c>
      <c r="H728" t="s">
        <v>39</v>
      </c>
      <c r="I728" t="s">
        <v>47</v>
      </c>
      <c r="J728" s="1">
        <v>45704</v>
      </c>
      <c r="K728" t="s">
        <v>71</v>
      </c>
      <c r="L728" t="s">
        <v>72</v>
      </c>
      <c r="M728" t="s">
        <v>1477</v>
      </c>
      <c r="N728">
        <v>2025</v>
      </c>
    </row>
    <row r="729" spans="1:14" x14ac:dyDescent="0.25">
      <c r="A729" t="s">
        <v>835</v>
      </c>
      <c r="B729" t="s">
        <v>838</v>
      </c>
      <c r="C729">
        <v>1579</v>
      </c>
      <c r="D729">
        <v>602</v>
      </c>
      <c r="E729" s="5">
        <v>0.38125395820139302</v>
      </c>
      <c r="F729">
        <v>9</v>
      </c>
      <c r="G729" t="s">
        <v>13</v>
      </c>
      <c r="H729" t="s">
        <v>39</v>
      </c>
      <c r="I729" t="s">
        <v>47</v>
      </c>
      <c r="J729" s="1">
        <v>44516</v>
      </c>
      <c r="K729" t="s">
        <v>98</v>
      </c>
      <c r="L729" t="s">
        <v>107</v>
      </c>
      <c r="M729" t="s">
        <v>1475</v>
      </c>
      <c r="N729">
        <v>2021</v>
      </c>
    </row>
    <row r="730" spans="1:14" x14ac:dyDescent="0.25">
      <c r="A730" t="s">
        <v>835</v>
      </c>
      <c r="B730" t="s">
        <v>839</v>
      </c>
      <c r="C730">
        <v>1579</v>
      </c>
      <c r="D730">
        <v>602</v>
      </c>
      <c r="E730" s="5">
        <v>0.38125395820139302</v>
      </c>
      <c r="F730">
        <v>9</v>
      </c>
      <c r="G730" t="s">
        <v>13</v>
      </c>
      <c r="H730" t="s">
        <v>39</v>
      </c>
      <c r="I730" t="s">
        <v>47</v>
      </c>
      <c r="J730" s="1">
        <v>45543</v>
      </c>
      <c r="K730" t="s">
        <v>25</v>
      </c>
      <c r="L730" t="s">
        <v>68</v>
      </c>
      <c r="M730" t="s">
        <v>1480</v>
      </c>
      <c r="N730">
        <v>2024</v>
      </c>
    </row>
    <row r="731" spans="1:14" x14ac:dyDescent="0.25">
      <c r="A731" t="s">
        <v>835</v>
      </c>
      <c r="B731" t="s">
        <v>836</v>
      </c>
      <c r="C731">
        <v>3760</v>
      </c>
      <c r="D731">
        <v>1849</v>
      </c>
      <c r="E731" s="5">
        <v>0.491755319148936</v>
      </c>
      <c r="F731">
        <v>19</v>
      </c>
      <c r="G731" t="s">
        <v>45</v>
      </c>
      <c r="H731" t="s">
        <v>49</v>
      </c>
      <c r="I731" t="s">
        <v>40</v>
      </c>
      <c r="J731" s="1">
        <v>43975</v>
      </c>
      <c r="K731" t="s">
        <v>98</v>
      </c>
      <c r="L731" t="s">
        <v>107</v>
      </c>
      <c r="M731" t="s">
        <v>1473</v>
      </c>
      <c r="N731">
        <v>2020</v>
      </c>
    </row>
    <row r="732" spans="1:14" x14ac:dyDescent="0.25">
      <c r="A732" t="s">
        <v>835</v>
      </c>
      <c r="B732" t="s">
        <v>837</v>
      </c>
      <c r="C732">
        <v>3760</v>
      </c>
      <c r="D732">
        <v>1849</v>
      </c>
      <c r="E732" s="5">
        <v>0.491755319148936</v>
      </c>
      <c r="F732">
        <v>19</v>
      </c>
      <c r="G732" t="s">
        <v>45</v>
      </c>
      <c r="H732" t="s">
        <v>49</v>
      </c>
      <c r="I732" t="s">
        <v>40</v>
      </c>
      <c r="J732" s="1">
        <v>45704</v>
      </c>
      <c r="K732" t="s">
        <v>71</v>
      </c>
      <c r="L732" t="s">
        <v>72</v>
      </c>
      <c r="M732" t="s">
        <v>1477</v>
      </c>
      <c r="N732">
        <v>2025</v>
      </c>
    </row>
    <row r="733" spans="1:14" x14ac:dyDescent="0.25">
      <c r="A733" t="s">
        <v>835</v>
      </c>
      <c r="B733" t="s">
        <v>838</v>
      </c>
      <c r="C733">
        <v>3760</v>
      </c>
      <c r="D733">
        <v>1849</v>
      </c>
      <c r="E733" s="5">
        <v>0.491755319148936</v>
      </c>
      <c r="F733">
        <v>19</v>
      </c>
      <c r="G733" t="s">
        <v>45</v>
      </c>
      <c r="H733" t="s">
        <v>49</v>
      </c>
      <c r="I733" t="s">
        <v>40</v>
      </c>
      <c r="J733" s="1">
        <v>44516</v>
      </c>
      <c r="K733" t="s">
        <v>98</v>
      </c>
      <c r="L733" t="s">
        <v>107</v>
      </c>
      <c r="M733" t="s">
        <v>1475</v>
      </c>
      <c r="N733">
        <v>2021</v>
      </c>
    </row>
    <row r="734" spans="1:14" x14ac:dyDescent="0.25">
      <c r="A734" t="s">
        <v>835</v>
      </c>
      <c r="B734" t="s">
        <v>839</v>
      </c>
      <c r="C734">
        <v>3760</v>
      </c>
      <c r="D734">
        <v>1849</v>
      </c>
      <c r="E734" s="5">
        <v>0.491755319148936</v>
      </c>
      <c r="F734">
        <v>19</v>
      </c>
      <c r="G734" t="s">
        <v>45</v>
      </c>
      <c r="H734" t="s">
        <v>49</v>
      </c>
      <c r="I734" t="s">
        <v>40</v>
      </c>
      <c r="J734" s="1">
        <v>45543</v>
      </c>
      <c r="K734" t="s">
        <v>25</v>
      </c>
      <c r="L734" t="s">
        <v>68</v>
      </c>
      <c r="M734" t="s">
        <v>1480</v>
      </c>
      <c r="N734">
        <v>2024</v>
      </c>
    </row>
    <row r="735" spans="1:14" x14ac:dyDescent="0.25">
      <c r="A735" t="s">
        <v>840</v>
      </c>
      <c r="B735" t="s">
        <v>841</v>
      </c>
      <c r="C735">
        <v>8706</v>
      </c>
      <c r="D735">
        <v>3099</v>
      </c>
      <c r="E735" s="5">
        <v>0.35596140592694703</v>
      </c>
      <c r="F735">
        <v>14</v>
      </c>
      <c r="G735" t="s">
        <v>30</v>
      </c>
      <c r="H735" t="s">
        <v>31</v>
      </c>
      <c r="I735" t="s">
        <v>47</v>
      </c>
      <c r="J735" s="1">
        <v>44741</v>
      </c>
      <c r="K735" t="s">
        <v>21</v>
      </c>
      <c r="L735" t="s">
        <v>22</v>
      </c>
      <c r="M735" t="s">
        <v>1470</v>
      </c>
      <c r="N735">
        <v>2022</v>
      </c>
    </row>
    <row r="736" spans="1:14" x14ac:dyDescent="0.25">
      <c r="A736" t="s">
        <v>840</v>
      </c>
      <c r="B736" t="s">
        <v>841</v>
      </c>
      <c r="C736">
        <v>4708</v>
      </c>
      <c r="D736">
        <v>696</v>
      </c>
      <c r="E736" s="5">
        <v>0.14783347493627899</v>
      </c>
      <c r="F736">
        <v>14</v>
      </c>
      <c r="G736" t="s">
        <v>13</v>
      </c>
      <c r="H736" t="s">
        <v>14</v>
      </c>
      <c r="I736" t="s">
        <v>47</v>
      </c>
      <c r="J736" s="1">
        <v>44741</v>
      </c>
      <c r="K736" t="s">
        <v>21</v>
      </c>
      <c r="L736" t="s">
        <v>22</v>
      </c>
      <c r="M736" t="s">
        <v>1470</v>
      </c>
      <c r="N736">
        <v>2022</v>
      </c>
    </row>
    <row r="737" spans="1:14" x14ac:dyDescent="0.25">
      <c r="A737" t="s">
        <v>840</v>
      </c>
      <c r="B737" t="s">
        <v>841</v>
      </c>
      <c r="C737">
        <v>8089</v>
      </c>
      <c r="D737">
        <v>3132</v>
      </c>
      <c r="E737" s="5">
        <v>0.38719248361973002</v>
      </c>
      <c r="F737">
        <v>17</v>
      </c>
      <c r="G737" t="s">
        <v>45</v>
      </c>
      <c r="H737" t="s">
        <v>49</v>
      </c>
      <c r="I737" t="s">
        <v>65</v>
      </c>
      <c r="J737" s="1">
        <v>44741</v>
      </c>
      <c r="K737" t="s">
        <v>21</v>
      </c>
      <c r="L737" t="s">
        <v>22</v>
      </c>
      <c r="M737" t="s">
        <v>1470</v>
      </c>
      <c r="N737">
        <v>2022</v>
      </c>
    </row>
    <row r="738" spans="1:14" x14ac:dyDescent="0.25">
      <c r="A738" t="s">
        <v>842</v>
      </c>
      <c r="B738" t="s">
        <v>843</v>
      </c>
      <c r="C738">
        <v>5462</v>
      </c>
      <c r="D738">
        <v>673</v>
      </c>
      <c r="E738" s="5">
        <v>0.12321493958257</v>
      </c>
      <c r="F738">
        <v>12</v>
      </c>
      <c r="G738" t="s">
        <v>13</v>
      </c>
      <c r="H738" t="s">
        <v>28</v>
      </c>
      <c r="I738" t="s">
        <v>32</v>
      </c>
      <c r="J738" s="1">
        <v>44868</v>
      </c>
      <c r="K738" t="s">
        <v>71</v>
      </c>
      <c r="L738" t="s">
        <v>86</v>
      </c>
      <c r="M738" t="s">
        <v>1475</v>
      </c>
      <c r="N738">
        <v>2022</v>
      </c>
    </row>
    <row r="739" spans="1:14" x14ac:dyDescent="0.25">
      <c r="A739" t="s">
        <v>844</v>
      </c>
      <c r="B739" t="s">
        <v>845</v>
      </c>
      <c r="C739">
        <v>6392</v>
      </c>
      <c r="D739">
        <v>444</v>
      </c>
      <c r="E739" s="5">
        <v>6.9461827284105104E-2</v>
      </c>
      <c r="F739">
        <v>18</v>
      </c>
      <c r="G739" t="s">
        <v>13</v>
      </c>
      <c r="H739" t="s">
        <v>14</v>
      </c>
      <c r="I739" t="s">
        <v>47</v>
      </c>
      <c r="J739" s="1">
        <v>45258</v>
      </c>
      <c r="K739" t="s">
        <v>17</v>
      </c>
      <c r="L739" t="s">
        <v>150</v>
      </c>
      <c r="M739" t="s">
        <v>1475</v>
      </c>
      <c r="N739">
        <v>2023</v>
      </c>
    </row>
    <row r="740" spans="1:14" x14ac:dyDescent="0.25">
      <c r="A740" t="s">
        <v>846</v>
      </c>
      <c r="B740" t="s">
        <v>847</v>
      </c>
      <c r="C740">
        <v>8706</v>
      </c>
      <c r="D740">
        <v>1724</v>
      </c>
      <c r="E740" s="5">
        <v>0.198024351022284</v>
      </c>
      <c r="F740">
        <v>3</v>
      </c>
      <c r="G740" t="s">
        <v>13</v>
      </c>
      <c r="H740" t="s">
        <v>14</v>
      </c>
      <c r="I740" t="s">
        <v>32</v>
      </c>
      <c r="J740" s="1">
        <v>43946</v>
      </c>
      <c r="K740" t="s">
        <v>17</v>
      </c>
      <c r="L740" t="s">
        <v>34</v>
      </c>
      <c r="M740" t="s">
        <v>1481</v>
      </c>
      <c r="N740">
        <v>2020</v>
      </c>
    </row>
    <row r="741" spans="1:14" x14ac:dyDescent="0.25">
      <c r="A741" t="s">
        <v>848</v>
      </c>
      <c r="B741" t="s">
        <v>849</v>
      </c>
      <c r="C741">
        <v>2349</v>
      </c>
      <c r="D741">
        <v>319</v>
      </c>
      <c r="E741" s="5">
        <v>0.13580246913580199</v>
      </c>
      <c r="F741">
        <v>4</v>
      </c>
      <c r="G741" t="s">
        <v>30</v>
      </c>
      <c r="H741" t="s">
        <v>31</v>
      </c>
      <c r="I741" t="s">
        <v>15</v>
      </c>
      <c r="J741" s="1">
        <v>44579</v>
      </c>
      <c r="K741" t="s">
        <v>17</v>
      </c>
      <c r="L741" t="s">
        <v>18</v>
      </c>
      <c r="M741" t="s">
        <v>1478</v>
      </c>
      <c r="N741">
        <v>2022</v>
      </c>
    </row>
    <row r="742" spans="1:14" x14ac:dyDescent="0.25">
      <c r="A742" t="s">
        <v>848</v>
      </c>
      <c r="B742" t="s">
        <v>849</v>
      </c>
      <c r="C742">
        <v>8220</v>
      </c>
      <c r="D742">
        <v>3882</v>
      </c>
      <c r="E742" s="5">
        <v>0.47226277372262798</v>
      </c>
      <c r="F742">
        <v>14</v>
      </c>
      <c r="G742" t="s">
        <v>45</v>
      </c>
      <c r="H742" t="s">
        <v>49</v>
      </c>
      <c r="I742" t="s">
        <v>15</v>
      </c>
      <c r="J742" s="1">
        <v>44579</v>
      </c>
      <c r="K742" t="s">
        <v>17</v>
      </c>
      <c r="L742" t="s">
        <v>18</v>
      </c>
      <c r="M742" t="s">
        <v>1478</v>
      </c>
      <c r="N742">
        <v>2022</v>
      </c>
    </row>
    <row r="743" spans="1:14" x14ac:dyDescent="0.25">
      <c r="A743" t="s">
        <v>848</v>
      </c>
      <c r="B743" t="s">
        <v>849</v>
      </c>
      <c r="C743">
        <v>2379</v>
      </c>
      <c r="D743">
        <v>279</v>
      </c>
      <c r="E743" s="5">
        <v>0.117276166456494</v>
      </c>
      <c r="F743">
        <v>7</v>
      </c>
      <c r="G743" t="s">
        <v>45</v>
      </c>
      <c r="H743" t="s">
        <v>49</v>
      </c>
      <c r="I743" t="s">
        <v>32</v>
      </c>
      <c r="J743" s="1">
        <v>44579</v>
      </c>
      <c r="K743" t="s">
        <v>17</v>
      </c>
      <c r="L743" t="s">
        <v>18</v>
      </c>
      <c r="M743" t="s">
        <v>1478</v>
      </c>
      <c r="N743">
        <v>2022</v>
      </c>
    </row>
    <row r="744" spans="1:14" x14ac:dyDescent="0.25">
      <c r="A744" t="s">
        <v>848</v>
      </c>
      <c r="B744" t="s">
        <v>849</v>
      </c>
      <c r="C744">
        <v>7377</v>
      </c>
      <c r="D744">
        <v>2049</v>
      </c>
      <c r="E744" s="5">
        <v>0.27775518503456698</v>
      </c>
      <c r="F744">
        <v>4</v>
      </c>
      <c r="G744" t="s">
        <v>30</v>
      </c>
      <c r="H744" t="s">
        <v>57</v>
      </c>
      <c r="I744" t="s">
        <v>15</v>
      </c>
      <c r="J744" s="1">
        <v>44579</v>
      </c>
      <c r="K744" t="s">
        <v>17</v>
      </c>
      <c r="L744" t="s">
        <v>18</v>
      </c>
      <c r="M744" t="s">
        <v>1478</v>
      </c>
      <c r="N744">
        <v>2022</v>
      </c>
    </row>
    <row r="745" spans="1:14" x14ac:dyDescent="0.25">
      <c r="A745" t="s">
        <v>850</v>
      </c>
      <c r="B745" t="s">
        <v>851</v>
      </c>
      <c r="C745">
        <v>717</v>
      </c>
      <c r="D745">
        <v>158</v>
      </c>
      <c r="E745" s="5">
        <v>0.220362622036262</v>
      </c>
      <c r="F745">
        <v>16</v>
      </c>
      <c r="G745" t="s">
        <v>45</v>
      </c>
      <c r="H745" t="s">
        <v>46</v>
      </c>
      <c r="I745" t="s">
        <v>47</v>
      </c>
      <c r="J745" s="1">
        <v>44643</v>
      </c>
      <c r="K745" t="s">
        <v>98</v>
      </c>
      <c r="L745" t="s">
        <v>117</v>
      </c>
      <c r="M745" t="s">
        <v>1476</v>
      </c>
      <c r="N745">
        <v>2022</v>
      </c>
    </row>
    <row r="746" spans="1:14" x14ac:dyDescent="0.25">
      <c r="A746" t="s">
        <v>850</v>
      </c>
      <c r="B746" t="s">
        <v>852</v>
      </c>
      <c r="C746">
        <v>717</v>
      </c>
      <c r="D746">
        <v>158</v>
      </c>
      <c r="E746" s="5">
        <v>0.220362622036262</v>
      </c>
      <c r="F746">
        <v>16</v>
      </c>
      <c r="G746" t="s">
        <v>45</v>
      </c>
      <c r="H746" t="s">
        <v>46</v>
      </c>
      <c r="I746" t="s">
        <v>47</v>
      </c>
      <c r="J746" s="1">
        <v>44006</v>
      </c>
      <c r="K746" t="s">
        <v>17</v>
      </c>
      <c r="L746" t="s">
        <v>18</v>
      </c>
      <c r="M746" t="s">
        <v>1470</v>
      </c>
      <c r="N746">
        <v>2020</v>
      </c>
    </row>
    <row r="747" spans="1:14" x14ac:dyDescent="0.25">
      <c r="A747" t="s">
        <v>850</v>
      </c>
      <c r="B747" t="s">
        <v>853</v>
      </c>
      <c r="C747">
        <v>717</v>
      </c>
      <c r="D747">
        <v>158</v>
      </c>
      <c r="E747" s="5">
        <v>0.220362622036262</v>
      </c>
      <c r="F747">
        <v>16</v>
      </c>
      <c r="G747" t="s">
        <v>45</v>
      </c>
      <c r="H747" t="s">
        <v>46</v>
      </c>
      <c r="I747" t="s">
        <v>47</v>
      </c>
      <c r="J747" s="1">
        <v>44918</v>
      </c>
      <c r="K747" t="s">
        <v>25</v>
      </c>
      <c r="L747" t="s">
        <v>26</v>
      </c>
      <c r="M747" t="s">
        <v>1471</v>
      </c>
      <c r="N747">
        <v>2022</v>
      </c>
    </row>
    <row r="748" spans="1:14" x14ac:dyDescent="0.25">
      <c r="A748" t="s">
        <v>850</v>
      </c>
      <c r="B748" t="s">
        <v>854</v>
      </c>
      <c r="C748">
        <v>717</v>
      </c>
      <c r="D748">
        <v>158</v>
      </c>
      <c r="E748" s="5">
        <v>0.220362622036262</v>
      </c>
      <c r="F748">
        <v>16</v>
      </c>
      <c r="G748" t="s">
        <v>45</v>
      </c>
      <c r="H748" t="s">
        <v>46</v>
      </c>
      <c r="I748" t="s">
        <v>47</v>
      </c>
      <c r="J748" s="1">
        <v>45620</v>
      </c>
      <c r="K748" t="s">
        <v>25</v>
      </c>
      <c r="L748" t="s">
        <v>51</v>
      </c>
      <c r="M748" t="s">
        <v>1475</v>
      </c>
      <c r="N748">
        <v>2024</v>
      </c>
    </row>
    <row r="749" spans="1:14" x14ac:dyDescent="0.25">
      <c r="A749" t="s">
        <v>850</v>
      </c>
      <c r="B749" t="s">
        <v>855</v>
      </c>
      <c r="C749">
        <v>717</v>
      </c>
      <c r="D749">
        <v>158</v>
      </c>
      <c r="E749" s="5">
        <v>0.220362622036262</v>
      </c>
      <c r="F749">
        <v>16</v>
      </c>
      <c r="G749" t="s">
        <v>45</v>
      </c>
      <c r="H749" t="s">
        <v>46</v>
      </c>
      <c r="I749" t="s">
        <v>47</v>
      </c>
      <c r="J749" s="1">
        <v>44141</v>
      </c>
      <c r="K749" t="s">
        <v>17</v>
      </c>
      <c r="L749" t="s">
        <v>34</v>
      </c>
      <c r="M749" t="s">
        <v>1475</v>
      </c>
      <c r="N749">
        <v>2020</v>
      </c>
    </row>
    <row r="750" spans="1:14" x14ac:dyDescent="0.25">
      <c r="A750" t="s">
        <v>850</v>
      </c>
      <c r="B750" t="s">
        <v>856</v>
      </c>
      <c r="C750">
        <v>717</v>
      </c>
      <c r="D750">
        <v>158</v>
      </c>
      <c r="E750" s="5">
        <v>0.220362622036262</v>
      </c>
      <c r="F750">
        <v>16</v>
      </c>
      <c r="G750" t="s">
        <v>45</v>
      </c>
      <c r="H750" t="s">
        <v>46</v>
      </c>
      <c r="I750" t="s">
        <v>47</v>
      </c>
      <c r="J750" s="1">
        <v>45223</v>
      </c>
      <c r="K750" t="s">
        <v>25</v>
      </c>
      <c r="L750" t="s">
        <v>68</v>
      </c>
      <c r="M750" t="s">
        <v>1474</v>
      </c>
      <c r="N750">
        <v>2023</v>
      </c>
    </row>
    <row r="751" spans="1:14" x14ac:dyDescent="0.25">
      <c r="A751" t="s">
        <v>850</v>
      </c>
      <c r="B751" t="s">
        <v>851</v>
      </c>
      <c r="C751">
        <v>508</v>
      </c>
      <c r="D751">
        <v>177</v>
      </c>
      <c r="E751" s="5">
        <v>0.34842519685039403</v>
      </c>
      <c r="F751">
        <v>17</v>
      </c>
      <c r="G751" t="s">
        <v>45</v>
      </c>
      <c r="H751" t="s">
        <v>60</v>
      </c>
      <c r="I751" t="s">
        <v>15</v>
      </c>
      <c r="J751" s="1">
        <v>44643</v>
      </c>
      <c r="K751" t="s">
        <v>98</v>
      </c>
      <c r="L751" t="s">
        <v>117</v>
      </c>
      <c r="M751" t="s">
        <v>1476</v>
      </c>
      <c r="N751">
        <v>2022</v>
      </c>
    </row>
    <row r="752" spans="1:14" x14ac:dyDescent="0.25">
      <c r="A752" t="s">
        <v>850</v>
      </c>
      <c r="B752" t="s">
        <v>852</v>
      </c>
      <c r="C752">
        <v>508</v>
      </c>
      <c r="D752">
        <v>177</v>
      </c>
      <c r="E752" s="5">
        <v>0.34842519685039403</v>
      </c>
      <c r="F752">
        <v>17</v>
      </c>
      <c r="G752" t="s">
        <v>45</v>
      </c>
      <c r="H752" t="s">
        <v>60</v>
      </c>
      <c r="I752" t="s">
        <v>15</v>
      </c>
      <c r="J752" s="1">
        <v>44006</v>
      </c>
      <c r="K752" t="s">
        <v>17</v>
      </c>
      <c r="L752" t="s">
        <v>18</v>
      </c>
      <c r="M752" t="s">
        <v>1470</v>
      </c>
      <c r="N752">
        <v>2020</v>
      </c>
    </row>
    <row r="753" spans="1:14" x14ac:dyDescent="0.25">
      <c r="A753" t="s">
        <v>850</v>
      </c>
      <c r="B753" t="s">
        <v>853</v>
      </c>
      <c r="C753">
        <v>508</v>
      </c>
      <c r="D753">
        <v>177</v>
      </c>
      <c r="E753" s="5">
        <v>0.34842519685039403</v>
      </c>
      <c r="F753">
        <v>17</v>
      </c>
      <c r="G753" t="s">
        <v>45</v>
      </c>
      <c r="H753" t="s">
        <v>60</v>
      </c>
      <c r="I753" t="s">
        <v>15</v>
      </c>
      <c r="J753" s="1">
        <v>44918</v>
      </c>
      <c r="K753" t="s">
        <v>25</v>
      </c>
      <c r="L753" t="s">
        <v>26</v>
      </c>
      <c r="M753" t="s">
        <v>1471</v>
      </c>
      <c r="N753">
        <v>2022</v>
      </c>
    </row>
    <row r="754" spans="1:14" x14ac:dyDescent="0.25">
      <c r="A754" t="s">
        <v>850</v>
      </c>
      <c r="B754" t="s">
        <v>854</v>
      </c>
      <c r="C754">
        <v>508</v>
      </c>
      <c r="D754">
        <v>177</v>
      </c>
      <c r="E754" s="5">
        <v>0.34842519685039403</v>
      </c>
      <c r="F754">
        <v>17</v>
      </c>
      <c r="G754" t="s">
        <v>45</v>
      </c>
      <c r="H754" t="s">
        <v>60</v>
      </c>
      <c r="I754" t="s">
        <v>15</v>
      </c>
      <c r="J754" s="1">
        <v>45620</v>
      </c>
      <c r="K754" t="s">
        <v>25</v>
      </c>
      <c r="L754" t="s">
        <v>51</v>
      </c>
      <c r="M754" t="s">
        <v>1475</v>
      </c>
      <c r="N754">
        <v>2024</v>
      </c>
    </row>
    <row r="755" spans="1:14" x14ac:dyDescent="0.25">
      <c r="A755" t="s">
        <v>850</v>
      </c>
      <c r="B755" t="s">
        <v>855</v>
      </c>
      <c r="C755">
        <v>508</v>
      </c>
      <c r="D755">
        <v>177</v>
      </c>
      <c r="E755" s="5">
        <v>0.34842519685039403</v>
      </c>
      <c r="F755">
        <v>17</v>
      </c>
      <c r="G755" t="s">
        <v>45</v>
      </c>
      <c r="H755" t="s">
        <v>60</v>
      </c>
      <c r="I755" t="s">
        <v>15</v>
      </c>
      <c r="J755" s="1">
        <v>44141</v>
      </c>
      <c r="K755" t="s">
        <v>17</v>
      </c>
      <c r="L755" t="s">
        <v>34</v>
      </c>
      <c r="M755" t="s">
        <v>1475</v>
      </c>
      <c r="N755">
        <v>2020</v>
      </c>
    </row>
    <row r="756" spans="1:14" x14ac:dyDescent="0.25">
      <c r="A756" t="s">
        <v>850</v>
      </c>
      <c r="B756" t="s">
        <v>856</v>
      </c>
      <c r="C756">
        <v>508</v>
      </c>
      <c r="D756">
        <v>177</v>
      </c>
      <c r="E756" s="5">
        <v>0.34842519685039403</v>
      </c>
      <c r="F756">
        <v>17</v>
      </c>
      <c r="G756" t="s">
        <v>45</v>
      </c>
      <c r="H756" t="s">
        <v>60</v>
      </c>
      <c r="I756" t="s">
        <v>15</v>
      </c>
      <c r="J756" s="1">
        <v>45223</v>
      </c>
      <c r="K756" t="s">
        <v>25</v>
      </c>
      <c r="L756" t="s">
        <v>68</v>
      </c>
      <c r="M756" t="s">
        <v>1474</v>
      </c>
      <c r="N756">
        <v>2023</v>
      </c>
    </row>
    <row r="757" spans="1:14" x14ac:dyDescent="0.25">
      <c r="A757" t="s">
        <v>857</v>
      </c>
      <c r="B757" t="s">
        <v>858</v>
      </c>
      <c r="C757">
        <v>9382</v>
      </c>
      <c r="D757">
        <v>1085</v>
      </c>
      <c r="E757" s="5">
        <v>0.115646983585589</v>
      </c>
      <c r="F757">
        <v>3</v>
      </c>
      <c r="G757" t="s">
        <v>13</v>
      </c>
      <c r="H757" t="s">
        <v>28</v>
      </c>
      <c r="I757" t="s">
        <v>32</v>
      </c>
      <c r="J757" s="1">
        <v>45125</v>
      </c>
      <c r="K757" t="s">
        <v>21</v>
      </c>
      <c r="L757" t="s">
        <v>22</v>
      </c>
      <c r="M757" t="s">
        <v>1472</v>
      </c>
      <c r="N757">
        <v>2023</v>
      </c>
    </row>
    <row r="758" spans="1:14" x14ac:dyDescent="0.25">
      <c r="A758" t="s">
        <v>857</v>
      </c>
      <c r="B758" t="s">
        <v>859</v>
      </c>
      <c r="C758">
        <v>9382</v>
      </c>
      <c r="D758">
        <v>1085</v>
      </c>
      <c r="E758" s="5">
        <v>0.115646983585589</v>
      </c>
      <c r="F758">
        <v>3</v>
      </c>
      <c r="G758" t="s">
        <v>13</v>
      </c>
      <c r="H758" t="s">
        <v>28</v>
      </c>
      <c r="I758" t="s">
        <v>32</v>
      </c>
      <c r="J758" s="1">
        <v>44697</v>
      </c>
      <c r="K758" t="s">
        <v>25</v>
      </c>
      <c r="L758" t="s">
        <v>68</v>
      </c>
      <c r="M758" t="s">
        <v>1473</v>
      </c>
      <c r="N758">
        <v>2022</v>
      </c>
    </row>
    <row r="759" spans="1:14" x14ac:dyDescent="0.25">
      <c r="A759" t="s">
        <v>857</v>
      </c>
      <c r="B759" t="s">
        <v>858</v>
      </c>
      <c r="C759">
        <v>4936</v>
      </c>
      <c r="D759">
        <v>576</v>
      </c>
      <c r="E759" s="5">
        <v>0.116693679092382</v>
      </c>
      <c r="F759">
        <v>19</v>
      </c>
      <c r="G759" t="s">
        <v>45</v>
      </c>
      <c r="H759" t="s">
        <v>46</v>
      </c>
      <c r="I759" t="s">
        <v>65</v>
      </c>
      <c r="J759" s="1">
        <v>45125</v>
      </c>
      <c r="K759" t="s">
        <v>21</v>
      </c>
      <c r="L759" t="s">
        <v>22</v>
      </c>
      <c r="M759" t="s">
        <v>1472</v>
      </c>
      <c r="N759">
        <v>2023</v>
      </c>
    </row>
    <row r="760" spans="1:14" x14ac:dyDescent="0.25">
      <c r="A760" t="s">
        <v>857</v>
      </c>
      <c r="B760" t="s">
        <v>859</v>
      </c>
      <c r="C760">
        <v>4936</v>
      </c>
      <c r="D760">
        <v>576</v>
      </c>
      <c r="E760" s="5">
        <v>0.116693679092382</v>
      </c>
      <c r="F760">
        <v>19</v>
      </c>
      <c r="G760" t="s">
        <v>45</v>
      </c>
      <c r="H760" t="s">
        <v>46</v>
      </c>
      <c r="I760" t="s">
        <v>65</v>
      </c>
      <c r="J760" s="1">
        <v>44697</v>
      </c>
      <c r="K760" t="s">
        <v>25</v>
      </c>
      <c r="L760" t="s">
        <v>68</v>
      </c>
      <c r="M760" t="s">
        <v>1473</v>
      </c>
      <c r="N760">
        <v>2022</v>
      </c>
    </row>
    <row r="761" spans="1:14" x14ac:dyDescent="0.25">
      <c r="A761" t="s">
        <v>860</v>
      </c>
      <c r="B761" t="s">
        <v>861</v>
      </c>
      <c r="C761">
        <v>2663</v>
      </c>
      <c r="D761">
        <v>64</v>
      </c>
      <c r="E761" s="5">
        <v>2.4033045437476499E-2</v>
      </c>
      <c r="F761">
        <v>19</v>
      </c>
      <c r="G761" t="s">
        <v>45</v>
      </c>
      <c r="H761" t="s">
        <v>60</v>
      </c>
      <c r="I761" t="s">
        <v>65</v>
      </c>
      <c r="J761" s="1">
        <v>45459</v>
      </c>
      <c r="K761" t="s">
        <v>42</v>
      </c>
      <c r="L761" t="s">
        <v>92</v>
      </c>
      <c r="M761" t="s">
        <v>1470</v>
      </c>
      <c r="N761">
        <v>2024</v>
      </c>
    </row>
    <row r="762" spans="1:14" x14ac:dyDescent="0.25">
      <c r="A762" t="s">
        <v>860</v>
      </c>
      <c r="B762" t="s">
        <v>862</v>
      </c>
      <c r="C762">
        <v>2663</v>
      </c>
      <c r="D762">
        <v>64</v>
      </c>
      <c r="E762" s="5">
        <v>2.4033045437476499E-2</v>
      </c>
      <c r="F762">
        <v>19</v>
      </c>
      <c r="G762" t="s">
        <v>45</v>
      </c>
      <c r="H762" t="s">
        <v>60</v>
      </c>
      <c r="I762" t="s">
        <v>65</v>
      </c>
      <c r="J762" s="1">
        <v>44492</v>
      </c>
      <c r="K762" t="s">
        <v>98</v>
      </c>
      <c r="L762" t="s">
        <v>117</v>
      </c>
      <c r="M762" t="s">
        <v>1474</v>
      </c>
      <c r="N762">
        <v>2021</v>
      </c>
    </row>
    <row r="763" spans="1:14" x14ac:dyDescent="0.25">
      <c r="A763" t="s">
        <v>863</v>
      </c>
      <c r="B763" t="s">
        <v>864</v>
      </c>
      <c r="C763">
        <v>5151</v>
      </c>
      <c r="D763">
        <v>1680</v>
      </c>
      <c r="E763" s="5">
        <v>0.32615026208503201</v>
      </c>
      <c r="F763">
        <v>5</v>
      </c>
      <c r="G763" t="s">
        <v>13</v>
      </c>
      <c r="H763" t="s">
        <v>28</v>
      </c>
      <c r="I763" t="s">
        <v>40</v>
      </c>
      <c r="J763" s="1">
        <v>44856</v>
      </c>
      <c r="K763" t="s">
        <v>71</v>
      </c>
      <c r="L763" t="s">
        <v>138</v>
      </c>
      <c r="M763" t="s">
        <v>1474</v>
      </c>
      <c r="N763">
        <v>2022</v>
      </c>
    </row>
    <row r="764" spans="1:14" x14ac:dyDescent="0.25">
      <c r="A764" t="s">
        <v>865</v>
      </c>
      <c r="B764" t="s">
        <v>866</v>
      </c>
      <c r="C764">
        <v>2514</v>
      </c>
      <c r="D764">
        <v>95</v>
      </c>
      <c r="E764" s="5">
        <v>3.7788385043755E-2</v>
      </c>
      <c r="F764">
        <v>8</v>
      </c>
      <c r="G764" t="s">
        <v>30</v>
      </c>
      <c r="H764" t="s">
        <v>31</v>
      </c>
      <c r="I764" t="s">
        <v>15</v>
      </c>
      <c r="J764" s="1">
        <v>45124</v>
      </c>
      <c r="K764" t="s">
        <v>25</v>
      </c>
      <c r="L764" t="s">
        <v>68</v>
      </c>
      <c r="M764" t="s">
        <v>1472</v>
      </c>
      <c r="N764">
        <v>2023</v>
      </c>
    </row>
    <row r="765" spans="1:14" x14ac:dyDescent="0.25">
      <c r="A765" t="s">
        <v>867</v>
      </c>
      <c r="B765" t="s">
        <v>868</v>
      </c>
      <c r="C765">
        <v>6129</v>
      </c>
      <c r="D765">
        <v>2976</v>
      </c>
      <c r="E765" s="5">
        <v>0.48556045031815998</v>
      </c>
      <c r="F765">
        <v>2</v>
      </c>
      <c r="G765" t="s">
        <v>13</v>
      </c>
      <c r="H765" t="s">
        <v>39</v>
      </c>
      <c r="I765" t="s">
        <v>40</v>
      </c>
      <c r="J765" s="1">
        <v>45712</v>
      </c>
      <c r="K765" t="s">
        <v>25</v>
      </c>
      <c r="L765" t="s">
        <v>51</v>
      </c>
      <c r="M765" t="s">
        <v>1477</v>
      </c>
      <c r="N765">
        <v>2025</v>
      </c>
    </row>
    <row r="766" spans="1:14" x14ac:dyDescent="0.25">
      <c r="A766" t="s">
        <v>867</v>
      </c>
      <c r="B766" t="s">
        <v>868</v>
      </c>
      <c r="C766">
        <v>4395</v>
      </c>
      <c r="D766">
        <v>1663</v>
      </c>
      <c r="E766" s="5">
        <v>0.37838452787258198</v>
      </c>
      <c r="F766">
        <v>3</v>
      </c>
      <c r="G766" t="s">
        <v>45</v>
      </c>
      <c r="H766" t="s">
        <v>109</v>
      </c>
      <c r="I766" t="s">
        <v>65</v>
      </c>
      <c r="J766" s="1">
        <v>45712</v>
      </c>
      <c r="K766" t="s">
        <v>25</v>
      </c>
      <c r="L766" t="s">
        <v>51</v>
      </c>
      <c r="M766" t="s">
        <v>1477</v>
      </c>
      <c r="N766">
        <v>2025</v>
      </c>
    </row>
    <row r="767" spans="1:14" x14ac:dyDescent="0.25">
      <c r="A767" t="s">
        <v>869</v>
      </c>
      <c r="B767" t="s">
        <v>870</v>
      </c>
      <c r="C767">
        <v>5393</v>
      </c>
      <c r="D767">
        <v>2642</v>
      </c>
      <c r="E767" s="5">
        <v>0.489894307435565</v>
      </c>
      <c r="F767">
        <v>8</v>
      </c>
      <c r="G767" t="s">
        <v>45</v>
      </c>
      <c r="H767" t="s">
        <v>49</v>
      </c>
      <c r="I767" t="s">
        <v>15</v>
      </c>
      <c r="J767" s="1">
        <v>44262</v>
      </c>
      <c r="K767" t="s">
        <v>98</v>
      </c>
      <c r="L767" t="s">
        <v>107</v>
      </c>
      <c r="M767" t="s">
        <v>1476</v>
      </c>
      <c r="N767">
        <v>2021</v>
      </c>
    </row>
    <row r="768" spans="1:14" x14ac:dyDescent="0.25">
      <c r="A768" t="s">
        <v>871</v>
      </c>
      <c r="B768" t="s">
        <v>872</v>
      </c>
      <c r="C768">
        <v>2280</v>
      </c>
      <c r="D768">
        <v>509</v>
      </c>
      <c r="E768" s="5">
        <v>0.223245614035088</v>
      </c>
      <c r="F768">
        <v>8</v>
      </c>
      <c r="G768" t="s">
        <v>13</v>
      </c>
      <c r="H768" t="s">
        <v>82</v>
      </c>
      <c r="I768" t="s">
        <v>47</v>
      </c>
      <c r="J768" s="1">
        <v>44199</v>
      </c>
      <c r="K768" t="s">
        <v>25</v>
      </c>
      <c r="L768" t="s">
        <v>26</v>
      </c>
      <c r="M768" t="s">
        <v>1478</v>
      </c>
      <c r="N768">
        <v>2021</v>
      </c>
    </row>
    <row r="769" spans="1:14" x14ac:dyDescent="0.25">
      <c r="A769" t="s">
        <v>873</v>
      </c>
      <c r="B769" t="s">
        <v>874</v>
      </c>
      <c r="C769">
        <v>6596</v>
      </c>
      <c r="D769">
        <v>1439</v>
      </c>
      <c r="E769" s="5">
        <v>0.21816252274105499</v>
      </c>
      <c r="F769">
        <v>9</v>
      </c>
      <c r="G769" t="s">
        <v>30</v>
      </c>
      <c r="H769" t="s">
        <v>64</v>
      </c>
      <c r="I769" t="s">
        <v>32</v>
      </c>
      <c r="J769" s="1">
        <v>45049</v>
      </c>
      <c r="K769" t="s">
        <v>98</v>
      </c>
      <c r="L769" t="s">
        <v>107</v>
      </c>
      <c r="M769" t="s">
        <v>1473</v>
      </c>
      <c r="N769">
        <v>2023</v>
      </c>
    </row>
    <row r="770" spans="1:14" x14ac:dyDescent="0.25">
      <c r="A770" t="s">
        <v>875</v>
      </c>
      <c r="B770" t="s">
        <v>876</v>
      </c>
      <c r="C770">
        <v>4510</v>
      </c>
      <c r="D770">
        <v>1896</v>
      </c>
      <c r="E770" s="5">
        <v>0.42039911308203998</v>
      </c>
      <c r="F770">
        <v>5</v>
      </c>
      <c r="G770" t="s">
        <v>30</v>
      </c>
      <c r="H770" t="s">
        <v>64</v>
      </c>
      <c r="I770" t="s">
        <v>40</v>
      </c>
      <c r="J770" s="1">
        <v>45224</v>
      </c>
      <c r="K770" t="s">
        <v>42</v>
      </c>
      <c r="L770" t="s">
        <v>43</v>
      </c>
      <c r="M770" t="s">
        <v>1474</v>
      </c>
      <c r="N770">
        <v>2023</v>
      </c>
    </row>
    <row r="771" spans="1:14" x14ac:dyDescent="0.25">
      <c r="A771" t="s">
        <v>877</v>
      </c>
      <c r="B771" t="s">
        <v>878</v>
      </c>
      <c r="C771">
        <v>6077</v>
      </c>
      <c r="D771">
        <v>2378</v>
      </c>
      <c r="E771" s="5">
        <v>0.39131150238604601</v>
      </c>
      <c r="F771">
        <v>18</v>
      </c>
      <c r="G771" t="s">
        <v>13</v>
      </c>
      <c r="H771" t="s">
        <v>82</v>
      </c>
      <c r="I771" t="s">
        <v>65</v>
      </c>
      <c r="J771" s="1">
        <v>44794</v>
      </c>
      <c r="K771" t="s">
        <v>25</v>
      </c>
      <c r="L771" t="s">
        <v>51</v>
      </c>
      <c r="M771" t="s">
        <v>1479</v>
      </c>
      <c r="N771">
        <v>2022</v>
      </c>
    </row>
    <row r="772" spans="1:14" x14ac:dyDescent="0.25">
      <c r="A772" t="s">
        <v>879</v>
      </c>
      <c r="B772" t="s">
        <v>880</v>
      </c>
      <c r="C772">
        <v>5379</v>
      </c>
      <c r="D772">
        <v>2510</v>
      </c>
      <c r="E772" s="5">
        <v>0.466629485034393</v>
      </c>
      <c r="F772">
        <v>17</v>
      </c>
      <c r="G772" t="s">
        <v>13</v>
      </c>
      <c r="H772" t="s">
        <v>28</v>
      </c>
      <c r="I772" t="s">
        <v>65</v>
      </c>
      <c r="J772" s="1">
        <v>44667</v>
      </c>
      <c r="K772" t="s">
        <v>98</v>
      </c>
      <c r="L772" t="s">
        <v>99</v>
      </c>
      <c r="M772" t="s">
        <v>1481</v>
      </c>
      <c r="N772">
        <v>2022</v>
      </c>
    </row>
    <row r="773" spans="1:14" x14ac:dyDescent="0.25">
      <c r="A773" t="s">
        <v>881</v>
      </c>
      <c r="B773" t="s">
        <v>882</v>
      </c>
      <c r="C773">
        <v>4629</v>
      </c>
      <c r="D773">
        <v>1660</v>
      </c>
      <c r="E773" s="5">
        <v>0.35860877079282799</v>
      </c>
      <c r="F773">
        <v>16</v>
      </c>
      <c r="G773" t="s">
        <v>30</v>
      </c>
      <c r="H773" t="s">
        <v>57</v>
      </c>
      <c r="I773" t="s">
        <v>40</v>
      </c>
      <c r="J773" s="1">
        <v>45018</v>
      </c>
      <c r="K773" t="s">
        <v>42</v>
      </c>
      <c r="L773" t="s">
        <v>75</v>
      </c>
      <c r="M773" t="s">
        <v>1481</v>
      </c>
      <c r="N773">
        <v>2023</v>
      </c>
    </row>
    <row r="774" spans="1:14" x14ac:dyDescent="0.25">
      <c r="A774" t="s">
        <v>883</v>
      </c>
      <c r="B774" t="s">
        <v>884</v>
      </c>
      <c r="C774">
        <v>2710</v>
      </c>
      <c r="D774">
        <v>555</v>
      </c>
      <c r="E774" s="5">
        <v>0.20479704797048001</v>
      </c>
      <c r="F774">
        <v>20</v>
      </c>
      <c r="G774" t="s">
        <v>13</v>
      </c>
      <c r="H774" t="s">
        <v>39</v>
      </c>
      <c r="I774" t="s">
        <v>32</v>
      </c>
      <c r="J774" s="1">
        <v>45586</v>
      </c>
      <c r="K774" t="s">
        <v>21</v>
      </c>
      <c r="L774" t="s">
        <v>22</v>
      </c>
      <c r="M774" t="s">
        <v>1474</v>
      </c>
      <c r="N774">
        <v>2024</v>
      </c>
    </row>
    <row r="775" spans="1:14" x14ac:dyDescent="0.25">
      <c r="A775" t="s">
        <v>883</v>
      </c>
      <c r="B775" t="s">
        <v>884</v>
      </c>
      <c r="C775">
        <v>3224</v>
      </c>
      <c r="D775">
        <v>1018</v>
      </c>
      <c r="E775" s="5">
        <v>0.31575682382134002</v>
      </c>
      <c r="F775">
        <v>14</v>
      </c>
      <c r="G775" t="s">
        <v>30</v>
      </c>
      <c r="H775" t="s">
        <v>78</v>
      </c>
      <c r="I775" t="s">
        <v>15</v>
      </c>
      <c r="J775" s="1">
        <v>45586</v>
      </c>
      <c r="K775" t="s">
        <v>21</v>
      </c>
      <c r="L775" t="s">
        <v>22</v>
      </c>
      <c r="M775" t="s">
        <v>1474</v>
      </c>
      <c r="N775">
        <v>2024</v>
      </c>
    </row>
    <row r="776" spans="1:14" x14ac:dyDescent="0.25">
      <c r="A776" t="s">
        <v>885</v>
      </c>
      <c r="B776" t="s">
        <v>886</v>
      </c>
      <c r="C776">
        <v>8042</v>
      </c>
      <c r="D776">
        <v>936</v>
      </c>
      <c r="E776" s="5">
        <v>0.116388957970654</v>
      </c>
      <c r="F776">
        <v>15</v>
      </c>
      <c r="G776" t="s">
        <v>30</v>
      </c>
      <c r="H776" t="s">
        <v>57</v>
      </c>
      <c r="I776" t="s">
        <v>40</v>
      </c>
      <c r="J776" s="1">
        <v>44386</v>
      </c>
      <c r="K776" t="s">
        <v>21</v>
      </c>
      <c r="L776" t="s">
        <v>63</v>
      </c>
      <c r="M776" t="s">
        <v>1472</v>
      </c>
      <c r="N776">
        <v>2021</v>
      </c>
    </row>
    <row r="777" spans="1:14" x14ac:dyDescent="0.25">
      <c r="A777" t="s">
        <v>885</v>
      </c>
      <c r="B777" t="s">
        <v>887</v>
      </c>
      <c r="C777">
        <v>8042</v>
      </c>
      <c r="D777">
        <v>936</v>
      </c>
      <c r="E777" s="5">
        <v>0.116388957970654</v>
      </c>
      <c r="F777">
        <v>15</v>
      </c>
      <c r="G777" t="s">
        <v>30</v>
      </c>
      <c r="H777" t="s">
        <v>57</v>
      </c>
      <c r="I777" t="s">
        <v>40</v>
      </c>
      <c r="J777" s="1">
        <v>44659</v>
      </c>
      <c r="K777" t="s">
        <v>42</v>
      </c>
      <c r="L777" t="s">
        <v>43</v>
      </c>
      <c r="M777" t="s">
        <v>1481</v>
      </c>
      <c r="N777">
        <v>2022</v>
      </c>
    </row>
    <row r="778" spans="1:14" x14ac:dyDescent="0.25">
      <c r="A778" t="s">
        <v>888</v>
      </c>
      <c r="B778" t="s">
        <v>889</v>
      </c>
      <c r="C778">
        <v>3957</v>
      </c>
      <c r="D778">
        <v>151</v>
      </c>
      <c r="E778" s="5">
        <v>3.8160222390700001E-2</v>
      </c>
      <c r="F778">
        <v>10</v>
      </c>
      <c r="G778" t="s">
        <v>30</v>
      </c>
      <c r="H778" t="s">
        <v>78</v>
      </c>
      <c r="I778" t="s">
        <v>40</v>
      </c>
      <c r="J778" s="1">
        <v>44681</v>
      </c>
      <c r="K778" t="s">
        <v>71</v>
      </c>
      <c r="L778" t="s">
        <v>86</v>
      </c>
      <c r="M778" t="s">
        <v>1481</v>
      </c>
      <c r="N778">
        <v>2022</v>
      </c>
    </row>
    <row r="779" spans="1:14" x14ac:dyDescent="0.25">
      <c r="A779" t="s">
        <v>890</v>
      </c>
      <c r="B779" t="s">
        <v>891</v>
      </c>
      <c r="C779">
        <v>8769</v>
      </c>
      <c r="D779">
        <v>3178</v>
      </c>
      <c r="E779" s="5">
        <v>0.36241304595735002</v>
      </c>
      <c r="F779">
        <v>16</v>
      </c>
      <c r="G779" t="s">
        <v>30</v>
      </c>
      <c r="H779" t="s">
        <v>57</v>
      </c>
      <c r="I779" t="s">
        <v>32</v>
      </c>
      <c r="J779" s="1">
        <v>44946</v>
      </c>
      <c r="K779" t="s">
        <v>21</v>
      </c>
      <c r="L779" t="s">
        <v>22</v>
      </c>
      <c r="M779" t="s">
        <v>1478</v>
      </c>
      <c r="N779">
        <v>2023</v>
      </c>
    </row>
    <row r="780" spans="1:14" x14ac:dyDescent="0.25">
      <c r="A780" t="s">
        <v>892</v>
      </c>
      <c r="B780" t="s">
        <v>893</v>
      </c>
      <c r="C780">
        <v>2957</v>
      </c>
      <c r="D780">
        <v>917</v>
      </c>
      <c r="E780" s="5">
        <v>0.310111599594183</v>
      </c>
      <c r="F780">
        <v>16</v>
      </c>
      <c r="G780" t="s">
        <v>30</v>
      </c>
      <c r="H780" t="s">
        <v>31</v>
      </c>
      <c r="I780" t="s">
        <v>32</v>
      </c>
      <c r="J780" s="1">
        <v>45613</v>
      </c>
      <c r="K780" t="s">
        <v>21</v>
      </c>
      <c r="L780" t="s">
        <v>22</v>
      </c>
      <c r="M780" t="s">
        <v>1475</v>
      </c>
      <c r="N780">
        <v>2024</v>
      </c>
    </row>
    <row r="781" spans="1:14" x14ac:dyDescent="0.25">
      <c r="A781" t="s">
        <v>894</v>
      </c>
      <c r="B781" t="s">
        <v>895</v>
      </c>
      <c r="C781">
        <v>5344</v>
      </c>
      <c r="D781">
        <v>2607</v>
      </c>
      <c r="E781" s="5">
        <v>0.48783682634730502</v>
      </c>
      <c r="F781">
        <v>6</v>
      </c>
      <c r="G781" t="s">
        <v>30</v>
      </c>
      <c r="H781" t="s">
        <v>64</v>
      </c>
      <c r="I781" t="s">
        <v>32</v>
      </c>
      <c r="J781" s="1">
        <v>44674</v>
      </c>
      <c r="K781" t="s">
        <v>71</v>
      </c>
      <c r="L781" t="s">
        <v>72</v>
      </c>
      <c r="M781" t="s">
        <v>1481</v>
      </c>
      <c r="N781">
        <v>2022</v>
      </c>
    </row>
    <row r="782" spans="1:14" x14ac:dyDescent="0.25">
      <c r="A782" t="s">
        <v>894</v>
      </c>
      <c r="B782" t="s">
        <v>896</v>
      </c>
      <c r="C782">
        <v>5344</v>
      </c>
      <c r="D782">
        <v>2607</v>
      </c>
      <c r="E782" s="5">
        <v>0.48783682634730502</v>
      </c>
      <c r="F782">
        <v>6</v>
      </c>
      <c r="G782" t="s">
        <v>30</v>
      </c>
      <c r="H782" t="s">
        <v>64</v>
      </c>
      <c r="I782" t="s">
        <v>32</v>
      </c>
      <c r="J782" s="1">
        <v>45706</v>
      </c>
      <c r="K782" t="s">
        <v>25</v>
      </c>
      <c r="L782" t="s">
        <v>68</v>
      </c>
      <c r="M782" t="s">
        <v>1477</v>
      </c>
      <c r="N782">
        <v>2025</v>
      </c>
    </row>
    <row r="783" spans="1:14" x14ac:dyDescent="0.25">
      <c r="A783" t="s">
        <v>897</v>
      </c>
      <c r="B783" t="s">
        <v>898</v>
      </c>
      <c r="C783">
        <v>6061</v>
      </c>
      <c r="D783">
        <v>2121</v>
      </c>
      <c r="E783" s="5">
        <v>0.34994225375350602</v>
      </c>
      <c r="F783">
        <v>19</v>
      </c>
      <c r="G783" t="s">
        <v>13</v>
      </c>
      <c r="H783" t="s">
        <v>39</v>
      </c>
      <c r="I783" t="s">
        <v>40</v>
      </c>
      <c r="J783" s="1">
        <v>44343</v>
      </c>
      <c r="K783" t="s">
        <v>98</v>
      </c>
      <c r="L783" t="s">
        <v>117</v>
      </c>
      <c r="M783" t="s">
        <v>1473</v>
      </c>
      <c r="N783">
        <v>2021</v>
      </c>
    </row>
    <row r="784" spans="1:14" x14ac:dyDescent="0.25">
      <c r="A784" t="s">
        <v>897</v>
      </c>
      <c r="B784" t="s">
        <v>899</v>
      </c>
      <c r="C784">
        <v>6061</v>
      </c>
      <c r="D784">
        <v>2121</v>
      </c>
      <c r="E784" s="5">
        <v>0.34994225375350602</v>
      </c>
      <c r="F784">
        <v>19</v>
      </c>
      <c r="G784" t="s">
        <v>13</v>
      </c>
      <c r="H784" t="s">
        <v>39</v>
      </c>
      <c r="I784" t="s">
        <v>40</v>
      </c>
      <c r="J784" s="1">
        <v>44578</v>
      </c>
      <c r="K784" t="s">
        <v>42</v>
      </c>
      <c r="L784" t="s">
        <v>75</v>
      </c>
      <c r="M784" t="s">
        <v>1478</v>
      </c>
      <c r="N784">
        <v>2022</v>
      </c>
    </row>
    <row r="785" spans="1:14" x14ac:dyDescent="0.25">
      <c r="A785" t="s">
        <v>900</v>
      </c>
      <c r="B785" t="s">
        <v>901</v>
      </c>
      <c r="C785">
        <v>5376</v>
      </c>
      <c r="D785">
        <v>1928</v>
      </c>
      <c r="E785" s="5">
        <v>0.358630952380952</v>
      </c>
      <c r="F785">
        <v>7</v>
      </c>
      <c r="G785" t="s">
        <v>45</v>
      </c>
      <c r="H785" t="s">
        <v>46</v>
      </c>
      <c r="I785" t="s">
        <v>47</v>
      </c>
      <c r="J785" s="1">
        <v>45672</v>
      </c>
      <c r="K785" t="s">
        <v>25</v>
      </c>
      <c r="L785" t="s">
        <v>51</v>
      </c>
      <c r="M785" t="s">
        <v>1478</v>
      </c>
      <c r="N785">
        <v>2025</v>
      </c>
    </row>
    <row r="786" spans="1:14" x14ac:dyDescent="0.25">
      <c r="A786" t="s">
        <v>902</v>
      </c>
      <c r="B786" t="s">
        <v>903</v>
      </c>
      <c r="C786">
        <v>2792</v>
      </c>
      <c r="D786">
        <v>1008</v>
      </c>
      <c r="E786" s="5">
        <v>0.361031518624642</v>
      </c>
      <c r="F786">
        <v>8</v>
      </c>
      <c r="G786" t="s">
        <v>13</v>
      </c>
      <c r="H786" t="s">
        <v>28</v>
      </c>
      <c r="I786" t="s">
        <v>65</v>
      </c>
      <c r="J786" s="1">
        <v>44241</v>
      </c>
      <c r="K786" t="s">
        <v>17</v>
      </c>
      <c r="L786" t="s">
        <v>18</v>
      </c>
      <c r="M786" t="s">
        <v>1477</v>
      </c>
      <c r="N786">
        <v>2021</v>
      </c>
    </row>
    <row r="787" spans="1:14" x14ac:dyDescent="0.25">
      <c r="A787" t="s">
        <v>904</v>
      </c>
      <c r="B787" t="s">
        <v>905</v>
      </c>
      <c r="C787">
        <v>2944</v>
      </c>
      <c r="D787">
        <v>249</v>
      </c>
      <c r="E787" s="5">
        <v>8.4578804347826095E-2</v>
      </c>
      <c r="F787">
        <v>5</v>
      </c>
      <c r="G787" t="s">
        <v>30</v>
      </c>
      <c r="H787" t="s">
        <v>78</v>
      </c>
      <c r="I787" t="s">
        <v>47</v>
      </c>
      <c r="J787" s="1">
        <v>45535</v>
      </c>
      <c r="K787" t="s">
        <v>98</v>
      </c>
      <c r="L787" t="s">
        <v>99</v>
      </c>
      <c r="M787" t="s">
        <v>1479</v>
      </c>
      <c r="N787">
        <v>2024</v>
      </c>
    </row>
    <row r="788" spans="1:14" x14ac:dyDescent="0.25">
      <c r="A788" t="s">
        <v>904</v>
      </c>
      <c r="B788" t="s">
        <v>906</v>
      </c>
      <c r="C788">
        <v>2944</v>
      </c>
      <c r="D788">
        <v>249</v>
      </c>
      <c r="E788" s="5">
        <v>8.4578804347826095E-2</v>
      </c>
      <c r="F788">
        <v>5</v>
      </c>
      <c r="G788" t="s">
        <v>30</v>
      </c>
      <c r="H788" t="s">
        <v>78</v>
      </c>
      <c r="I788" t="s">
        <v>47</v>
      </c>
      <c r="J788" s="1">
        <v>44921</v>
      </c>
      <c r="K788" t="s">
        <v>71</v>
      </c>
      <c r="L788" t="s">
        <v>72</v>
      </c>
      <c r="M788" t="s">
        <v>1471</v>
      </c>
      <c r="N788">
        <v>2022</v>
      </c>
    </row>
    <row r="789" spans="1:14" x14ac:dyDescent="0.25">
      <c r="A789" t="s">
        <v>907</v>
      </c>
      <c r="B789" t="s">
        <v>908</v>
      </c>
      <c r="C789">
        <v>4220</v>
      </c>
      <c r="D789">
        <v>945</v>
      </c>
      <c r="E789" s="5">
        <v>0.22393364928910001</v>
      </c>
      <c r="F789">
        <v>13</v>
      </c>
      <c r="G789" t="s">
        <v>30</v>
      </c>
      <c r="H789" t="s">
        <v>57</v>
      </c>
      <c r="I789" t="s">
        <v>40</v>
      </c>
      <c r="J789" s="1">
        <v>45372</v>
      </c>
      <c r="K789" t="s">
        <v>21</v>
      </c>
      <c r="L789" t="s">
        <v>63</v>
      </c>
      <c r="M789" t="s">
        <v>1476</v>
      </c>
      <c r="N789">
        <v>2024</v>
      </c>
    </row>
    <row r="790" spans="1:14" x14ac:dyDescent="0.25">
      <c r="A790" t="s">
        <v>907</v>
      </c>
      <c r="B790" t="s">
        <v>909</v>
      </c>
      <c r="C790">
        <v>4220</v>
      </c>
      <c r="D790">
        <v>945</v>
      </c>
      <c r="E790" s="5">
        <v>0.22393364928910001</v>
      </c>
      <c r="F790">
        <v>13</v>
      </c>
      <c r="G790" t="s">
        <v>30</v>
      </c>
      <c r="H790" t="s">
        <v>57</v>
      </c>
      <c r="I790" t="s">
        <v>40</v>
      </c>
      <c r="J790" s="1">
        <v>44180</v>
      </c>
      <c r="K790" t="s">
        <v>21</v>
      </c>
      <c r="L790" t="s">
        <v>172</v>
      </c>
      <c r="M790" t="s">
        <v>1471</v>
      </c>
      <c r="N790">
        <v>2020</v>
      </c>
    </row>
    <row r="791" spans="1:14" x14ac:dyDescent="0.25">
      <c r="A791" t="s">
        <v>910</v>
      </c>
      <c r="B791" t="s">
        <v>911</v>
      </c>
      <c r="C791">
        <v>8526</v>
      </c>
      <c r="D791">
        <v>1704</v>
      </c>
      <c r="E791" s="5">
        <v>0.199859254046446</v>
      </c>
      <c r="F791">
        <v>4</v>
      </c>
      <c r="G791" t="s">
        <v>30</v>
      </c>
      <c r="H791" t="s">
        <v>78</v>
      </c>
      <c r="I791" t="s">
        <v>32</v>
      </c>
      <c r="J791" s="1">
        <v>45006</v>
      </c>
      <c r="K791" t="s">
        <v>71</v>
      </c>
      <c r="L791" t="s">
        <v>86</v>
      </c>
      <c r="M791" t="s">
        <v>1476</v>
      </c>
      <c r="N791">
        <v>2023</v>
      </c>
    </row>
    <row r="792" spans="1:14" x14ac:dyDescent="0.25">
      <c r="A792" t="s">
        <v>912</v>
      </c>
      <c r="B792" t="s">
        <v>913</v>
      </c>
      <c r="C792">
        <v>8218</v>
      </c>
      <c r="D792">
        <v>1430</v>
      </c>
      <c r="E792" s="5">
        <v>0.174008274519348</v>
      </c>
      <c r="F792">
        <v>19</v>
      </c>
      <c r="G792" t="s">
        <v>45</v>
      </c>
      <c r="H792" t="s">
        <v>109</v>
      </c>
      <c r="I792" t="s">
        <v>47</v>
      </c>
      <c r="J792" s="1">
        <v>45085</v>
      </c>
      <c r="K792" t="s">
        <v>42</v>
      </c>
      <c r="L792" t="s">
        <v>92</v>
      </c>
      <c r="M792" t="s">
        <v>1470</v>
      </c>
      <c r="N792">
        <v>2023</v>
      </c>
    </row>
    <row r="793" spans="1:14" x14ac:dyDescent="0.25">
      <c r="A793" t="s">
        <v>914</v>
      </c>
      <c r="B793" t="s">
        <v>915</v>
      </c>
      <c r="C793">
        <v>599</v>
      </c>
      <c r="D793">
        <v>265</v>
      </c>
      <c r="E793" s="5">
        <v>0.442404006677796</v>
      </c>
      <c r="F793">
        <v>4</v>
      </c>
      <c r="G793" t="s">
        <v>13</v>
      </c>
      <c r="H793" t="s">
        <v>82</v>
      </c>
      <c r="I793" t="s">
        <v>47</v>
      </c>
      <c r="J793" s="1">
        <v>44759</v>
      </c>
      <c r="K793" t="s">
        <v>25</v>
      </c>
      <c r="L793" t="s">
        <v>26</v>
      </c>
      <c r="M793" t="s">
        <v>1472</v>
      </c>
      <c r="N793">
        <v>2022</v>
      </c>
    </row>
    <row r="794" spans="1:14" x14ac:dyDescent="0.25">
      <c r="A794" t="s">
        <v>914</v>
      </c>
      <c r="B794" t="s">
        <v>916</v>
      </c>
      <c r="C794">
        <v>599</v>
      </c>
      <c r="D794">
        <v>265</v>
      </c>
      <c r="E794" s="5">
        <v>0.442404006677796</v>
      </c>
      <c r="F794">
        <v>4</v>
      </c>
      <c r="G794" t="s">
        <v>13</v>
      </c>
      <c r="H794" t="s">
        <v>82</v>
      </c>
      <c r="I794" t="s">
        <v>47</v>
      </c>
      <c r="J794" s="1">
        <v>45631</v>
      </c>
      <c r="K794" t="s">
        <v>25</v>
      </c>
      <c r="L794" t="s">
        <v>68</v>
      </c>
      <c r="M794" t="s">
        <v>1471</v>
      </c>
      <c r="N794">
        <v>2024</v>
      </c>
    </row>
    <row r="795" spans="1:14" x14ac:dyDescent="0.25">
      <c r="A795" t="s">
        <v>914</v>
      </c>
      <c r="B795" t="s">
        <v>915</v>
      </c>
      <c r="C795">
        <v>2727</v>
      </c>
      <c r="D795">
        <v>543</v>
      </c>
      <c r="E795" s="5">
        <v>0.19911991199119899</v>
      </c>
      <c r="F795">
        <v>10</v>
      </c>
      <c r="G795" t="s">
        <v>45</v>
      </c>
      <c r="H795" t="s">
        <v>109</v>
      </c>
      <c r="I795" t="s">
        <v>47</v>
      </c>
      <c r="J795" s="1">
        <v>44759</v>
      </c>
      <c r="K795" t="s">
        <v>25</v>
      </c>
      <c r="L795" t="s">
        <v>26</v>
      </c>
      <c r="M795" t="s">
        <v>1472</v>
      </c>
      <c r="N795">
        <v>2022</v>
      </c>
    </row>
    <row r="796" spans="1:14" x14ac:dyDescent="0.25">
      <c r="A796" t="s">
        <v>914</v>
      </c>
      <c r="B796" t="s">
        <v>916</v>
      </c>
      <c r="C796">
        <v>2727</v>
      </c>
      <c r="D796">
        <v>543</v>
      </c>
      <c r="E796" s="5">
        <v>0.19911991199119899</v>
      </c>
      <c r="F796">
        <v>10</v>
      </c>
      <c r="G796" t="s">
        <v>45</v>
      </c>
      <c r="H796" t="s">
        <v>109</v>
      </c>
      <c r="I796" t="s">
        <v>47</v>
      </c>
      <c r="J796" s="1">
        <v>45631</v>
      </c>
      <c r="K796" t="s">
        <v>25</v>
      </c>
      <c r="L796" t="s">
        <v>68</v>
      </c>
      <c r="M796" t="s">
        <v>1471</v>
      </c>
      <c r="N796">
        <v>2024</v>
      </c>
    </row>
    <row r="797" spans="1:14" x14ac:dyDescent="0.25">
      <c r="A797" t="s">
        <v>917</v>
      </c>
      <c r="B797" t="s">
        <v>918</v>
      </c>
      <c r="C797">
        <v>2589</v>
      </c>
      <c r="D797">
        <v>605</v>
      </c>
      <c r="E797" s="5">
        <v>0.233680957898803</v>
      </c>
      <c r="F797">
        <v>11</v>
      </c>
      <c r="G797" t="s">
        <v>30</v>
      </c>
      <c r="H797" t="s">
        <v>31</v>
      </c>
      <c r="I797" t="s">
        <v>40</v>
      </c>
      <c r="J797" s="1">
        <v>45232</v>
      </c>
      <c r="K797" t="s">
        <v>42</v>
      </c>
      <c r="L797" t="s">
        <v>92</v>
      </c>
      <c r="M797" t="s">
        <v>1475</v>
      </c>
      <c r="N797">
        <v>2023</v>
      </c>
    </row>
    <row r="798" spans="1:14" x14ac:dyDescent="0.25">
      <c r="A798" t="s">
        <v>917</v>
      </c>
      <c r="B798" t="s">
        <v>919</v>
      </c>
      <c r="C798">
        <v>2589</v>
      </c>
      <c r="D798">
        <v>605</v>
      </c>
      <c r="E798" s="5">
        <v>0.233680957898803</v>
      </c>
      <c r="F798">
        <v>11</v>
      </c>
      <c r="G798" t="s">
        <v>30</v>
      </c>
      <c r="H798" t="s">
        <v>31</v>
      </c>
      <c r="I798" t="s">
        <v>40</v>
      </c>
      <c r="J798" s="1">
        <v>45570</v>
      </c>
      <c r="K798" t="s">
        <v>98</v>
      </c>
      <c r="L798" t="s">
        <v>117</v>
      </c>
      <c r="M798" t="s">
        <v>1474</v>
      </c>
      <c r="N798">
        <v>2024</v>
      </c>
    </row>
    <row r="799" spans="1:14" x14ac:dyDescent="0.25">
      <c r="A799" t="s">
        <v>920</v>
      </c>
      <c r="B799" t="s">
        <v>921</v>
      </c>
      <c r="C799">
        <v>3776</v>
      </c>
      <c r="D799">
        <v>1100</v>
      </c>
      <c r="E799" s="5">
        <v>0.29131355932203401</v>
      </c>
      <c r="F799">
        <v>9</v>
      </c>
      <c r="G799" t="s">
        <v>13</v>
      </c>
      <c r="H799" t="s">
        <v>14</v>
      </c>
      <c r="I799" t="s">
        <v>40</v>
      </c>
      <c r="J799" s="1">
        <v>44878</v>
      </c>
      <c r="K799" t="s">
        <v>71</v>
      </c>
      <c r="L799" t="s">
        <v>86</v>
      </c>
      <c r="M799" t="s">
        <v>1475</v>
      </c>
      <c r="N799">
        <v>2022</v>
      </c>
    </row>
    <row r="800" spans="1:14" x14ac:dyDescent="0.25">
      <c r="A800" t="s">
        <v>920</v>
      </c>
      <c r="B800" t="s">
        <v>922</v>
      </c>
      <c r="C800">
        <v>3776</v>
      </c>
      <c r="D800">
        <v>1100</v>
      </c>
      <c r="E800" s="5">
        <v>0.29131355932203401</v>
      </c>
      <c r="F800">
        <v>9</v>
      </c>
      <c r="G800" t="s">
        <v>13</v>
      </c>
      <c r="H800" t="s">
        <v>14</v>
      </c>
      <c r="I800" t="s">
        <v>40</v>
      </c>
      <c r="J800" s="1">
        <v>44923</v>
      </c>
      <c r="K800" t="s">
        <v>21</v>
      </c>
      <c r="L800" t="s">
        <v>172</v>
      </c>
      <c r="M800" t="s">
        <v>1471</v>
      </c>
      <c r="N800">
        <v>2022</v>
      </c>
    </row>
    <row r="801" spans="1:14" x14ac:dyDescent="0.25">
      <c r="A801" t="s">
        <v>923</v>
      </c>
      <c r="B801" t="s">
        <v>924</v>
      </c>
      <c r="C801">
        <v>5402</v>
      </c>
      <c r="D801">
        <v>1666</v>
      </c>
      <c r="E801" s="5">
        <v>0.30840429470566499</v>
      </c>
      <c r="F801">
        <v>12</v>
      </c>
      <c r="G801" t="s">
        <v>45</v>
      </c>
      <c r="H801" t="s">
        <v>109</v>
      </c>
      <c r="I801" t="s">
        <v>40</v>
      </c>
      <c r="J801" s="1">
        <v>45714</v>
      </c>
      <c r="K801" t="s">
        <v>98</v>
      </c>
      <c r="L801" t="s">
        <v>117</v>
      </c>
      <c r="M801" t="s">
        <v>1477</v>
      </c>
      <c r="N801">
        <v>2025</v>
      </c>
    </row>
    <row r="802" spans="1:14" x14ac:dyDescent="0.25">
      <c r="A802" t="s">
        <v>925</v>
      </c>
      <c r="B802" t="s">
        <v>926</v>
      </c>
      <c r="C802">
        <v>5165</v>
      </c>
      <c r="D802">
        <v>885</v>
      </c>
      <c r="E802" s="5">
        <v>0.17134559535334001</v>
      </c>
      <c r="F802">
        <v>16</v>
      </c>
      <c r="G802" t="s">
        <v>30</v>
      </c>
      <c r="H802" t="s">
        <v>31</v>
      </c>
      <c r="I802" t="s">
        <v>40</v>
      </c>
      <c r="J802" s="1">
        <v>44877</v>
      </c>
      <c r="K802" t="s">
        <v>21</v>
      </c>
      <c r="L802" t="s">
        <v>172</v>
      </c>
      <c r="M802" t="s">
        <v>1475</v>
      </c>
      <c r="N802">
        <v>2022</v>
      </c>
    </row>
    <row r="803" spans="1:14" x14ac:dyDescent="0.25">
      <c r="A803" t="s">
        <v>925</v>
      </c>
      <c r="B803" t="s">
        <v>926</v>
      </c>
      <c r="C803">
        <v>4863</v>
      </c>
      <c r="D803">
        <v>2394</v>
      </c>
      <c r="E803" s="5">
        <v>0.49228871067242402</v>
      </c>
      <c r="F803">
        <v>4</v>
      </c>
      <c r="G803" t="s">
        <v>45</v>
      </c>
      <c r="H803" t="s">
        <v>109</v>
      </c>
      <c r="I803" t="s">
        <v>40</v>
      </c>
      <c r="J803" s="1">
        <v>44877</v>
      </c>
      <c r="K803" t="s">
        <v>21</v>
      </c>
      <c r="L803" t="s">
        <v>172</v>
      </c>
      <c r="M803" t="s">
        <v>1475</v>
      </c>
      <c r="N803">
        <v>2022</v>
      </c>
    </row>
    <row r="804" spans="1:14" x14ac:dyDescent="0.25">
      <c r="A804" t="s">
        <v>927</v>
      </c>
      <c r="B804" t="s">
        <v>928</v>
      </c>
      <c r="C804">
        <v>1626</v>
      </c>
      <c r="D804">
        <v>258</v>
      </c>
      <c r="E804" s="5">
        <v>0.15867158671586701</v>
      </c>
      <c r="F804">
        <v>15</v>
      </c>
      <c r="G804" t="s">
        <v>30</v>
      </c>
      <c r="H804" t="s">
        <v>31</v>
      </c>
      <c r="I804" t="s">
        <v>40</v>
      </c>
      <c r="J804" s="1">
        <v>44354</v>
      </c>
      <c r="K804" t="s">
        <v>17</v>
      </c>
      <c r="L804" t="s">
        <v>34</v>
      </c>
      <c r="M804" t="s">
        <v>1470</v>
      </c>
      <c r="N804">
        <v>2021</v>
      </c>
    </row>
    <row r="805" spans="1:14" x14ac:dyDescent="0.25">
      <c r="A805" t="s">
        <v>929</v>
      </c>
      <c r="B805" t="s">
        <v>930</v>
      </c>
      <c r="C805">
        <v>8851</v>
      </c>
      <c r="D805">
        <v>3962</v>
      </c>
      <c r="E805" s="5">
        <v>0.44763303581516201</v>
      </c>
      <c r="F805">
        <v>7</v>
      </c>
      <c r="G805" t="s">
        <v>45</v>
      </c>
      <c r="H805" t="s">
        <v>46</v>
      </c>
      <c r="I805" t="s">
        <v>40</v>
      </c>
      <c r="J805" s="1">
        <v>44100</v>
      </c>
      <c r="K805" t="s">
        <v>17</v>
      </c>
      <c r="L805" t="s">
        <v>18</v>
      </c>
      <c r="M805" t="s">
        <v>1480</v>
      </c>
      <c r="N805">
        <v>2020</v>
      </c>
    </row>
    <row r="806" spans="1:14" x14ac:dyDescent="0.25">
      <c r="A806" t="s">
        <v>931</v>
      </c>
      <c r="B806" t="s">
        <v>932</v>
      </c>
      <c r="C806">
        <v>9680</v>
      </c>
      <c r="D806">
        <v>3295</v>
      </c>
      <c r="E806" s="5">
        <v>0.34039256198347101</v>
      </c>
      <c r="F806">
        <v>9</v>
      </c>
      <c r="G806" t="s">
        <v>45</v>
      </c>
      <c r="H806" t="s">
        <v>46</v>
      </c>
      <c r="I806" t="s">
        <v>65</v>
      </c>
      <c r="J806" s="1">
        <v>45411</v>
      </c>
      <c r="K806" t="s">
        <v>25</v>
      </c>
      <c r="L806" t="s">
        <v>68</v>
      </c>
      <c r="M806" t="s">
        <v>1481</v>
      </c>
      <c r="N806">
        <v>2024</v>
      </c>
    </row>
    <row r="807" spans="1:14" x14ac:dyDescent="0.25">
      <c r="A807" t="s">
        <v>931</v>
      </c>
      <c r="B807" t="s">
        <v>932</v>
      </c>
      <c r="C807">
        <v>8468</v>
      </c>
      <c r="D807">
        <v>3666</v>
      </c>
      <c r="E807" s="5">
        <v>0.432923948984412</v>
      </c>
      <c r="F807">
        <v>8</v>
      </c>
      <c r="G807" t="s">
        <v>30</v>
      </c>
      <c r="H807" t="s">
        <v>31</v>
      </c>
      <c r="I807" t="s">
        <v>15</v>
      </c>
      <c r="J807" s="1">
        <v>45411</v>
      </c>
      <c r="K807" t="s">
        <v>25</v>
      </c>
      <c r="L807" t="s">
        <v>68</v>
      </c>
      <c r="M807" t="s">
        <v>1481</v>
      </c>
      <c r="N807">
        <v>2024</v>
      </c>
    </row>
    <row r="808" spans="1:14" x14ac:dyDescent="0.25">
      <c r="A808" t="s">
        <v>931</v>
      </c>
      <c r="B808" t="s">
        <v>932</v>
      </c>
      <c r="C808">
        <v>4441</v>
      </c>
      <c r="D808">
        <v>314</v>
      </c>
      <c r="E808" s="5">
        <v>7.0704796217068197E-2</v>
      </c>
      <c r="F808">
        <v>14</v>
      </c>
      <c r="G808" t="s">
        <v>45</v>
      </c>
      <c r="H808" t="s">
        <v>49</v>
      </c>
      <c r="I808" t="s">
        <v>32</v>
      </c>
      <c r="J808" s="1">
        <v>45411</v>
      </c>
      <c r="K808" t="s">
        <v>25</v>
      </c>
      <c r="L808" t="s">
        <v>68</v>
      </c>
      <c r="M808" t="s">
        <v>1481</v>
      </c>
      <c r="N808">
        <v>2024</v>
      </c>
    </row>
    <row r="809" spans="1:14" x14ac:dyDescent="0.25">
      <c r="A809" t="s">
        <v>933</v>
      </c>
      <c r="B809" t="s">
        <v>934</v>
      </c>
      <c r="C809">
        <v>6622</v>
      </c>
      <c r="D809">
        <v>2673</v>
      </c>
      <c r="E809" s="5">
        <v>0.40365448504983398</v>
      </c>
      <c r="F809">
        <v>8</v>
      </c>
      <c r="G809" t="s">
        <v>45</v>
      </c>
      <c r="H809" t="s">
        <v>60</v>
      </c>
      <c r="I809" t="s">
        <v>65</v>
      </c>
      <c r="J809" s="1">
        <v>45392</v>
      </c>
      <c r="K809" t="s">
        <v>25</v>
      </c>
      <c r="L809" t="s">
        <v>51</v>
      </c>
      <c r="M809" t="s">
        <v>1481</v>
      </c>
      <c r="N809">
        <v>2024</v>
      </c>
    </row>
    <row r="810" spans="1:14" x14ac:dyDescent="0.25">
      <c r="A810" t="s">
        <v>935</v>
      </c>
      <c r="B810" t="s">
        <v>936</v>
      </c>
      <c r="C810">
        <v>3260</v>
      </c>
      <c r="D810">
        <v>207</v>
      </c>
      <c r="E810" s="5">
        <v>6.3496932515337404E-2</v>
      </c>
      <c r="F810">
        <v>17</v>
      </c>
      <c r="G810" t="s">
        <v>45</v>
      </c>
      <c r="H810" t="s">
        <v>46</v>
      </c>
      <c r="I810" t="s">
        <v>15</v>
      </c>
      <c r="J810" s="1">
        <v>45281</v>
      </c>
      <c r="K810" t="s">
        <v>42</v>
      </c>
      <c r="L810" t="s">
        <v>75</v>
      </c>
      <c r="M810" t="s">
        <v>1471</v>
      </c>
      <c r="N810">
        <v>2023</v>
      </c>
    </row>
    <row r="811" spans="1:14" x14ac:dyDescent="0.25">
      <c r="A811" t="s">
        <v>937</v>
      </c>
      <c r="B811" t="s">
        <v>938</v>
      </c>
      <c r="C811">
        <v>8709</v>
      </c>
      <c r="D811">
        <v>2322</v>
      </c>
      <c r="E811" s="5">
        <v>0.26662073716844598</v>
      </c>
      <c r="F811">
        <v>8</v>
      </c>
      <c r="G811" t="s">
        <v>45</v>
      </c>
      <c r="H811" t="s">
        <v>46</v>
      </c>
      <c r="I811" t="s">
        <v>32</v>
      </c>
      <c r="J811" s="1">
        <v>45414</v>
      </c>
      <c r="K811" t="s">
        <v>71</v>
      </c>
      <c r="L811" t="s">
        <v>86</v>
      </c>
      <c r="M811" t="s">
        <v>1473</v>
      </c>
      <c r="N811">
        <v>2024</v>
      </c>
    </row>
    <row r="812" spans="1:14" x14ac:dyDescent="0.25">
      <c r="A812" t="s">
        <v>937</v>
      </c>
      <c r="B812" t="s">
        <v>939</v>
      </c>
      <c r="C812">
        <v>8709</v>
      </c>
      <c r="D812">
        <v>2322</v>
      </c>
      <c r="E812" s="5">
        <v>0.26662073716844598</v>
      </c>
      <c r="F812">
        <v>8</v>
      </c>
      <c r="G812" t="s">
        <v>45</v>
      </c>
      <c r="H812" t="s">
        <v>46</v>
      </c>
      <c r="I812" t="s">
        <v>32</v>
      </c>
      <c r="J812" s="1">
        <v>45617</v>
      </c>
      <c r="K812" t="s">
        <v>42</v>
      </c>
      <c r="L812" t="s">
        <v>92</v>
      </c>
      <c r="M812" t="s">
        <v>1475</v>
      </c>
      <c r="N812">
        <v>2024</v>
      </c>
    </row>
    <row r="813" spans="1:14" x14ac:dyDescent="0.25">
      <c r="A813" t="s">
        <v>940</v>
      </c>
      <c r="B813" t="s">
        <v>941</v>
      </c>
      <c r="C813">
        <v>5250</v>
      </c>
      <c r="D813">
        <v>187</v>
      </c>
      <c r="E813" s="5">
        <v>3.5619047619047599E-2</v>
      </c>
      <c r="F813">
        <v>1</v>
      </c>
      <c r="G813" t="s">
        <v>30</v>
      </c>
      <c r="H813" t="s">
        <v>78</v>
      </c>
      <c r="I813" t="s">
        <v>65</v>
      </c>
      <c r="J813" s="1">
        <v>44637</v>
      </c>
      <c r="K813" t="s">
        <v>98</v>
      </c>
      <c r="L813" t="s">
        <v>107</v>
      </c>
      <c r="M813" t="s">
        <v>1476</v>
      </c>
      <c r="N813">
        <v>2022</v>
      </c>
    </row>
    <row r="814" spans="1:14" x14ac:dyDescent="0.25">
      <c r="A814" t="s">
        <v>940</v>
      </c>
      <c r="B814" t="s">
        <v>942</v>
      </c>
      <c r="C814">
        <v>5250</v>
      </c>
      <c r="D814">
        <v>187</v>
      </c>
      <c r="E814" s="5">
        <v>3.5619047619047599E-2</v>
      </c>
      <c r="F814">
        <v>1</v>
      </c>
      <c r="G814" t="s">
        <v>30</v>
      </c>
      <c r="H814" t="s">
        <v>78</v>
      </c>
      <c r="I814" t="s">
        <v>65</v>
      </c>
      <c r="J814" s="1">
        <v>45060</v>
      </c>
      <c r="K814" t="s">
        <v>71</v>
      </c>
      <c r="L814" t="s">
        <v>138</v>
      </c>
      <c r="M814" t="s">
        <v>1473</v>
      </c>
      <c r="N814">
        <v>2023</v>
      </c>
    </row>
    <row r="815" spans="1:14" x14ac:dyDescent="0.25">
      <c r="A815" t="s">
        <v>943</v>
      </c>
      <c r="B815" t="s">
        <v>944</v>
      </c>
      <c r="C815">
        <v>4116</v>
      </c>
      <c r="D815">
        <v>921</v>
      </c>
      <c r="E815" s="5">
        <v>0.223760932944606</v>
      </c>
      <c r="F815">
        <v>20</v>
      </c>
      <c r="G815" t="s">
        <v>30</v>
      </c>
      <c r="H815" t="s">
        <v>64</v>
      </c>
      <c r="I815" t="s">
        <v>15</v>
      </c>
      <c r="J815" s="1">
        <v>45572</v>
      </c>
      <c r="K815" t="s">
        <v>42</v>
      </c>
      <c r="L815" t="s">
        <v>43</v>
      </c>
      <c r="M815" t="s">
        <v>1474</v>
      </c>
      <c r="N815">
        <v>2024</v>
      </c>
    </row>
    <row r="816" spans="1:14" x14ac:dyDescent="0.25">
      <c r="A816" t="s">
        <v>943</v>
      </c>
      <c r="B816" t="s">
        <v>945</v>
      </c>
      <c r="C816">
        <v>4116</v>
      </c>
      <c r="D816">
        <v>921</v>
      </c>
      <c r="E816" s="5">
        <v>0.223760932944606</v>
      </c>
      <c r="F816">
        <v>20</v>
      </c>
      <c r="G816" t="s">
        <v>30</v>
      </c>
      <c r="H816" t="s">
        <v>64</v>
      </c>
      <c r="I816" t="s">
        <v>15</v>
      </c>
      <c r="J816" s="1">
        <v>44082</v>
      </c>
      <c r="K816" t="s">
        <v>21</v>
      </c>
      <c r="L816" t="s">
        <v>63</v>
      </c>
      <c r="M816" t="s">
        <v>1480</v>
      </c>
      <c r="N816">
        <v>2020</v>
      </c>
    </row>
    <row r="817" spans="1:14" x14ac:dyDescent="0.25">
      <c r="A817" t="s">
        <v>946</v>
      </c>
      <c r="B817" t="s">
        <v>947</v>
      </c>
      <c r="C817">
        <v>1109</v>
      </c>
      <c r="D817">
        <v>418</v>
      </c>
      <c r="E817" s="5">
        <v>0.37691614066726797</v>
      </c>
      <c r="F817">
        <v>15</v>
      </c>
      <c r="G817" t="s">
        <v>30</v>
      </c>
      <c r="H817" t="s">
        <v>64</v>
      </c>
      <c r="I817" t="s">
        <v>15</v>
      </c>
      <c r="J817" s="1">
        <v>44427</v>
      </c>
      <c r="K817" t="s">
        <v>42</v>
      </c>
      <c r="L817" t="s">
        <v>43</v>
      </c>
      <c r="M817" t="s">
        <v>1479</v>
      </c>
      <c r="N817">
        <v>2021</v>
      </c>
    </row>
    <row r="818" spans="1:14" x14ac:dyDescent="0.25">
      <c r="A818" t="s">
        <v>948</v>
      </c>
      <c r="B818" t="s">
        <v>454</v>
      </c>
      <c r="C818">
        <v>3573</v>
      </c>
      <c r="D818">
        <v>562</v>
      </c>
      <c r="E818" s="5">
        <v>0.15729079205149701</v>
      </c>
      <c r="F818">
        <v>7</v>
      </c>
      <c r="G818" t="s">
        <v>30</v>
      </c>
      <c r="H818" t="s">
        <v>31</v>
      </c>
      <c r="I818" t="s">
        <v>40</v>
      </c>
      <c r="J818" s="1">
        <v>44846</v>
      </c>
      <c r="K818" t="s">
        <v>25</v>
      </c>
      <c r="L818" t="s">
        <v>68</v>
      </c>
      <c r="M818" t="s">
        <v>1474</v>
      </c>
      <c r="N818">
        <v>2022</v>
      </c>
    </row>
    <row r="819" spans="1:14" x14ac:dyDescent="0.25">
      <c r="A819" t="s">
        <v>948</v>
      </c>
      <c r="B819" t="s">
        <v>949</v>
      </c>
      <c r="C819">
        <v>3573</v>
      </c>
      <c r="D819">
        <v>562</v>
      </c>
      <c r="E819" s="5">
        <v>0.15729079205149701</v>
      </c>
      <c r="F819">
        <v>7</v>
      </c>
      <c r="G819" t="s">
        <v>30</v>
      </c>
      <c r="H819" t="s">
        <v>31</v>
      </c>
      <c r="I819" t="s">
        <v>40</v>
      </c>
      <c r="J819" s="1">
        <v>43974</v>
      </c>
      <c r="K819" t="s">
        <v>42</v>
      </c>
      <c r="L819" t="s">
        <v>75</v>
      </c>
      <c r="M819" t="s">
        <v>1473</v>
      </c>
      <c r="N819">
        <v>2020</v>
      </c>
    </row>
    <row r="820" spans="1:14" x14ac:dyDescent="0.25">
      <c r="A820" t="s">
        <v>948</v>
      </c>
      <c r="B820" t="s">
        <v>950</v>
      </c>
      <c r="C820">
        <v>3573</v>
      </c>
      <c r="D820">
        <v>562</v>
      </c>
      <c r="E820" s="5">
        <v>0.15729079205149701</v>
      </c>
      <c r="F820">
        <v>7</v>
      </c>
      <c r="G820" t="s">
        <v>30</v>
      </c>
      <c r="H820" t="s">
        <v>31</v>
      </c>
      <c r="I820" t="s">
        <v>40</v>
      </c>
      <c r="J820" s="1">
        <v>43939</v>
      </c>
      <c r="K820" t="s">
        <v>17</v>
      </c>
      <c r="L820" t="s">
        <v>150</v>
      </c>
      <c r="M820" t="s">
        <v>1481</v>
      </c>
      <c r="N820">
        <v>2020</v>
      </c>
    </row>
    <row r="821" spans="1:14" x14ac:dyDescent="0.25">
      <c r="A821" t="s">
        <v>948</v>
      </c>
      <c r="B821" t="s">
        <v>454</v>
      </c>
      <c r="C821">
        <v>8055</v>
      </c>
      <c r="D821">
        <v>661</v>
      </c>
      <c r="E821" s="5">
        <v>8.2060831781502197E-2</v>
      </c>
      <c r="F821">
        <v>10</v>
      </c>
      <c r="G821" t="s">
        <v>13</v>
      </c>
      <c r="H821" t="s">
        <v>82</v>
      </c>
      <c r="I821" t="s">
        <v>40</v>
      </c>
      <c r="J821" s="1">
        <v>44846</v>
      </c>
      <c r="K821" t="s">
        <v>25</v>
      </c>
      <c r="L821" t="s">
        <v>68</v>
      </c>
      <c r="M821" t="s">
        <v>1474</v>
      </c>
      <c r="N821">
        <v>2022</v>
      </c>
    </row>
    <row r="822" spans="1:14" x14ac:dyDescent="0.25">
      <c r="A822" t="s">
        <v>948</v>
      </c>
      <c r="B822" t="s">
        <v>949</v>
      </c>
      <c r="C822">
        <v>8055</v>
      </c>
      <c r="D822">
        <v>661</v>
      </c>
      <c r="E822" s="5">
        <v>8.2060831781502197E-2</v>
      </c>
      <c r="F822">
        <v>10</v>
      </c>
      <c r="G822" t="s">
        <v>13</v>
      </c>
      <c r="H822" t="s">
        <v>82</v>
      </c>
      <c r="I822" t="s">
        <v>40</v>
      </c>
      <c r="J822" s="1">
        <v>43974</v>
      </c>
      <c r="K822" t="s">
        <v>42</v>
      </c>
      <c r="L822" t="s">
        <v>75</v>
      </c>
      <c r="M822" t="s">
        <v>1473</v>
      </c>
      <c r="N822">
        <v>2020</v>
      </c>
    </row>
    <row r="823" spans="1:14" x14ac:dyDescent="0.25">
      <c r="A823" t="s">
        <v>948</v>
      </c>
      <c r="B823" t="s">
        <v>950</v>
      </c>
      <c r="C823">
        <v>8055</v>
      </c>
      <c r="D823">
        <v>661</v>
      </c>
      <c r="E823" s="5">
        <v>8.2060831781502197E-2</v>
      </c>
      <c r="F823">
        <v>10</v>
      </c>
      <c r="G823" t="s">
        <v>13</v>
      </c>
      <c r="H823" t="s">
        <v>82</v>
      </c>
      <c r="I823" t="s">
        <v>40</v>
      </c>
      <c r="J823" s="1">
        <v>43939</v>
      </c>
      <c r="K823" t="s">
        <v>17</v>
      </c>
      <c r="L823" t="s">
        <v>150</v>
      </c>
      <c r="M823" t="s">
        <v>1481</v>
      </c>
      <c r="N823">
        <v>2020</v>
      </c>
    </row>
    <row r="824" spans="1:14" x14ac:dyDescent="0.25">
      <c r="A824" t="s">
        <v>951</v>
      </c>
      <c r="B824" t="s">
        <v>952</v>
      </c>
      <c r="C824">
        <v>6829</v>
      </c>
      <c r="D824">
        <v>2609</v>
      </c>
      <c r="E824" s="5">
        <v>0.38204715185239402</v>
      </c>
      <c r="F824">
        <v>2</v>
      </c>
      <c r="G824" t="s">
        <v>13</v>
      </c>
      <c r="H824" t="s">
        <v>39</v>
      </c>
      <c r="I824" t="s">
        <v>40</v>
      </c>
      <c r="J824" s="1">
        <v>44716</v>
      </c>
      <c r="K824" t="s">
        <v>42</v>
      </c>
      <c r="L824" t="s">
        <v>92</v>
      </c>
      <c r="M824" t="s">
        <v>1470</v>
      </c>
      <c r="N824">
        <v>2022</v>
      </c>
    </row>
    <row r="825" spans="1:14" x14ac:dyDescent="0.25">
      <c r="A825" t="s">
        <v>951</v>
      </c>
      <c r="B825" t="s">
        <v>952</v>
      </c>
      <c r="C825">
        <v>6390</v>
      </c>
      <c r="D825">
        <v>3089</v>
      </c>
      <c r="E825" s="5">
        <v>0.48341158059467898</v>
      </c>
      <c r="F825">
        <v>12</v>
      </c>
      <c r="G825" t="s">
        <v>30</v>
      </c>
      <c r="H825" t="s">
        <v>64</v>
      </c>
      <c r="I825" t="s">
        <v>65</v>
      </c>
      <c r="J825" s="1">
        <v>44716</v>
      </c>
      <c r="K825" t="s">
        <v>42</v>
      </c>
      <c r="L825" t="s">
        <v>92</v>
      </c>
      <c r="M825" t="s">
        <v>1470</v>
      </c>
      <c r="N825">
        <v>2022</v>
      </c>
    </row>
    <row r="826" spans="1:14" x14ac:dyDescent="0.25">
      <c r="A826" t="s">
        <v>953</v>
      </c>
      <c r="B826" t="s">
        <v>954</v>
      </c>
      <c r="C826">
        <v>5831</v>
      </c>
      <c r="D826">
        <v>1574</v>
      </c>
      <c r="E826" s="5">
        <v>0.26993654604699002</v>
      </c>
      <c r="F826">
        <v>17</v>
      </c>
      <c r="G826" t="s">
        <v>30</v>
      </c>
      <c r="H826" t="s">
        <v>31</v>
      </c>
      <c r="I826" t="s">
        <v>32</v>
      </c>
      <c r="J826" s="1">
        <v>44881</v>
      </c>
      <c r="K826" t="s">
        <v>42</v>
      </c>
      <c r="L826" t="s">
        <v>92</v>
      </c>
      <c r="M826" t="s">
        <v>1475</v>
      </c>
      <c r="N826">
        <v>2022</v>
      </c>
    </row>
    <row r="827" spans="1:14" x14ac:dyDescent="0.25">
      <c r="A827" t="s">
        <v>953</v>
      </c>
      <c r="B827" t="s">
        <v>955</v>
      </c>
      <c r="C827">
        <v>5831</v>
      </c>
      <c r="D827">
        <v>1574</v>
      </c>
      <c r="E827" s="5">
        <v>0.26993654604699002</v>
      </c>
      <c r="F827">
        <v>17</v>
      </c>
      <c r="G827" t="s">
        <v>30</v>
      </c>
      <c r="H827" t="s">
        <v>31</v>
      </c>
      <c r="I827" t="s">
        <v>32</v>
      </c>
      <c r="J827" s="1">
        <v>45491</v>
      </c>
      <c r="K827" t="s">
        <v>42</v>
      </c>
      <c r="L827" t="s">
        <v>75</v>
      </c>
      <c r="M827" t="s">
        <v>1472</v>
      </c>
      <c r="N827">
        <v>2024</v>
      </c>
    </row>
    <row r="828" spans="1:14" x14ac:dyDescent="0.25">
      <c r="A828" t="s">
        <v>953</v>
      </c>
      <c r="B828" t="s">
        <v>956</v>
      </c>
      <c r="C828">
        <v>5831</v>
      </c>
      <c r="D828">
        <v>1574</v>
      </c>
      <c r="E828" s="5">
        <v>0.26993654604699002</v>
      </c>
      <c r="F828">
        <v>17</v>
      </c>
      <c r="G828" t="s">
        <v>30</v>
      </c>
      <c r="H828" t="s">
        <v>31</v>
      </c>
      <c r="I828" t="s">
        <v>32</v>
      </c>
      <c r="J828" s="1">
        <v>45123</v>
      </c>
      <c r="K828" t="s">
        <v>17</v>
      </c>
      <c r="L828" t="s">
        <v>18</v>
      </c>
      <c r="M828" t="s">
        <v>1472</v>
      </c>
      <c r="N828">
        <v>2023</v>
      </c>
    </row>
    <row r="829" spans="1:14" x14ac:dyDescent="0.25">
      <c r="A829" t="s">
        <v>957</v>
      </c>
      <c r="B829" t="s">
        <v>958</v>
      </c>
      <c r="C829">
        <v>7952</v>
      </c>
      <c r="D829">
        <v>3865</v>
      </c>
      <c r="E829" s="5">
        <v>0.48604124748490901</v>
      </c>
      <c r="F829">
        <v>8</v>
      </c>
      <c r="G829" t="s">
        <v>45</v>
      </c>
      <c r="H829" t="s">
        <v>60</v>
      </c>
      <c r="I829" t="s">
        <v>32</v>
      </c>
      <c r="J829" s="1">
        <v>44053</v>
      </c>
      <c r="K829" t="s">
        <v>21</v>
      </c>
      <c r="L829" t="s">
        <v>172</v>
      </c>
      <c r="M829" t="s">
        <v>1479</v>
      </c>
      <c r="N829">
        <v>2020</v>
      </c>
    </row>
    <row r="830" spans="1:14" x14ac:dyDescent="0.25">
      <c r="A830" t="s">
        <v>959</v>
      </c>
      <c r="B830" t="s">
        <v>960</v>
      </c>
      <c r="C830">
        <v>3659</v>
      </c>
      <c r="D830">
        <v>379</v>
      </c>
      <c r="E830" s="5">
        <v>0.103580213172998</v>
      </c>
      <c r="F830">
        <v>5</v>
      </c>
      <c r="G830" t="s">
        <v>45</v>
      </c>
      <c r="H830" t="s">
        <v>109</v>
      </c>
      <c r="I830" t="s">
        <v>15</v>
      </c>
      <c r="J830" s="1">
        <v>45465</v>
      </c>
      <c r="K830" t="s">
        <v>42</v>
      </c>
      <c r="L830" t="s">
        <v>43</v>
      </c>
      <c r="M830" t="s">
        <v>1470</v>
      </c>
      <c r="N830">
        <v>2024</v>
      </c>
    </row>
    <row r="831" spans="1:14" x14ac:dyDescent="0.25">
      <c r="A831" t="s">
        <v>961</v>
      </c>
      <c r="B831" t="s">
        <v>962</v>
      </c>
      <c r="C831">
        <v>4183</v>
      </c>
      <c r="D831">
        <v>1159</v>
      </c>
      <c r="E831" s="5">
        <v>0.27707387042792297</v>
      </c>
      <c r="F831">
        <v>4</v>
      </c>
      <c r="G831" t="s">
        <v>30</v>
      </c>
      <c r="H831" t="s">
        <v>31</v>
      </c>
      <c r="I831" t="s">
        <v>32</v>
      </c>
      <c r="J831" s="1">
        <v>44025</v>
      </c>
      <c r="K831" t="s">
        <v>21</v>
      </c>
      <c r="L831" t="s">
        <v>63</v>
      </c>
      <c r="M831" t="s">
        <v>1472</v>
      </c>
      <c r="N831">
        <v>2020</v>
      </c>
    </row>
    <row r="832" spans="1:14" x14ac:dyDescent="0.25">
      <c r="A832" t="s">
        <v>963</v>
      </c>
      <c r="B832" t="s">
        <v>964</v>
      </c>
      <c r="C832">
        <v>7478</v>
      </c>
      <c r="D832">
        <v>1381</v>
      </c>
      <c r="E832" s="5">
        <v>0.18467504680395799</v>
      </c>
      <c r="F832">
        <v>11</v>
      </c>
      <c r="G832" t="s">
        <v>13</v>
      </c>
      <c r="H832" t="s">
        <v>82</v>
      </c>
      <c r="I832" t="s">
        <v>40</v>
      </c>
      <c r="J832" s="1">
        <v>45398</v>
      </c>
      <c r="K832" t="s">
        <v>71</v>
      </c>
      <c r="L832" t="s">
        <v>138</v>
      </c>
      <c r="M832" t="s">
        <v>1481</v>
      </c>
      <c r="N832">
        <v>2024</v>
      </c>
    </row>
    <row r="833" spans="1:14" x14ac:dyDescent="0.25">
      <c r="A833" t="s">
        <v>965</v>
      </c>
      <c r="B833" t="s">
        <v>966</v>
      </c>
      <c r="C833">
        <v>702</v>
      </c>
      <c r="D833">
        <v>238</v>
      </c>
      <c r="E833" s="5">
        <v>0.33903133903133897</v>
      </c>
      <c r="F833">
        <v>9</v>
      </c>
      <c r="G833" t="s">
        <v>13</v>
      </c>
      <c r="H833" t="s">
        <v>82</v>
      </c>
      <c r="I833" t="s">
        <v>65</v>
      </c>
      <c r="J833" s="1">
        <v>44268</v>
      </c>
      <c r="K833" t="s">
        <v>17</v>
      </c>
      <c r="L833" t="s">
        <v>150</v>
      </c>
      <c r="M833" t="s">
        <v>1476</v>
      </c>
      <c r="N833">
        <v>2021</v>
      </c>
    </row>
    <row r="834" spans="1:14" x14ac:dyDescent="0.25">
      <c r="A834" t="s">
        <v>967</v>
      </c>
      <c r="B834" t="s">
        <v>968</v>
      </c>
      <c r="C834">
        <v>4037</v>
      </c>
      <c r="D834">
        <v>1494</v>
      </c>
      <c r="E834" s="5">
        <v>0.37007678969531799</v>
      </c>
      <c r="F834">
        <v>15</v>
      </c>
      <c r="G834" t="s">
        <v>45</v>
      </c>
      <c r="H834" t="s">
        <v>49</v>
      </c>
      <c r="I834" t="s">
        <v>40</v>
      </c>
      <c r="J834" s="1">
        <v>45017</v>
      </c>
      <c r="K834" t="s">
        <v>42</v>
      </c>
      <c r="L834" t="s">
        <v>92</v>
      </c>
      <c r="M834" t="s">
        <v>1481</v>
      </c>
      <c r="N834">
        <v>2023</v>
      </c>
    </row>
    <row r="835" spans="1:14" x14ac:dyDescent="0.25">
      <c r="A835" t="s">
        <v>969</v>
      </c>
      <c r="B835" t="s">
        <v>970</v>
      </c>
      <c r="C835">
        <v>5014</v>
      </c>
      <c r="D835">
        <v>2332</v>
      </c>
      <c r="E835" s="5">
        <v>0.46509772636617502</v>
      </c>
      <c r="F835">
        <v>2</v>
      </c>
      <c r="G835" t="s">
        <v>45</v>
      </c>
      <c r="H835" t="s">
        <v>49</v>
      </c>
      <c r="I835" t="s">
        <v>65</v>
      </c>
      <c r="J835" s="1">
        <v>44145</v>
      </c>
      <c r="K835" t="s">
        <v>21</v>
      </c>
      <c r="L835" t="s">
        <v>22</v>
      </c>
      <c r="M835" t="s">
        <v>1475</v>
      </c>
      <c r="N835">
        <v>2020</v>
      </c>
    </row>
    <row r="836" spans="1:14" x14ac:dyDescent="0.25">
      <c r="A836" t="s">
        <v>971</v>
      </c>
      <c r="B836" t="s">
        <v>972</v>
      </c>
      <c r="C836">
        <v>9879</v>
      </c>
      <c r="D836">
        <v>4930</v>
      </c>
      <c r="E836" s="5">
        <v>0.49903836420690401</v>
      </c>
      <c r="F836">
        <v>15</v>
      </c>
      <c r="G836" t="s">
        <v>13</v>
      </c>
      <c r="H836" t="s">
        <v>39</v>
      </c>
      <c r="I836" t="s">
        <v>32</v>
      </c>
      <c r="J836" s="1">
        <v>45085</v>
      </c>
      <c r="K836" t="s">
        <v>25</v>
      </c>
      <c r="L836" t="s">
        <v>68</v>
      </c>
      <c r="M836" t="s">
        <v>1470</v>
      </c>
      <c r="N836">
        <v>2023</v>
      </c>
    </row>
    <row r="837" spans="1:14" x14ac:dyDescent="0.25">
      <c r="A837" t="s">
        <v>973</v>
      </c>
      <c r="B837" t="s">
        <v>974</v>
      </c>
      <c r="C837">
        <v>8762</v>
      </c>
      <c r="D837">
        <v>3502</v>
      </c>
      <c r="E837" s="5">
        <v>0.399680438256106</v>
      </c>
      <c r="F837">
        <v>1</v>
      </c>
      <c r="G837" t="s">
        <v>13</v>
      </c>
      <c r="H837" t="s">
        <v>82</v>
      </c>
      <c r="I837" t="s">
        <v>32</v>
      </c>
      <c r="J837" s="1">
        <v>44425</v>
      </c>
      <c r="K837" t="s">
        <v>17</v>
      </c>
      <c r="L837" t="s">
        <v>150</v>
      </c>
      <c r="M837" t="s">
        <v>1479</v>
      </c>
      <c r="N837">
        <v>2021</v>
      </c>
    </row>
    <row r="838" spans="1:14" x14ac:dyDescent="0.25">
      <c r="A838" t="s">
        <v>975</v>
      </c>
      <c r="B838" t="s">
        <v>976</v>
      </c>
      <c r="C838">
        <v>8490</v>
      </c>
      <c r="D838">
        <v>800</v>
      </c>
      <c r="E838" s="5">
        <v>9.42285041224971E-2</v>
      </c>
      <c r="F838">
        <v>1</v>
      </c>
      <c r="G838" t="s">
        <v>30</v>
      </c>
      <c r="H838" t="s">
        <v>31</v>
      </c>
      <c r="I838" t="s">
        <v>40</v>
      </c>
      <c r="J838" s="1">
        <v>43975</v>
      </c>
      <c r="K838" t="s">
        <v>25</v>
      </c>
      <c r="L838" t="s">
        <v>51</v>
      </c>
      <c r="M838" t="s">
        <v>1473</v>
      </c>
      <c r="N838">
        <v>2020</v>
      </c>
    </row>
    <row r="839" spans="1:14" x14ac:dyDescent="0.25">
      <c r="A839" t="s">
        <v>977</v>
      </c>
      <c r="B839" t="s">
        <v>978</v>
      </c>
      <c r="C839">
        <v>6951</v>
      </c>
      <c r="D839">
        <v>164</v>
      </c>
      <c r="E839" s="5">
        <v>2.359372752122E-2</v>
      </c>
      <c r="F839">
        <v>10</v>
      </c>
      <c r="G839" t="s">
        <v>45</v>
      </c>
      <c r="H839" t="s">
        <v>60</v>
      </c>
      <c r="I839" t="s">
        <v>15</v>
      </c>
      <c r="J839" s="1">
        <v>44420</v>
      </c>
      <c r="K839" t="s">
        <v>25</v>
      </c>
      <c r="L839" t="s">
        <v>26</v>
      </c>
      <c r="M839" t="s">
        <v>1479</v>
      </c>
      <c r="N839">
        <v>2021</v>
      </c>
    </row>
    <row r="840" spans="1:14" x14ac:dyDescent="0.25">
      <c r="A840" t="s">
        <v>979</v>
      </c>
      <c r="B840" t="s">
        <v>980</v>
      </c>
      <c r="C840">
        <v>1078</v>
      </c>
      <c r="D840">
        <v>309</v>
      </c>
      <c r="E840" s="5">
        <v>0.28664192949907202</v>
      </c>
      <c r="F840">
        <v>3</v>
      </c>
      <c r="G840" t="s">
        <v>13</v>
      </c>
      <c r="H840" t="s">
        <v>82</v>
      </c>
      <c r="I840" t="s">
        <v>47</v>
      </c>
      <c r="J840" s="1">
        <v>44807</v>
      </c>
      <c r="K840" t="s">
        <v>98</v>
      </c>
      <c r="L840" t="s">
        <v>117</v>
      </c>
      <c r="M840" t="s">
        <v>1480</v>
      </c>
      <c r="N840">
        <v>2022</v>
      </c>
    </row>
    <row r="841" spans="1:14" x14ac:dyDescent="0.25">
      <c r="A841" t="s">
        <v>979</v>
      </c>
      <c r="B841" t="s">
        <v>981</v>
      </c>
      <c r="C841">
        <v>1078</v>
      </c>
      <c r="D841">
        <v>309</v>
      </c>
      <c r="E841" s="5">
        <v>0.28664192949907202</v>
      </c>
      <c r="F841">
        <v>3</v>
      </c>
      <c r="G841" t="s">
        <v>13</v>
      </c>
      <c r="H841" t="s">
        <v>82</v>
      </c>
      <c r="I841" t="s">
        <v>47</v>
      </c>
      <c r="J841" s="1">
        <v>44105</v>
      </c>
      <c r="K841" t="s">
        <v>21</v>
      </c>
      <c r="L841" t="s">
        <v>22</v>
      </c>
      <c r="M841" t="s">
        <v>1474</v>
      </c>
      <c r="N841">
        <v>2020</v>
      </c>
    </row>
    <row r="842" spans="1:14" x14ac:dyDescent="0.25">
      <c r="A842" t="s">
        <v>982</v>
      </c>
      <c r="B842" t="s">
        <v>983</v>
      </c>
      <c r="C842">
        <v>8560</v>
      </c>
      <c r="D842">
        <v>2166</v>
      </c>
      <c r="E842" s="5">
        <v>0.25303738317757002</v>
      </c>
      <c r="F842">
        <v>19</v>
      </c>
      <c r="G842" t="s">
        <v>30</v>
      </c>
      <c r="H842" t="s">
        <v>78</v>
      </c>
      <c r="I842" t="s">
        <v>40</v>
      </c>
      <c r="J842" s="1">
        <v>44708</v>
      </c>
      <c r="K842" t="s">
        <v>17</v>
      </c>
      <c r="L842" t="s">
        <v>150</v>
      </c>
      <c r="M842" t="s">
        <v>1473</v>
      </c>
      <c r="N842">
        <v>2022</v>
      </c>
    </row>
    <row r="843" spans="1:14" x14ac:dyDescent="0.25">
      <c r="A843" t="s">
        <v>982</v>
      </c>
      <c r="B843" t="s">
        <v>983</v>
      </c>
      <c r="C843">
        <v>1031</v>
      </c>
      <c r="D843">
        <v>318</v>
      </c>
      <c r="E843" s="5">
        <v>0.30843840931134803</v>
      </c>
      <c r="F843">
        <v>20</v>
      </c>
      <c r="G843" t="s">
        <v>13</v>
      </c>
      <c r="H843" t="s">
        <v>14</v>
      </c>
      <c r="I843" t="s">
        <v>15</v>
      </c>
      <c r="J843" s="1">
        <v>44708</v>
      </c>
      <c r="K843" t="s">
        <v>17</v>
      </c>
      <c r="L843" t="s">
        <v>150</v>
      </c>
      <c r="M843" t="s">
        <v>1473</v>
      </c>
      <c r="N843">
        <v>2022</v>
      </c>
    </row>
    <row r="844" spans="1:14" x14ac:dyDescent="0.25">
      <c r="A844" t="s">
        <v>984</v>
      </c>
      <c r="B844" t="s">
        <v>985</v>
      </c>
      <c r="C844">
        <v>6402</v>
      </c>
      <c r="D844">
        <v>2770</v>
      </c>
      <c r="E844" s="5">
        <v>0.432677288347391</v>
      </c>
      <c r="F844">
        <v>19</v>
      </c>
      <c r="G844" t="s">
        <v>30</v>
      </c>
      <c r="H844" t="s">
        <v>57</v>
      </c>
      <c r="I844" t="s">
        <v>32</v>
      </c>
      <c r="J844" s="1">
        <v>45361</v>
      </c>
      <c r="K844" t="s">
        <v>17</v>
      </c>
      <c r="L844" t="s">
        <v>34</v>
      </c>
      <c r="M844" t="s">
        <v>1476</v>
      </c>
      <c r="N844">
        <v>2024</v>
      </c>
    </row>
    <row r="845" spans="1:14" x14ac:dyDescent="0.25">
      <c r="A845" t="s">
        <v>984</v>
      </c>
      <c r="B845" t="s">
        <v>986</v>
      </c>
      <c r="C845">
        <v>6402</v>
      </c>
      <c r="D845">
        <v>2770</v>
      </c>
      <c r="E845" s="5">
        <v>0.432677288347391</v>
      </c>
      <c r="F845">
        <v>19</v>
      </c>
      <c r="G845" t="s">
        <v>30</v>
      </c>
      <c r="H845" t="s">
        <v>57</v>
      </c>
      <c r="I845" t="s">
        <v>32</v>
      </c>
      <c r="J845" s="1">
        <v>45204</v>
      </c>
      <c r="K845" t="s">
        <v>17</v>
      </c>
      <c r="L845" t="s">
        <v>34</v>
      </c>
      <c r="M845" t="s">
        <v>1474</v>
      </c>
      <c r="N845">
        <v>2023</v>
      </c>
    </row>
    <row r="846" spans="1:14" x14ac:dyDescent="0.25">
      <c r="A846" t="s">
        <v>984</v>
      </c>
      <c r="B846" t="s">
        <v>985</v>
      </c>
      <c r="C846">
        <v>5916</v>
      </c>
      <c r="D846">
        <v>1594</v>
      </c>
      <c r="E846" s="5">
        <v>0.26943881000676101</v>
      </c>
      <c r="F846">
        <v>19</v>
      </c>
      <c r="G846" t="s">
        <v>13</v>
      </c>
      <c r="H846" t="s">
        <v>28</v>
      </c>
      <c r="I846" t="s">
        <v>32</v>
      </c>
      <c r="J846" s="1">
        <v>45361</v>
      </c>
      <c r="K846" t="s">
        <v>17</v>
      </c>
      <c r="L846" t="s">
        <v>34</v>
      </c>
      <c r="M846" t="s">
        <v>1476</v>
      </c>
      <c r="N846">
        <v>2024</v>
      </c>
    </row>
    <row r="847" spans="1:14" x14ac:dyDescent="0.25">
      <c r="A847" t="s">
        <v>984</v>
      </c>
      <c r="B847" t="s">
        <v>986</v>
      </c>
      <c r="C847">
        <v>5916</v>
      </c>
      <c r="D847">
        <v>1594</v>
      </c>
      <c r="E847" s="5">
        <v>0.26943881000676101</v>
      </c>
      <c r="F847">
        <v>19</v>
      </c>
      <c r="G847" t="s">
        <v>13</v>
      </c>
      <c r="H847" t="s">
        <v>28</v>
      </c>
      <c r="I847" t="s">
        <v>32</v>
      </c>
      <c r="J847" s="1">
        <v>45204</v>
      </c>
      <c r="K847" t="s">
        <v>17</v>
      </c>
      <c r="L847" t="s">
        <v>34</v>
      </c>
      <c r="M847" t="s">
        <v>1474</v>
      </c>
      <c r="N847">
        <v>2023</v>
      </c>
    </row>
    <row r="848" spans="1:14" x14ac:dyDescent="0.25">
      <c r="A848" t="s">
        <v>987</v>
      </c>
      <c r="B848" t="s">
        <v>988</v>
      </c>
      <c r="C848">
        <v>4015</v>
      </c>
      <c r="D848">
        <v>1751</v>
      </c>
      <c r="E848" s="5">
        <v>0.43611457036114598</v>
      </c>
      <c r="F848">
        <v>15</v>
      </c>
      <c r="G848" t="s">
        <v>45</v>
      </c>
      <c r="H848" t="s">
        <v>49</v>
      </c>
      <c r="I848" t="s">
        <v>32</v>
      </c>
      <c r="J848" s="1">
        <v>44801</v>
      </c>
      <c r="K848" t="s">
        <v>42</v>
      </c>
      <c r="L848" t="s">
        <v>92</v>
      </c>
      <c r="M848" t="s">
        <v>1479</v>
      </c>
      <c r="N848">
        <v>2022</v>
      </c>
    </row>
    <row r="849" spans="1:14" x14ac:dyDescent="0.25">
      <c r="A849" t="s">
        <v>987</v>
      </c>
      <c r="B849" t="s">
        <v>989</v>
      </c>
      <c r="C849">
        <v>4015</v>
      </c>
      <c r="D849">
        <v>1751</v>
      </c>
      <c r="E849" s="5">
        <v>0.43611457036114598</v>
      </c>
      <c r="F849">
        <v>15</v>
      </c>
      <c r="G849" t="s">
        <v>45</v>
      </c>
      <c r="H849" t="s">
        <v>49</v>
      </c>
      <c r="I849" t="s">
        <v>32</v>
      </c>
      <c r="J849" s="1">
        <v>44082</v>
      </c>
      <c r="K849" t="s">
        <v>25</v>
      </c>
      <c r="L849" t="s">
        <v>51</v>
      </c>
      <c r="M849" t="s">
        <v>1480</v>
      </c>
      <c r="N849">
        <v>2020</v>
      </c>
    </row>
    <row r="850" spans="1:14" x14ac:dyDescent="0.25">
      <c r="A850" t="s">
        <v>990</v>
      </c>
      <c r="B850" t="s">
        <v>991</v>
      </c>
      <c r="C850">
        <v>9335</v>
      </c>
      <c r="D850">
        <v>557</v>
      </c>
      <c r="E850" s="5">
        <v>5.9667916443492203E-2</v>
      </c>
      <c r="F850">
        <v>11</v>
      </c>
      <c r="G850" t="s">
        <v>13</v>
      </c>
      <c r="H850" t="s">
        <v>14</v>
      </c>
      <c r="I850" t="s">
        <v>65</v>
      </c>
      <c r="J850" s="1">
        <v>44313</v>
      </c>
      <c r="K850" t="s">
        <v>42</v>
      </c>
      <c r="L850" t="s">
        <v>43</v>
      </c>
      <c r="M850" t="s">
        <v>1481</v>
      </c>
      <c r="N850">
        <v>2021</v>
      </c>
    </row>
    <row r="851" spans="1:14" x14ac:dyDescent="0.25">
      <c r="A851" t="s">
        <v>992</v>
      </c>
      <c r="B851" t="s">
        <v>993</v>
      </c>
      <c r="C851">
        <v>4706</v>
      </c>
      <c r="D851">
        <v>594</v>
      </c>
      <c r="E851" s="5">
        <v>0.12622184445388901</v>
      </c>
      <c r="F851">
        <v>11</v>
      </c>
      <c r="G851" t="s">
        <v>30</v>
      </c>
      <c r="H851" t="s">
        <v>78</v>
      </c>
      <c r="I851" t="s">
        <v>65</v>
      </c>
      <c r="J851" s="1">
        <v>44429</v>
      </c>
      <c r="K851" t="s">
        <v>98</v>
      </c>
      <c r="L851" t="s">
        <v>117</v>
      </c>
      <c r="M851" t="s">
        <v>1479</v>
      </c>
      <c r="N851">
        <v>2021</v>
      </c>
    </row>
    <row r="852" spans="1:14" x14ac:dyDescent="0.25">
      <c r="A852" t="s">
        <v>992</v>
      </c>
      <c r="B852" t="s">
        <v>994</v>
      </c>
      <c r="C852">
        <v>4706</v>
      </c>
      <c r="D852">
        <v>594</v>
      </c>
      <c r="E852" s="5">
        <v>0.12622184445388901</v>
      </c>
      <c r="F852">
        <v>11</v>
      </c>
      <c r="G852" t="s">
        <v>30</v>
      </c>
      <c r="H852" t="s">
        <v>78</v>
      </c>
      <c r="I852" t="s">
        <v>65</v>
      </c>
      <c r="J852" s="1">
        <v>44332</v>
      </c>
      <c r="K852" t="s">
        <v>98</v>
      </c>
      <c r="L852" t="s">
        <v>99</v>
      </c>
      <c r="M852" t="s">
        <v>1473</v>
      </c>
      <c r="N852">
        <v>2021</v>
      </c>
    </row>
    <row r="853" spans="1:14" x14ac:dyDescent="0.25">
      <c r="A853" t="s">
        <v>992</v>
      </c>
      <c r="B853" t="s">
        <v>993</v>
      </c>
      <c r="C853">
        <v>6584</v>
      </c>
      <c r="D853">
        <v>371</v>
      </c>
      <c r="E853" s="5">
        <v>5.6348724179829897E-2</v>
      </c>
      <c r="F853">
        <v>6</v>
      </c>
      <c r="G853" t="s">
        <v>30</v>
      </c>
      <c r="H853" t="s">
        <v>57</v>
      </c>
      <c r="I853" t="s">
        <v>15</v>
      </c>
      <c r="J853" s="1">
        <v>44429</v>
      </c>
      <c r="K853" t="s">
        <v>98</v>
      </c>
      <c r="L853" t="s">
        <v>117</v>
      </c>
      <c r="M853" t="s">
        <v>1479</v>
      </c>
      <c r="N853">
        <v>2021</v>
      </c>
    </row>
    <row r="854" spans="1:14" x14ac:dyDescent="0.25">
      <c r="A854" t="s">
        <v>992</v>
      </c>
      <c r="B854" t="s">
        <v>994</v>
      </c>
      <c r="C854">
        <v>6584</v>
      </c>
      <c r="D854">
        <v>371</v>
      </c>
      <c r="E854" s="5">
        <v>5.6348724179829897E-2</v>
      </c>
      <c r="F854">
        <v>6</v>
      </c>
      <c r="G854" t="s">
        <v>30</v>
      </c>
      <c r="H854" t="s">
        <v>57</v>
      </c>
      <c r="I854" t="s">
        <v>15</v>
      </c>
      <c r="J854" s="1">
        <v>44332</v>
      </c>
      <c r="K854" t="s">
        <v>98</v>
      </c>
      <c r="L854" t="s">
        <v>99</v>
      </c>
      <c r="M854" t="s">
        <v>1473</v>
      </c>
      <c r="N854">
        <v>2021</v>
      </c>
    </row>
    <row r="855" spans="1:14" x14ac:dyDescent="0.25">
      <c r="A855" t="s">
        <v>995</v>
      </c>
      <c r="B855" t="s">
        <v>996</v>
      </c>
      <c r="C855">
        <v>6389</v>
      </c>
      <c r="D855">
        <v>734</v>
      </c>
      <c r="E855" s="5">
        <v>0.11488495852246</v>
      </c>
      <c r="F855">
        <v>1</v>
      </c>
      <c r="G855" t="s">
        <v>45</v>
      </c>
      <c r="H855" t="s">
        <v>60</v>
      </c>
      <c r="I855" t="s">
        <v>40</v>
      </c>
      <c r="J855" s="1">
        <v>44576</v>
      </c>
      <c r="K855" t="s">
        <v>71</v>
      </c>
      <c r="L855" t="s">
        <v>72</v>
      </c>
      <c r="M855" t="s">
        <v>1478</v>
      </c>
      <c r="N855">
        <v>2022</v>
      </c>
    </row>
    <row r="856" spans="1:14" x14ac:dyDescent="0.25">
      <c r="A856" t="s">
        <v>997</v>
      </c>
      <c r="B856" t="s">
        <v>998</v>
      </c>
      <c r="C856">
        <v>9869</v>
      </c>
      <c r="D856">
        <v>4299</v>
      </c>
      <c r="E856" s="5">
        <v>0.43560644442192697</v>
      </c>
      <c r="F856">
        <v>12</v>
      </c>
      <c r="G856" t="s">
        <v>13</v>
      </c>
      <c r="H856" t="s">
        <v>28</v>
      </c>
      <c r="I856" t="s">
        <v>32</v>
      </c>
      <c r="J856" s="1">
        <v>45006</v>
      </c>
      <c r="K856" t="s">
        <v>42</v>
      </c>
      <c r="L856" t="s">
        <v>75</v>
      </c>
      <c r="M856" t="s">
        <v>1476</v>
      </c>
      <c r="N856">
        <v>2023</v>
      </c>
    </row>
    <row r="857" spans="1:14" x14ac:dyDescent="0.25">
      <c r="A857" t="s">
        <v>997</v>
      </c>
      <c r="B857" t="s">
        <v>999</v>
      </c>
      <c r="C857">
        <v>9869</v>
      </c>
      <c r="D857">
        <v>4299</v>
      </c>
      <c r="E857" s="5">
        <v>0.43560644442192697</v>
      </c>
      <c r="F857">
        <v>12</v>
      </c>
      <c r="G857" t="s">
        <v>13</v>
      </c>
      <c r="H857" t="s">
        <v>28</v>
      </c>
      <c r="I857" t="s">
        <v>32</v>
      </c>
      <c r="J857" s="1">
        <v>45288</v>
      </c>
      <c r="K857" t="s">
        <v>25</v>
      </c>
      <c r="L857" t="s">
        <v>26</v>
      </c>
      <c r="M857" t="s">
        <v>1471</v>
      </c>
      <c r="N857">
        <v>2023</v>
      </c>
    </row>
    <row r="858" spans="1:14" x14ac:dyDescent="0.25">
      <c r="A858" t="s">
        <v>1000</v>
      </c>
      <c r="B858" t="s">
        <v>1001</v>
      </c>
      <c r="C858">
        <v>655</v>
      </c>
      <c r="D858">
        <v>297</v>
      </c>
      <c r="E858" s="5">
        <v>0.45343511450381702</v>
      </c>
      <c r="F858">
        <v>4</v>
      </c>
      <c r="G858" t="s">
        <v>30</v>
      </c>
      <c r="H858" t="s">
        <v>57</v>
      </c>
      <c r="I858" t="s">
        <v>32</v>
      </c>
      <c r="J858" s="1">
        <v>44607</v>
      </c>
      <c r="K858" t="s">
        <v>25</v>
      </c>
      <c r="L858" t="s">
        <v>26</v>
      </c>
      <c r="M858" t="s">
        <v>1477</v>
      </c>
      <c r="N858">
        <v>2022</v>
      </c>
    </row>
    <row r="859" spans="1:14" x14ac:dyDescent="0.25">
      <c r="A859" t="s">
        <v>1000</v>
      </c>
      <c r="B859" t="s">
        <v>1002</v>
      </c>
      <c r="C859">
        <v>655</v>
      </c>
      <c r="D859">
        <v>297</v>
      </c>
      <c r="E859" s="5">
        <v>0.45343511450381702</v>
      </c>
      <c r="F859">
        <v>4</v>
      </c>
      <c r="G859" t="s">
        <v>30</v>
      </c>
      <c r="H859" t="s">
        <v>57</v>
      </c>
      <c r="I859" t="s">
        <v>32</v>
      </c>
      <c r="J859" s="1">
        <v>45260</v>
      </c>
      <c r="K859" t="s">
        <v>17</v>
      </c>
      <c r="L859" t="s">
        <v>34</v>
      </c>
      <c r="M859" t="s">
        <v>1475</v>
      </c>
      <c r="N859">
        <v>2023</v>
      </c>
    </row>
    <row r="860" spans="1:14" x14ac:dyDescent="0.25">
      <c r="A860" t="s">
        <v>1003</v>
      </c>
      <c r="B860" t="s">
        <v>1004</v>
      </c>
      <c r="C860">
        <v>798</v>
      </c>
      <c r="D860">
        <v>308</v>
      </c>
      <c r="E860" s="5">
        <v>0.38596491228070201</v>
      </c>
      <c r="F860">
        <v>10</v>
      </c>
      <c r="G860" t="s">
        <v>13</v>
      </c>
      <c r="H860" t="s">
        <v>82</v>
      </c>
      <c r="I860" t="s">
        <v>32</v>
      </c>
      <c r="J860" s="1">
        <v>44938</v>
      </c>
      <c r="K860" t="s">
        <v>25</v>
      </c>
      <c r="L860" t="s">
        <v>26</v>
      </c>
      <c r="M860" t="s">
        <v>1478</v>
      </c>
      <c r="N860">
        <v>2023</v>
      </c>
    </row>
    <row r="861" spans="1:14" x14ac:dyDescent="0.25">
      <c r="A861" t="s">
        <v>1003</v>
      </c>
      <c r="B861" t="s">
        <v>1005</v>
      </c>
      <c r="C861">
        <v>798</v>
      </c>
      <c r="D861">
        <v>308</v>
      </c>
      <c r="E861" s="5">
        <v>0.38596491228070201</v>
      </c>
      <c r="F861">
        <v>10</v>
      </c>
      <c r="G861" t="s">
        <v>13</v>
      </c>
      <c r="H861" t="s">
        <v>82</v>
      </c>
      <c r="I861" t="s">
        <v>32</v>
      </c>
      <c r="J861" s="1">
        <v>45065</v>
      </c>
      <c r="K861" t="s">
        <v>98</v>
      </c>
      <c r="L861" t="s">
        <v>117</v>
      </c>
      <c r="M861" t="s">
        <v>1473</v>
      </c>
      <c r="N861">
        <v>2023</v>
      </c>
    </row>
    <row r="862" spans="1:14" x14ac:dyDescent="0.25">
      <c r="A862" t="s">
        <v>1003</v>
      </c>
      <c r="B862" t="s">
        <v>1004</v>
      </c>
      <c r="C862">
        <v>7967</v>
      </c>
      <c r="D862">
        <v>2504</v>
      </c>
      <c r="E862" s="5">
        <v>0.314296472950923</v>
      </c>
      <c r="F862">
        <v>13</v>
      </c>
      <c r="G862" t="s">
        <v>13</v>
      </c>
      <c r="H862" t="s">
        <v>28</v>
      </c>
      <c r="I862" t="s">
        <v>40</v>
      </c>
      <c r="J862" s="1">
        <v>44938</v>
      </c>
      <c r="K862" t="s">
        <v>25</v>
      </c>
      <c r="L862" t="s">
        <v>26</v>
      </c>
      <c r="M862" t="s">
        <v>1478</v>
      </c>
      <c r="N862">
        <v>2023</v>
      </c>
    </row>
    <row r="863" spans="1:14" x14ac:dyDescent="0.25">
      <c r="A863" t="s">
        <v>1003</v>
      </c>
      <c r="B863" t="s">
        <v>1005</v>
      </c>
      <c r="C863">
        <v>7967</v>
      </c>
      <c r="D863">
        <v>2504</v>
      </c>
      <c r="E863" s="5">
        <v>0.314296472950923</v>
      </c>
      <c r="F863">
        <v>13</v>
      </c>
      <c r="G863" t="s">
        <v>13</v>
      </c>
      <c r="H863" t="s">
        <v>28</v>
      </c>
      <c r="I863" t="s">
        <v>40</v>
      </c>
      <c r="J863" s="1">
        <v>45065</v>
      </c>
      <c r="K863" t="s">
        <v>98</v>
      </c>
      <c r="L863" t="s">
        <v>117</v>
      </c>
      <c r="M863" t="s">
        <v>1473</v>
      </c>
      <c r="N863">
        <v>2023</v>
      </c>
    </row>
    <row r="864" spans="1:14" x14ac:dyDescent="0.25">
      <c r="A864" t="s">
        <v>1006</v>
      </c>
      <c r="B864" t="s">
        <v>1007</v>
      </c>
      <c r="C864">
        <v>3756</v>
      </c>
      <c r="D864">
        <v>1318</v>
      </c>
      <c r="E864" s="5">
        <v>0.35090521831735899</v>
      </c>
      <c r="F864">
        <v>5</v>
      </c>
      <c r="G864" t="s">
        <v>45</v>
      </c>
      <c r="H864" t="s">
        <v>46</v>
      </c>
      <c r="I864" t="s">
        <v>15</v>
      </c>
      <c r="J864" s="1">
        <v>45341</v>
      </c>
      <c r="K864" t="s">
        <v>17</v>
      </c>
      <c r="L864" t="s">
        <v>18</v>
      </c>
      <c r="M864" t="s">
        <v>1477</v>
      </c>
      <c r="N864">
        <v>2024</v>
      </c>
    </row>
    <row r="865" spans="1:14" x14ac:dyDescent="0.25">
      <c r="A865" t="s">
        <v>1008</v>
      </c>
      <c r="B865" t="s">
        <v>1009</v>
      </c>
      <c r="C865">
        <v>5196</v>
      </c>
      <c r="D865">
        <v>2477</v>
      </c>
      <c r="E865" s="5">
        <v>0.47671285604310998</v>
      </c>
      <c r="F865">
        <v>1</v>
      </c>
      <c r="G865" t="s">
        <v>30</v>
      </c>
      <c r="H865" t="s">
        <v>57</v>
      </c>
      <c r="I865" t="s">
        <v>15</v>
      </c>
      <c r="J865" s="1">
        <v>44531</v>
      </c>
      <c r="K865" t="s">
        <v>71</v>
      </c>
      <c r="L865" t="s">
        <v>86</v>
      </c>
      <c r="M865" t="s">
        <v>1471</v>
      </c>
      <c r="N865">
        <v>2021</v>
      </c>
    </row>
    <row r="866" spans="1:14" x14ac:dyDescent="0.25">
      <c r="A866" t="s">
        <v>1008</v>
      </c>
      <c r="B866" t="s">
        <v>1009</v>
      </c>
      <c r="C866">
        <v>6586</v>
      </c>
      <c r="D866">
        <v>1794</v>
      </c>
      <c r="E866" s="5">
        <v>0.27239599149711502</v>
      </c>
      <c r="F866">
        <v>19</v>
      </c>
      <c r="G866" t="s">
        <v>45</v>
      </c>
      <c r="H866" t="s">
        <v>109</v>
      </c>
      <c r="I866" t="s">
        <v>32</v>
      </c>
      <c r="J866" s="1">
        <v>44531</v>
      </c>
      <c r="K866" t="s">
        <v>71</v>
      </c>
      <c r="L866" t="s">
        <v>86</v>
      </c>
      <c r="M866" t="s">
        <v>1471</v>
      </c>
      <c r="N866">
        <v>2021</v>
      </c>
    </row>
    <row r="867" spans="1:14" x14ac:dyDescent="0.25">
      <c r="A867" t="s">
        <v>1010</v>
      </c>
      <c r="B867" t="s">
        <v>1011</v>
      </c>
      <c r="C867">
        <v>6673</v>
      </c>
      <c r="D867">
        <v>950</v>
      </c>
      <c r="E867" s="5">
        <v>0.14236475348419</v>
      </c>
      <c r="F867">
        <v>19</v>
      </c>
      <c r="G867" t="s">
        <v>30</v>
      </c>
      <c r="H867" t="s">
        <v>57</v>
      </c>
      <c r="I867" t="s">
        <v>40</v>
      </c>
      <c r="J867" s="1">
        <v>45645</v>
      </c>
      <c r="K867" t="s">
        <v>25</v>
      </c>
      <c r="L867" t="s">
        <v>26</v>
      </c>
      <c r="M867" t="s">
        <v>1471</v>
      </c>
      <c r="N867">
        <v>2024</v>
      </c>
    </row>
    <row r="868" spans="1:14" x14ac:dyDescent="0.25">
      <c r="A868" t="s">
        <v>1012</v>
      </c>
      <c r="B868" t="s">
        <v>1013</v>
      </c>
      <c r="C868">
        <v>714</v>
      </c>
      <c r="D868">
        <v>232</v>
      </c>
      <c r="E868" s="5">
        <v>0.32492997198879597</v>
      </c>
      <c r="F868">
        <v>14</v>
      </c>
      <c r="G868" t="s">
        <v>45</v>
      </c>
      <c r="H868" t="s">
        <v>46</v>
      </c>
      <c r="I868" t="s">
        <v>15</v>
      </c>
      <c r="J868" s="1">
        <v>44944</v>
      </c>
      <c r="K868" t="s">
        <v>98</v>
      </c>
      <c r="L868" t="s">
        <v>99</v>
      </c>
      <c r="M868" t="s">
        <v>1478</v>
      </c>
      <c r="N868">
        <v>2023</v>
      </c>
    </row>
    <row r="869" spans="1:14" x14ac:dyDescent="0.25">
      <c r="A869" t="s">
        <v>1012</v>
      </c>
      <c r="B869" t="s">
        <v>1014</v>
      </c>
      <c r="C869">
        <v>714</v>
      </c>
      <c r="D869">
        <v>232</v>
      </c>
      <c r="E869" s="5">
        <v>0.32492997198879597</v>
      </c>
      <c r="F869">
        <v>14</v>
      </c>
      <c r="G869" t="s">
        <v>45</v>
      </c>
      <c r="H869" t="s">
        <v>46</v>
      </c>
      <c r="I869" t="s">
        <v>15</v>
      </c>
      <c r="J869" s="1">
        <v>44188</v>
      </c>
      <c r="K869" t="s">
        <v>71</v>
      </c>
      <c r="L869" t="s">
        <v>86</v>
      </c>
      <c r="M869" t="s">
        <v>1471</v>
      </c>
      <c r="N869">
        <v>2020</v>
      </c>
    </row>
    <row r="870" spans="1:14" x14ac:dyDescent="0.25">
      <c r="A870" t="s">
        <v>1015</v>
      </c>
      <c r="B870" t="s">
        <v>1016</v>
      </c>
      <c r="C870">
        <v>1083</v>
      </c>
      <c r="D870">
        <v>501</v>
      </c>
      <c r="E870" s="5">
        <v>0.46260387811634401</v>
      </c>
      <c r="F870">
        <v>6</v>
      </c>
      <c r="G870" t="s">
        <v>30</v>
      </c>
      <c r="H870" t="s">
        <v>31</v>
      </c>
      <c r="I870" t="s">
        <v>65</v>
      </c>
      <c r="J870" s="1">
        <v>44255</v>
      </c>
      <c r="K870" t="s">
        <v>71</v>
      </c>
      <c r="L870" t="s">
        <v>86</v>
      </c>
      <c r="M870" t="s">
        <v>1477</v>
      </c>
      <c r="N870">
        <v>2021</v>
      </c>
    </row>
    <row r="871" spans="1:14" x14ac:dyDescent="0.25">
      <c r="A871" t="s">
        <v>1017</v>
      </c>
      <c r="B871" t="s">
        <v>1018</v>
      </c>
      <c r="C871">
        <v>2401</v>
      </c>
      <c r="D871">
        <v>1163</v>
      </c>
      <c r="E871" s="5">
        <v>0.484381507705123</v>
      </c>
      <c r="F871">
        <v>10</v>
      </c>
      <c r="G871" t="s">
        <v>45</v>
      </c>
      <c r="H871" t="s">
        <v>109</v>
      </c>
      <c r="I871" t="s">
        <v>15</v>
      </c>
      <c r="J871" s="1">
        <v>45050</v>
      </c>
      <c r="K871" t="s">
        <v>98</v>
      </c>
      <c r="L871" t="s">
        <v>117</v>
      </c>
      <c r="M871" t="s">
        <v>1473</v>
      </c>
      <c r="N871">
        <v>2023</v>
      </c>
    </row>
    <row r="872" spans="1:14" x14ac:dyDescent="0.25">
      <c r="A872" t="s">
        <v>1017</v>
      </c>
      <c r="B872" t="s">
        <v>1019</v>
      </c>
      <c r="C872">
        <v>2401</v>
      </c>
      <c r="D872">
        <v>1163</v>
      </c>
      <c r="E872" s="5">
        <v>0.484381507705123</v>
      </c>
      <c r="F872">
        <v>10</v>
      </c>
      <c r="G872" t="s">
        <v>45</v>
      </c>
      <c r="H872" t="s">
        <v>109</v>
      </c>
      <c r="I872" t="s">
        <v>15</v>
      </c>
      <c r="J872" s="1">
        <v>43943</v>
      </c>
      <c r="K872" t="s">
        <v>42</v>
      </c>
      <c r="L872" t="s">
        <v>43</v>
      </c>
      <c r="M872" t="s">
        <v>1481</v>
      </c>
      <c r="N872">
        <v>2020</v>
      </c>
    </row>
    <row r="873" spans="1:14" x14ac:dyDescent="0.25">
      <c r="A873" t="s">
        <v>1017</v>
      </c>
      <c r="B873" t="s">
        <v>1020</v>
      </c>
      <c r="C873">
        <v>2401</v>
      </c>
      <c r="D873">
        <v>1163</v>
      </c>
      <c r="E873" s="5">
        <v>0.484381507705123</v>
      </c>
      <c r="F873">
        <v>10</v>
      </c>
      <c r="G873" t="s">
        <v>45</v>
      </c>
      <c r="H873" t="s">
        <v>109</v>
      </c>
      <c r="I873" t="s">
        <v>15</v>
      </c>
      <c r="J873" s="1">
        <v>44421</v>
      </c>
      <c r="K873" t="s">
        <v>25</v>
      </c>
      <c r="L873" t="s">
        <v>68</v>
      </c>
      <c r="M873" t="s">
        <v>1479</v>
      </c>
      <c r="N873">
        <v>2021</v>
      </c>
    </row>
    <row r="874" spans="1:14" x14ac:dyDescent="0.25">
      <c r="A874" t="s">
        <v>1017</v>
      </c>
      <c r="B874" t="s">
        <v>1018</v>
      </c>
      <c r="C874">
        <v>1045</v>
      </c>
      <c r="D874">
        <v>267</v>
      </c>
      <c r="E874" s="5">
        <v>0.25550239234449801</v>
      </c>
      <c r="F874">
        <v>11</v>
      </c>
      <c r="G874" t="s">
        <v>13</v>
      </c>
      <c r="H874" t="s">
        <v>82</v>
      </c>
      <c r="I874" t="s">
        <v>32</v>
      </c>
      <c r="J874" s="1">
        <v>45050</v>
      </c>
      <c r="K874" t="s">
        <v>98</v>
      </c>
      <c r="L874" t="s">
        <v>117</v>
      </c>
      <c r="M874" t="s">
        <v>1473</v>
      </c>
      <c r="N874">
        <v>2023</v>
      </c>
    </row>
    <row r="875" spans="1:14" x14ac:dyDescent="0.25">
      <c r="A875" t="s">
        <v>1017</v>
      </c>
      <c r="B875" t="s">
        <v>1019</v>
      </c>
      <c r="C875">
        <v>1045</v>
      </c>
      <c r="D875">
        <v>267</v>
      </c>
      <c r="E875" s="5">
        <v>0.25550239234449801</v>
      </c>
      <c r="F875">
        <v>11</v>
      </c>
      <c r="G875" t="s">
        <v>13</v>
      </c>
      <c r="H875" t="s">
        <v>82</v>
      </c>
      <c r="I875" t="s">
        <v>32</v>
      </c>
      <c r="J875" s="1">
        <v>43943</v>
      </c>
      <c r="K875" t="s">
        <v>42</v>
      </c>
      <c r="L875" t="s">
        <v>43</v>
      </c>
      <c r="M875" t="s">
        <v>1481</v>
      </c>
      <c r="N875">
        <v>2020</v>
      </c>
    </row>
    <row r="876" spans="1:14" x14ac:dyDescent="0.25">
      <c r="A876" t="s">
        <v>1017</v>
      </c>
      <c r="B876" t="s">
        <v>1020</v>
      </c>
      <c r="C876">
        <v>1045</v>
      </c>
      <c r="D876">
        <v>267</v>
      </c>
      <c r="E876" s="5">
        <v>0.25550239234449801</v>
      </c>
      <c r="F876">
        <v>11</v>
      </c>
      <c r="G876" t="s">
        <v>13</v>
      </c>
      <c r="H876" t="s">
        <v>82</v>
      </c>
      <c r="I876" t="s">
        <v>32</v>
      </c>
      <c r="J876" s="1">
        <v>44421</v>
      </c>
      <c r="K876" t="s">
        <v>25</v>
      </c>
      <c r="L876" t="s">
        <v>68</v>
      </c>
      <c r="M876" t="s">
        <v>1479</v>
      </c>
      <c r="N876">
        <v>2021</v>
      </c>
    </row>
    <row r="877" spans="1:14" x14ac:dyDescent="0.25">
      <c r="A877" t="s">
        <v>1021</v>
      </c>
      <c r="B877" t="s">
        <v>1022</v>
      </c>
      <c r="C877">
        <v>7806</v>
      </c>
      <c r="D877">
        <v>1127</v>
      </c>
      <c r="E877" s="5">
        <v>0.14437612093261601</v>
      </c>
      <c r="F877">
        <v>1</v>
      </c>
      <c r="G877" t="s">
        <v>30</v>
      </c>
      <c r="H877" t="s">
        <v>57</v>
      </c>
      <c r="I877" t="s">
        <v>47</v>
      </c>
      <c r="J877" s="1">
        <v>45127</v>
      </c>
      <c r="K877" t="s">
        <v>71</v>
      </c>
      <c r="L877" t="s">
        <v>72</v>
      </c>
      <c r="M877" t="s">
        <v>1472</v>
      </c>
      <c r="N877">
        <v>2023</v>
      </c>
    </row>
    <row r="878" spans="1:14" x14ac:dyDescent="0.25">
      <c r="A878" t="s">
        <v>1023</v>
      </c>
      <c r="B878" t="s">
        <v>1024</v>
      </c>
      <c r="C878">
        <v>5263</v>
      </c>
      <c r="D878">
        <v>1743</v>
      </c>
      <c r="E878" s="5">
        <v>0.33117993539806201</v>
      </c>
      <c r="F878">
        <v>19</v>
      </c>
      <c r="G878" t="s">
        <v>45</v>
      </c>
      <c r="H878" t="s">
        <v>60</v>
      </c>
      <c r="I878" t="s">
        <v>47</v>
      </c>
      <c r="J878" s="1">
        <v>44801</v>
      </c>
      <c r="K878" t="s">
        <v>17</v>
      </c>
      <c r="L878" t="s">
        <v>18</v>
      </c>
      <c r="M878" t="s">
        <v>1479</v>
      </c>
      <c r="N878">
        <v>2022</v>
      </c>
    </row>
    <row r="879" spans="1:14" x14ac:dyDescent="0.25">
      <c r="A879" t="s">
        <v>1025</v>
      </c>
      <c r="B879" t="s">
        <v>1026</v>
      </c>
      <c r="C879">
        <v>6147</v>
      </c>
      <c r="D879">
        <v>2526</v>
      </c>
      <c r="E879" s="5">
        <v>0.41093216203025901</v>
      </c>
      <c r="F879">
        <v>6</v>
      </c>
      <c r="G879" t="s">
        <v>30</v>
      </c>
      <c r="H879" t="s">
        <v>31</v>
      </c>
      <c r="I879" t="s">
        <v>32</v>
      </c>
      <c r="J879" s="1">
        <v>44999</v>
      </c>
      <c r="K879" t="s">
        <v>71</v>
      </c>
      <c r="L879" t="s">
        <v>72</v>
      </c>
      <c r="M879" t="s">
        <v>1476</v>
      </c>
      <c r="N879">
        <v>2023</v>
      </c>
    </row>
    <row r="880" spans="1:14" x14ac:dyDescent="0.25">
      <c r="A880" t="s">
        <v>1027</v>
      </c>
      <c r="B880" t="s">
        <v>1028</v>
      </c>
      <c r="C880">
        <v>7484</v>
      </c>
      <c r="D880">
        <v>2871</v>
      </c>
      <c r="E880" s="5">
        <v>0.38361838588989799</v>
      </c>
      <c r="F880">
        <v>15</v>
      </c>
      <c r="G880" t="s">
        <v>13</v>
      </c>
      <c r="H880" t="s">
        <v>82</v>
      </c>
      <c r="I880" t="s">
        <v>15</v>
      </c>
      <c r="J880" s="1">
        <v>45237</v>
      </c>
      <c r="K880" t="s">
        <v>17</v>
      </c>
      <c r="L880" t="s">
        <v>34</v>
      </c>
      <c r="M880" t="s">
        <v>1475</v>
      </c>
      <c r="N880">
        <v>2023</v>
      </c>
    </row>
    <row r="881" spans="1:14" x14ac:dyDescent="0.25">
      <c r="A881" t="s">
        <v>1027</v>
      </c>
      <c r="B881" t="s">
        <v>1029</v>
      </c>
      <c r="C881">
        <v>7484</v>
      </c>
      <c r="D881">
        <v>2871</v>
      </c>
      <c r="E881" s="5">
        <v>0.38361838588989799</v>
      </c>
      <c r="F881">
        <v>15</v>
      </c>
      <c r="G881" t="s">
        <v>13</v>
      </c>
      <c r="H881" t="s">
        <v>82</v>
      </c>
      <c r="I881" t="s">
        <v>15</v>
      </c>
      <c r="J881" s="1">
        <v>45398</v>
      </c>
      <c r="K881" t="s">
        <v>21</v>
      </c>
      <c r="L881" t="s">
        <v>22</v>
      </c>
      <c r="M881" t="s">
        <v>1481</v>
      </c>
      <c r="N881">
        <v>2024</v>
      </c>
    </row>
    <row r="882" spans="1:14" x14ac:dyDescent="0.25">
      <c r="A882" t="s">
        <v>1027</v>
      </c>
      <c r="B882" t="s">
        <v>1028</v>
      </c>
      <c r="C882">
        <v>7700</v>
      </c>
      <c r="D882">
        <v>2712</v>
      </c>
      <c r="E882" s="5">
        <v>0.35220779220779203</v>
      </c>
      <c r="F882">
        <v>1</v>
      </c>
      <c r="G882" t="s">
        <v>45</v>
      </c>
      <c r="H882" t="s">
        <v>60</v>
      </c>
      <c r="I882" t="s">
        <v>47</v>
      </c>
      <c r="J882" s="1">
        <v>45237</v>
      </c>
      <c r="K882" t="s">
        <v>17</v>
      </c>
      <c r="L882" t="s">
        <v>34</v>
      </c>
      <c r="M882" t="s">
        <v>1475</v>
      </c>
      <c r="N882">
        <v>2023</v>
      </c>
    </row>
    <row r="883" spans="1:14" x14ac:dyDescent="0.25">
      <c r="A883" t="s">
        <v>1027</v>
      </c>
      <c r="B883" t="s">
        <v>1029</v>
      </c>
      <c r="C883">
        <v>7700</v>
      </c>
      <c r="D883">
        <v>2712</v>
      </c>
      <c r="E883" s="5">
        <v>0.35220779220779203</v>
      </c>
      <c r="F883">
        <v>1</v>
      </c>
      <c r="G883" t="s">
        <v>45</v>
      </c>
      <c r="H883" t="s">
        <v>60</v>
      </c>
      <c r="I883" t="s">
        <v>47</v>
      </c>
      <c r="J883" s="1">
        <v>45398</v>
      </c>
      <c r="K883" t="s">
        <v>21</v>
      </c>
      <c r="L883" t="s">
        <v>22</v>
      </c>
      <c r="M883" t="s">
        <v>1481</v>
      </c>
      <c r="N883">
        <v>2024</v>
      </c>
    </row>
    <row r="884" spans="1:14" x14ac:dyDescent="0.25">
      <c r="A884" t="s">
        <v>1030</v>
      </c>
      <c r="B884" t="s">
        <v>1031</v>
      </c>
      <c r="C884">
        <v>8537</v>
      </c>
      <c r="D884">
        <v>3586</v>
      </c>
      <c r="E884" s="5">
        <v>0.42005388309710701</v>
      </c>
      <c r="F884">
        <v>13</v>
      </c>
      <c r="G884" t="s">
        <v>30</v>
      </c>
      <c r="H884" t="s">
        <v>57</v>
      </c>
      <c r="I884" t="s">
        <v>15</v>
      </c>
      <c r="J884" s="1">
        <v>44820</v>
      </c>
      <c r="K884" t="s">
        <v>25</v>
      </c>
      <c r="L884" t="s">
        <v>68</v>
      </c>
      <c r="M884" t="s">
        <v>1480</v>
      </c>
      <c r="N884">
        <v>2022</v>
      </c>
    </row>
    <row r="885" spans="1:14" x14ac:dyDescent="0.25">
      <c r="A885" t="s">
        <v>1032</v>
      </c>
      <c r="B885" t="s">
        <v>1033</v>
      </c>
      <c r="C885">
        <v>8858</v>
      </c>
      <c r="D885">
        <v>3394</v>
      </c>
      <c r="E885" s="5">
        <v>0.38315646872883302</v>
      </c>
      <c r="F885">
        <v>6</v>
      </c>
      <c r="G885" t="s">
        <v>45</v>
      </c>
      <c r="H885" t="s">
        <v>49</v>
      </c>
      <c r="I885" t="s">
        <v>65</v>
      </c>
      <c r="J885" s="1">
        <v>45596</v>
      </c>
      <c r="K885" t="s">
        <v>42</v>
      </c>
      <c r="L885" t="s">
        <v>75</v>
      </c>
      <c r="M885" t="s">
        <v>1474</v>
      </c>
      <c r="N885">
        <v>2024</v>
      </c>
    </row>
    <row r="886" spans="1:14" x14ac:dyDescent="0.25">
      <c r="A886" t="s">
        <v>1034</v>
      </c>
      <c r="B886" t="s">
        <v>1035</v>
      </c>
      <c r="C886">
        <v>5313</v>
      </c>
      <c r="D886">
        <v>2037</v>
      </c>
      <c r="E886" s="5">
        <v>0.38339920948616601</v>
      </c>
      <c r="F886">
        <v>7</v>
      </c>
      <c r="G886" t="s">
        <v>13</v>
      </c>
      <c r="H886" t="s">
        <v>28</v>
      </c>
      <c r="I886" t="s">
        <v>32</v>
      </c>
      <c r="J886" s="1">
        <v>45621</v>
      </c>
      <c r="K886" t="s">
        <v>42</v>
      </c>
      <c r="L886" t="s">
        <v>92</v>
      </c>
      <c r="M886" t="s">
        <v>1475</v>
      </c>
      <c r="N886">
        <v>2024</v>
      </c>
    </row>
    <row r="887" spans="1:14" x14ac:dyDescent="0.25">
      <c r="A887" t="s">
        <v>1034</v>
      </c>
      <c r="B887" t="s">
        <v>1036</v>
      </c>
      <c r="C887">
        <v>5313</v>
      </c>
      <c r="D887">
        <v>2037</v>
      </c>
      <c r="E887" s="5">
        <v>0.38339920948616601</v>
      </c>
      <c r="F887">
        <v>7</v>
      </c>
      <c r="G887" t="s">
        <v>13</v>
      </c>
      <c r="H887" t="s">
        <v>28</v>
      </c>
      <c r="I887" t="s">
        <v>32</v>
      </c>
      <c r="J887" s="1">
        <v>44498</v>
      </c>
      <c r="K887" t="s">
        <v>71</v>
      </c>
      <c r="L887" t="s">
        <v>138</v>
      </c>
      <c r="M887" t="s">
        <v>1474</v>
      </c>
      <c r="N887">
        <v>2021</v>
      </c>
    </row>
    <row r="888" spans="1:14" x14ac:dyDescent="0.25">
      <c r="A888" t="s">
        <v>1037</v>
      </c>
      <c r="B888" t="s">
        <v>1038</v>
      </c>
      <c r="C888">
        <v>3281</v>
      </c>
      <c r="D888">
        <v>471</v>
      </c>
      <c r="E888" s="5">
        <v>0.14355379457482501</v>
      </c>
      <c r="F888">
        <v>7</v>
      </c>
      <c r="G888" t="s">
        <v>45</v>
      </c>
      <c r="H888" t="s">
        <v>60</v>
      </c>
      <c r="I888" t="s">
        <v>40</v>
      </c>
      <c r="J888" s="1">
        <v>45287</v>
      </c>
      <c r="K888" t="s">
        <v>42</v>
      </c>
      <c r="L888" t="s">
        <v>43</v>
      </c>
      <c r="M888" t="s">
        <v>1471</v>
      </c>
      <c r="N888">
        <v>2023</v>
      </c>
    </row>
    <row r="889" spans="1:14" x14ac:dyDescent="0.25">
      <c r="A889" t="s">
        <v>1037</v>
      </c>
      <c r="B889" t="s">
        <v>1039</v>
      </c>
      <c r="C889">
        <v>3281</v>
      </c>
      <c r="D889">
        <v>471</v>
      </c>
      <c r="E889" s="5">
        <v>0.14355379457482501</v>
      </c>
      <c r="F889">
        <v>7</v>
      </c>
      <c r="G889" t="s">
        <v>45</v>
      </c>
      <c r="H889" t="s">
        <v>60</v>
      </c>
      <c r="I889" t="s">
        <v>40</v>
      </c>
      <c r="J889" s="1">
        <v>45102</v>
      </c>
      <c r="K889" t="s">
        <v>21</v>
      </c>
      <c r="L889" t="s">
        <v>172</v>
      </c>
      <c r="M889" t="s">
        <v>1470</v>
      </c>
      <c r="N889">
        <v>2023</v>
      </c>
    </row>
    <row r="890" spans="1:14" x14ac:dyDescent="0.25">
      <c r="A890" t="s">
        <v>1040</v>
      </c>
      <c r="B890" t="s">
        <v>1041</v>
      </c>
      <c r="C890">
        <v>8681</v>
      </c>
      <c r="D890">
        <v>2458</v>
      </c>
      <c r="E890" s="5">
        <v>0.283147102868333</v>
      </c>
      <c r="F890">
        <v>9</v>
      </c>
      <c r="G890" t="s">
        <v>30</v>
      </c>
      <c r="H890" t="s">
        <v>31</v>
      </c>
      <c r="I890" t="s">
        <v>47</v>
      </c>
      <c r="J890" s="1">
        <v>44075</v>
      </c>
      <c r="K890" t="s">
        <v>25</v>
      </c>
      <c r="L890" t="s">
        <v>51</v>
      </c>
      <c r="M890" t="s">
        <v>1480</v>
      </c>
      <c r="N890">
        <v>2020</v>
      </c>
    </row>
    <row r="891" spans="1:14" x14ac:dyDescent="0.25">
      <c r="A891" t="s">
        <v>1042</v>
      </c>
      <c r="B891" t="s">
        <v>1043</v>
      </c>
      <c r="C891">
        <v>6195</v>
      </c>
      <c r="D891">
        <v>1556</v>
      </c>
      <c r="E891" s="5">
        <v>0.251170298627926</v>
      </c>
      <c r="F891">
        <v>18</v>
      </c>
      <c r="G891" t="s">
        <v>45</v>
      </c>
      <c r="H891" t="s">
        <v>60</v>
      </c>
      <c r="I891" t="s">
        <v>40</v>
      </c>
      <c r="J891" s="1">
        <v>45689</v>
      </c>
      <c r="K891" t="s">
        <v>21</v>
      </c>
      <c r="L891" t="s">
        <v>63</v>
      </c>
      <c r="M891" t="s">
        <v>1477</v>
      </c>
      <c r="N891">
        <v>2025</v>
      </c>
    </row>
    <row r="892" spans="1:14" x14ac:dyDescent="0.25">
      <c r="A892" t="s">
        <v>1044</v>
      </c>
      <c r="B892" t="s">
        <v>1045</v>
      </c>
      <c r="C892">
        <v>3877</v>
      </c>
      <c r="D892">
        <v>481</v>
      </c>
      <c r="E892" s="5">
        <v>0.124064998710343</v>
      </c>
      <c r="F892">
        <v>16</v>
      </c>
      <c r="G892" t="s">
        <v>45</v>
      </c>
      <c r="H892" t="s">
        <v>49</v>
      </c>
      <c r="I892" t="s">
        <v>32</v>
      </c>
      <c r="J892" s="1">
        <v>45129</v>
      </c>
      <c r="K892" t="s">
        <v>25</v>
      </c>
      <c r="L892" t="s">
        <v>68</v>
      </c>
      <c r="M892" t="s">
        <v>1472</v>
      </c>
      <c r="N892">
        <v>2023</v>
      </c>
    </row>
    <row r="893" spans="1:14" x14ac:dyDescent="0.25">
      <c r="A893" t="s">
        <v>1044</v>
      </c>
      <c r="B893" t="s">
        <v>1046</v>
      </c>
      <c r="C893">
        <v>3877</v>
      </c>
      <c r="D893">
        <v>481</v>
      </c>
      <c r="E893" s="5">
        <v>0.124064998710343</v>
      </c>
      <c r="F893">
        <v>16</v>
      </c>
      <c r="G893" t="s">
        <v>45</v>
      </c>
      <c r="H893" t="s">
        <v>49</v>
      </c>
      <c r="I893" t="s">
        <v>32</v>
      </c>
      <c r="J893" s="1">
        <v>44596</v>
      </c>
      <c r="K893" t="s">
        <v>25</v>
      </c>
      <c r="L893" t="s">
        <v>51</v>
      </c>
      <c r="M893" t="s">
        <v>1477</v>
      </c>
      <c r="N893">
        <v>2022</v>
      </c>
    </row>
    <row r="894" spans="1:14" x14ac:dyDescent="0.25">
      <c r="A894" t="s">
        <v>1047</v>
      </c>
      <c r="B894" t="s">
        <v>1048</v>
      </c>
      <c r="C894">
        <v>9369</v>
      </c>
      <c r="D894">
        <v>3297</v>
      </c>
      <c r="E894" s="5">
        <v>0.35190521934037799</v>
      </c>
      <c r="F894">
        <v>6</v>
      </c>
      <c r="G894" t="s">
        <v>13</v>
      </c>
      <c r="H894" t="s">
        <v>28</v>
      </c>
      <c r="I894" t="s">
        <v>32</v>
      </c>
      <c r="J894" s="1">
        <v>45196</v>
      </c>
      <c r="K894" t="s">
        <v>17</v>
      </c>
      <c r="L894" t="s">
        <v>34</v>
      </c>
      <c r="M894" t="s">
        <v>1480</v>
      </c>
      <c r="N894">
        <v>2023</v>
      </c>
    </row>
    <row r="895" spans="1:14" x14ac:dyDescent="0.25">
      <c r="A895" t="s">
        <v>1047</v>
      </c>
      <c r="B895" t="s">
        <v>1049</v>
      </c>
      <c r="C895">
        <v>9369</v>
      </c>
      <c r="D895">
        <v>3297</v>
      </c>
      <c r="E895" s="5">
        <v>0.35190521934037799</v>
      </c>
      <c r="F895">
        <v>6</v>
      </c>
      <c r="G895" t="s">
        <v>13</v>
      </c>
      <c r="H895" t="s">
        <v>28</v>
      </c>
      <c r="I895" t="s">
        <v>32</v>
      </c>
      <c r="J895" s="1">
        <v>45687</v>
      </c>
      <c r="K895" t="s">
        <v>25</v>
      </c>
      <c r="L895" t="s">
        <v>51</v>
      </c>
      <c r="M895" t="s">
        <v>1478</v>
      </c>
      <c r="N895">
        <v>2025</v>
      </c>
    </row>
    <row r="896" spans="1:14" x14ac:dyDescent="0.25">
      <c r="A896" t="s">
        <v>1047</v>
      </c>
      <c r="B896" t="s">
        <v>1048</v>
      </c>
      <c r="C896">
        <v>8680</v>
      </c>
      <c r="D896">
        <v>4068</v>
      </c>
      <c r="E896" s="5">
        <v>0.46866359447004602</v>
      </c>
      <c r="F896">
        <v>20</v>
      </c>
      <c r="G896" t="s">
        <v>13</v>
      </c>
      <c r="H896" t="s">
        <v>28</v>
      </c>
      <c r="I896" t="s">
        <v>47</v>
      </c>
      <c r="J896" s="1">
        <v>45196</v>
      </c>
      <c r="K896" t="s">
        <v>17</v>
      </c>
      <c r="L896" t="s">
        <v>34</v>
      </c>
      <c r="M896" t="s">
        <v>1480</v>
      </c>
      <c r="N896">
        <v>2023</v>
      </c>
    </row>
    <row r="897" spans="1:14" x14ac:dyDescent="0.25">
      <c r="A897" t="s">
        <v>1047</v>
      </c>
      <c r="B897" t="s">
        <v>1049</v>
      </c>
      <c r="C897">
        <v>8680</v>
      </c>
      <c r="D897">
        <v>4068</v>
      </c>
      <c r="E897" s="5">
        <v>0.46866359447004602</v>
      </c>
      <c r="F897">
        <v>20</v>
      </c>
      <c r="G897" t="s">
        <v>13</v>
      </c>
      <c r="H897" t="s">
        <v>28</v>
      </c>
      <c r="I897" t="s">
        <v>47</v>
      </c>
      <c r="J897" s="1">
        <v>45687</v>
      </c>
      <c r="K897" t="s">
        <v>25</v>
      </c>
      <c r="L897" t="s">
        <v>51</v>
      </c>
      <c r="M897" t="s">
        <v>1478</v>
      </c>
      <c r="N897">
        <v>2025</v>
      </c>
    </row>
    <row r="898" spans="1:14" x14ac:dyDescent="0.25">
      <c r="A898" t="s">
        <v>1047</v>
      </c>
      <c r="B898" t="s">
        <v>1048</v>
      </c>
      <c r="C898">
        <v>3067</v>
      </c>
      <c r="D898">
        <v>1475</v>
      </c>
      <c r="E898" s="5">
        <v>0.480925986305836</v>
      </c>
      <c r="F898">
        <v>8</v>
      </c>
      <c r="G898" t="s">
        <v>13</v>
      </c>
      <c r="H898" t="s">
        <v>39</v>
      </c>
      <c r="I898" t="s">
        <v>15</v>
      </c>
      <c r="J898" s="1">
        <v>45196</v>
      </c>
      <c r="K898" t="s">
        <v>17</v>
      </c>
      <c r="L898" t="s">
        <v>34</v>
      </c>
      <c r="M898" t="s">
        <v>1480</v>
      </c>
      <c r="N898">
        <v>2023</v>
      </c>
    </row>
    <row r="899" spans="1:14" x14ac:dyDescent="0.25">
      <c r="A899" t="s">
        <v>1047</v>
      </c>
      <c r="B899" t="s">
        <v>1049</v>
      </c>
      <c r="C899">
        <v>3067</v>
      </c>
      <c r="D899">
        <v>1475</v>
      </c>
      <c r="E899" s="5">
        <v>0.480925986305836</v>
      </c>
      <c r="F899">
        <v>8</v>
      </c>
      <c r="G899" t="s">
        <v>13</v>
      </c>
      <c r="H899" t="s">
        <v>39</v>
      </c>
      <c r="I899" t="s">
        <v>15</v>
      </c>
      <c r="J899" s="1">
        <v>45687</v>
      </c>
      <c r="K899" t="s">
        <v>25</v>
      </c>
      <c r="L899" t="s">
        <v>51</v>
      </c>
      <c r="M899" t="s">
        <v>1478</v>
      </c>
      <c r="N899">
        <v>2025</v>
      </c>
    </row>
    <row r="900" spans="1:14" x14ac:dyDescent="0.25">
      <c r="A900" t="s">
        <v>1050</v>
      </c>
      <c r="B900" t="s">
        <v>1051</v>
      </c>
      <c r="C900">
        <v>9002</v>
      </c>
      <c r="D900">
        <v>4197</v>
      </c>
      <c r="E900" s="5">
        <v>0.46622972672739399</v>
      </c>
      <c r="F900">
        <v>2</v>
      </c>
      <c r="G900" t="s">
        <v>30</v>
      </c>
      <c r="H900" t="s">
        <v>57</v>
      </c>
      <c r="I900" t="s">
        <v>40</v>
      </c>
      <c r="J900" s="1">
        <v>45672</v>
      </c>
      <c r="K900" t="s">
        <v>98</v>
      </c>
      <c r="L900" t="s">
        <v>107</v>
      </c>
      <c r="M900" t="s">
        <v>1478</v>
      </c>
      <c r="N900">
        <v>2025</v>
      </c>
    </row>
    <row r="901" spans="1:14" x14ac:dyDescent="0.25">
      <c r="A901" t="s">
        <v>1050</v>
      </c>
      <c r="B901" t="s">
        <v>1052</v>
      </c>
      <c r="C901">
        <v>9002</v>
      </c>
      <c r="D901">
        <v>4197</v>
      </c>
      <c r="E901" s="5">
        <v>0.46622972672739399</v>
      </c>
      <c r="F901">
        <v>2</v>
      </c>
      <c r="G901" t="s">
        <v>30</v>
      </c>
      <c r="H901" t="s">
        <v>57</v>
      </c>
      <c r="I901" t="s">
        <v>40</v>
      </c>
      <c r="J901" s="1">
        <v>44283</v>
      </c>
      <c r="K901" t="s">
        <v>98</v>
      </c>
      <c r="L901" t="s">
        <v>99</v>
      </c>
      <c r="M901" t="s">
        <v>1476</v>
      </c>
      <c r="N901">
        <v>2021</v>
      </c>
    </row>
    <row r="902" spans="1:14" x14ac:dyDescent="0.25">
      <c r="A902" t="s">
        <v>1053</v>
      </c>
      <c r="B902" t="s">
        <v>1054</v>
      </c>
      <c r="C902">
        <v>7105</v>
      </c>
      <c r="D902">
        <v>2782</v>
      </c>
      <c r="E902" s="5">
        <v>0.39155524278677001</v>
      </c>
      <c r="F902">
        <v>19</v>
      </c>
      <c r="G902" t="s">
        <v>30</v>
      </c>
      <c r="H902" t="s">
        <v>31</v>
      </c>
      <c r="I902" t="s">
        <v>65</v>
      </c>
      <c r="J902" s="1">
        <v>44555</v>
      </c>
      <c r="K902" t="s">
        <v>98</v>
      </c>
      <c r="L902" t="s">
        <v>99</v>
      </c>
      <c r="M902" t="s">
        <v>1471</v>
      </c>
      <c r="N902">
        <v>2021</v>
      </c>
    </row>
    <row r="903" spans="1:14" x14ac:dyDescent="0.25">
      <c r="A903" t="s">
        <v>1055</v>
      </c>
      <c r="B903" t="s">
        <v>1056</v>
      </c>
      <c r="C903">
        <v>5317</v>
      </c>
      <c r="D903">
        <v>1345</v>
      </c>
      <c r="E903" s="5">
        <v>0.25296219672747799</v>
      </c>
      <c r="F903">
        <v>18</v>
      </c>
      <c r="G903" t="s">
        <v>45</v>
      </c>
      <c r="H903" t="s">
        <v>49</v>
      </c>
      <c r="I903" t="s">
        <v>32</v>
      </c>
      <c r="J903" s="1">
        <v>44960</v>
      </c>
      <c r="K903" t="s">
        <v>98</v>
      </c>
      <c r="L903" t="s">
        <v>99</v>
      </c>
      <c r="M903" t="s">
        <v>1477</v>
      </c>
      <c r="N903">
        <v>2023</v>
      </c>
    </row>
    <row r="904" spans="1:14" x14ac:dyDescent="0.25">
      <c r="A904" t="s">
        <v>1055</v>
      </c>
      <c r="B904" t="s">
        <v>1057</v>
      </c>
      <c r="C904">
        <v>5317</v>
      </c>
      <c r="D904">
        <v>1345</v>
      </c>
      <c r="E904" s="5">
        <v>0.25296219672747799</v>
      </c>
      <c r="F904">
        <v>18</v>
      </c>
      <c r="G904" t="s">
        <v>45</v>
      </c>
      <c r="H904" t="s">
        <v>49</v>
      </c>
      <c r="I904" t="s">
        <v>32</v>
      </c>
      <c r="J904" s="1">
        <v>45044</v>
      </c>
      <c r="K904" t="s">
        <v>17</v>
      </c>
      <c r="L904" t="s">
        <v>34</v>
      </c>
      <c r="M904" t="s">
        <v>1481</v>
      </c>
      <c r="N904">
        <v>2023</v>
      </c>
    </row>
    <row r="905" spans="1:14" x14ac:dyDescent="0.25">
      <c r="A905" t="s">
        <v>1055</v>
      </c>
      <c r="B905" t="s">
        <v>1058</v>
      </c>
      <c r="C905">
        <v>5317</v>
      </c>
      <c r="D905">
        <v>1345</v>
      </c>
      <c r="E905" s="5">
        <v>0.25296219672747799</v>
      </c>
      <c r="F905">
        <v>18</v>
      </c>
      <c r="G905" t="s">
        <v>45</v>
      </c>
      <c r="H905" t="s">
        <v>49</v>
      </c>
      <c r="I905" t="s">
        <v>32</v>
      </c>
      <c r="J905" s="1">
        <v>45618</v>
      </c>
      <c r="K905" t="s">
        <v>42</v>
      </c>
      <c r="L905" t="s">
        <v>92</v>
      </c>
      <c r="M905" t="s">
        <v>1475</v>
      </c>
      <c r="N905">
        <v>2024</v>
      </c>
    </row>
    <row r="906" spans="1:14" x14ac:dyDescent="0.25">
      <c r="A906" t="s">
        <v>1055</v>
      </c>
      <c r="B906" t="s">
        <v>1056</v>
      </c>
      <c r="C906">
        <v>6304</v>
      </c>
      <c r="D906">
        <v>766</v>
      </c>
      <c r="E906" s="5">
        <v>0.121510152284264</v>
      </c>
      <c r="F906">
        <v>14</v>
      </c>
      <c r="G906" t="s">
        <v>45</v>
      </c>
      <c r="H906" t="s">
        <v>46</v>
      </c>
      <c r="I906" t="s">
        <v>40</v>
      </c>
      <c r="J906" s="1">
        <v>44960</v>
      </c>
      <c r="K906" t="s">
        <v>98</v>
      </c>
      <c r="L906" t="s">
        <v>99</v>
      </c>
      <c r="M906" t="s">
        <v>1477</v>
      </c>
      <c r="N906">
        <v>2023</v>
      </c>
    </row>
    <row r="907" spans="1:14" x14ac:dyDescent="0.25">
      <c r="A907" t="s">
        <v>1055</v>
      </c>
      <c r="B907" t="s">
        <v>1057</v>
      </c>
      <c r="C907">
        <v>6304</v>
      </c>
      <c r="D907">
        <v>766</v>
      </c>
      <c r="E907" s="5">
        <v>0.121510152284264</v>
      </c>
      <c r="F907">
        <v>14</v>
      </c>
      <c r="G907" t="s">
        <v>45</v>
      </c>
      <c r="H907" t="s">
        <v>46</v>
      </c>
      <c r="I907" t="s">
        <v>40</v>
      </c>
      <c r="J907" s="1">
        <v>45044</v>
      </c>
      <c r="K907" t="s">
        <v>17</v>
      </c>
      <c r="L907" t="s">
        <v>34</v>
      </c>
      <c r="M907" t="s">
        <v>1481</v>
      </c>
      <c r="N907">
        <v>2023</v>
      </c>
    </row>
    <row r="908" spans="1:14" x14ac:dyDescent="0.25">
      <c r="A908" t="s">
        <v>1055</v>
      </c>
      <c r="B908" t="s">
        <v>1058</v>
      </c>
      <c r="C908">
        <v>6304</v>
      </c>
      <c r="D908">
        <v>766</v>
      </c>
      <c r="E908" s="5">
        <v>0.121510152284264</v>
      </c>
      <c r="F908">
        <v>14</v>
      </c>
      <c r="G908" t="s">
        <v>45</v>
      </c>
      <c r="H908" t="s">
        <v>46</v>
      </c>
      <c r="I908" t="s">
        <v>40</v>
      </c>
      <c r="J908" s="1">
        <v>45618</v>
      </c>
      <c r="K908" t="s">
        <v>42</v>
      </c>
      <c r="L908" t="s">
        <v>92</v>
      </c>
      <c r="M908" t="s">
        <v>1475</v>
      </c>
      <c r="N908">
        <v>2024</v>
      </c>
    </row>
    <row r="909" spans="1:14" x14ac:dyDescent="0.25">
      <c r="A909" t="s">
        <v>1059</v>
      </c>
      <c r="B909" t="s">
        <v>1060</v>
      </c>
      <c r="C909">
        <v>9565</v>
      </c>
      <c r="D909">
        <v>1691</v>
      </c>
      <c r="E909" s="5">
        <v>0.17679038159958199</v>
      </c>
      <c r="F909">
        <v>3</v>
      </c>
      <c r="G909" t="s">
        <v>30</v>
      </c>
      <c r="H909" t="s">
        <v>64</v>
      </c>
      <c r="I909" t="s">
        <v>32</v>
      </c>
      <c r="J909" s="1">
        <v>45475</v>
      </c>
      <c r="K909" t="s">
        <v>21</v>
      </c>
      <c r="L909" t="s">
        <v>63</v>
      </c>
      <c r="M909" t="s">
        <v>1472</v>
      </c>
      <c r="N909">
        <v>2024</v>
      </c>
    </row>
    <row r="910" spans="1:14" x14ac:dyDescent="0.25">
      <c r="A910" t="s">
        <v>1059</v>
      </c>
      <c r="B910" t="s">
        <v>1060</v>
      </c>
      <c r="C910">
        <v>8245</v>
      </c>
      <c r="D910">
        <v>324</v>
      </c>
      <c r="E910" s="5">
        <v>3.9296543359611899E-2</v>
      </c>
      <c r="F910">
        <v>11</v>
      </c>
      <c r="G910" t="s">
        <v>30</v>
      </c>
      <c r="H910" t="s">
        <v>64</v>
      </c>
      <c r="I910" t="s">
        <v>40</v>
      </c>
      <c r="J910" s="1">
        <v>45475</v>
      </c>
      <c r="K910" t="s">
        <v>21</v>
      </c>
      <c r="L910" t="s">
        <v>63</v>
      </c>
      <c r="M910" t="s">
        <v>1472</v>
      </c>
      <c r="N910">
        <v>2024</v>
      </c>
    </row>
    <row r="911" spans="1:14" x14ac:dyDescent="0.25">
      <c r="A911" t="s">
        <v>1061</v>
      </c>
      <c r="B911" t="s">
        <v>1062</v>
      </c>
      <c r="C911">
        <v>1592</v>
      </c>
      <c r="D911">
        <v>480</v>
      </c>
      <c r="E911" s="5">
        <v>0.30150753768844202</v>
      </c>
      <c r="F911">
        <v>13</v>
      </c>
      <c r="G911" t="s">
        <v>13</v>
      </c>
      <c r="H911" t="s">
        <v>39</v>
      </c>
      <c r="I911" t="s">
        <v>32</v>
      </c>
      <c r="J911" s="1">
        <v>44579</v>
      </c>
      <c r="K911" t="s">
        <v>98</v>
      </c>
      <c r="L911" t="s">
        <v>117</v>
      </c>
      <c r="M911" t="s">
        <v>1478</v>
      </c>
      <c r="N911">
        <v>2022</v>
      </c>
    </row>
    <row r="912" spans="1:14" x14ac:dyDescent="0.25">
      <c r="A912" t="s">
        <v>1063</v>
      </c>
      <c r="B912" t="s">
        <v>1064</v>
      </c>
      <c r="C912">
        <v>8400</v>
      </c>
      <c r="D912">
        <v>267</v>
      </c>
      <c r="E912" s="5">
        <v>3.1785714285714299E-2</v>
      </c>
      <c r="F912">
        <v>5</v>
      </c>
      <c r="G912" t="s">
        <v>13</v>
      </c>
      <c r="H912" t="s">
        <v>82</v>
      </c>
      <c r="I912" t="s">
        <v>32</v>
      </c>
      <c r="J912" s="1">
        <v>45573</v>
      </c>
      <c r="K912" t="s">
        <v>98</v>
      </c>
      <c r="L912" t="s">
        <v>99</v>
      </c>
      <c r="M912" t="s">
        <v>1474</v>
      </c>
      <c r="N912">
        <v>2024</v>
      </c>
    </row>
    <row r="913" spans="1:14" x14ac:dyDescent="0.25">
      <c r="A913" t="s">
        <v>1063</v>
      </c>
      <c r="B913" t="s">
        <v>1064</v>
      </c>
      <c r="C913">
        <v>4963</v>
      </c>
      <c r="D913">
        <v>1254</v>
      </c>
      <c r="E913" s="5">
        <v>0.25266975619584903</v>
      </c>
      <c r="F913">
        <v>15</v>
      </c>
      <c r="G913" t="s">
        <v>30</v>
      </c>
      <c r="H913" t="s">
        <v>64</v>
      </c>
      <c r="I913" t="s">
        <v>40</v>
      </c>
      <c r="J913" s="1">
        <v>45573</v>
      </c>
      <c r="K913" t="s">
        <v>98</v>
      </c>
      <c r="L913" t="s">
        <v>99</v>
      </c>
      <c r="M913" t="s">
        <v>1474</v>
      </c>
      <c r="N913">
        <v>2024</v>
      </c>
    </row>
    <row r="914" spans="1:14" x14ac:dyDescent="0.25">
      <c r="A914" t="s">
        <v>1065</v>
      </c>
      <c r="B914" t="s">
        <v>1066</v>
      </c>
      <c r="C914">
        <v>2472</v>
      </c>
      <c r="D914">
        <v>211</v>
      </c>
      <c r="E914" s="5">
        <v>8.5355987055016194E-2</v>
      </c>
      <c r="F914">
        <v>5</v>
      </c>
      <c r="G914" t="s">
        <v>13</v>
      </c>
      <c r="H914" t="s">
        <v>28</v>
      </c>
      <c r="I914" t="s">
        <v>65</v>
      </c>
      <c r="J914" s="1">
        <v>44003</v>
      </c>
      <c r="K914" t="s">
        <v>42</v>
      </c>
      <c r="L914" t="s">
        <v>75</v>
      </c>
      <c r="M914" t="s">
        <v>1470</v>
      </c>
      <c r="N914">
        <v>2020</v>
      </c>
    </row>
    <row r="915" spans="1:14" x14ac:dyDescent="0.25">
      <c r="A915" t="s">
        <v>1067</v>
      </c>
      <c r="B915" t="s">
        <v>1068</v>
      </c>
      <c r="C915">
        <v>9132</v>
      </c>
      <c r="D915">
        <v>3096</v>
      </c>
      <c r="E915" s="5">
        <v>0.33902759526938198</v>
      </c>
      <c r="F915">
        <v>14</v>
      </c>
      <c r="G915" t="s">
        <v>45</v>
      </c>
      <c r="H915" t="s">
        <v>49</v>
      </c>
      <c r="I915" t="s">
        <v>32</v>
      </c>
      <c r="J915" s="1">
        <v>45274</v>
      </c>
      <c r="K915" t="s">
        <v>17</v>
      </c>
      <c r="L915" t="s">
        <v>150</v>
      </c>
      <c r="M915" t="s">
        <v>1471</v>
      </c>
      <c r="N915">
        <v>2023</v>
      </c>
    </row>
    <row r="916" spans="1:14" x14ac:dyDescent="0.25">
      <c r="A916" t="s">
        <v>1069</v>
      </c>
      <c r="B916" t="s">
        <v>1070</v>
      </c>
      <c r="C916">
        <v>8305</v>
      </c>
      <c r="D916">
        <v>1577</v>
      </c>
      <c r="E916" s="5">
        <v>0.189885611077664</v>
      </c>
      <c r="F916">
        <v>6</v>
      </c>
      <c r="G916" t="s">
        <v>30</v>
      </c>
      <c r="H916" t="s">
        <v>78</v>
      </c>
      <c r="I916" t="s">
        <v>32</v>
      </c>
      <c r="J916" s="1">
        <v>44181</v>
      </c>
      <c r="K916" t="s">
        <v>25</v>
      </c>
      <c r="L916" t="s">
        <v>68</v>
      </c>
      <c r="M916" t="s">
        <v>1471</v>
      </c>
      <c r="N916">
        <v>2020</v>
      </c>
    </row>
    <row r="917" spans="1:14" x14ac:dyDescent="0.25">
      <c r="A917" t="s">
        <v>1071</v>
      </c>
      <c r="B917" t="s">
        <v>1072</v>
      </c>
      <c r="C917">
        <v>1010</v>
      </c>
      <c r="D917">
        <v>58</v>
      </c>
      <c r="E917" s="5">
        <v>5.74257425742574E-2</v>
      </c>
      <c r="F917">
        <v>19</v>
      </c>
      <c r="G917" t="s">
        <v>13</v>
      </c>
      <c r="H917" t="s">
        <v>14</v>
      </c>
      <c r="I917" t="s">
        <v>65</v>
      </c>
      <c r="J917" s="1">
        <v>45731</v>
      </c>
      <c r="K917" t="s">
        <v>17</v>
      </c>
      <c r="L917" t="s">
        <v>150</v>
      </c>
      <c r="M917" t="s">
        <v>1476</v>
      </c>
      <c r="N917">
        <v>2025</v>
      </c>
    </row>
    <row r="918" spans="1:14" x14ac:dyDescent="0.25">
      <c r="A918" t="s">
        <v>1073</v>
      </c>
      <c r="B918" t="s">
        <v>1074</v>
      </c>
      <c r="C918">
        <v>4544</v>
      </c>
      <c r="D918">
        <v>1726</v>
      </c>
      <c r="E918" s="5">
        <v>0.37984154929577502</v>
      </c>
      <c r="F918">
        <v>9</v>
      </c>
      <c r="G918" t="s">
        <v>13</v>
      </c>
      <c r="H918" t="s">
        <v>82</v>
      </c>
      <c r="I918" t="s">
        <v>40</v>
      </c>
      <c r="J918" s="1">
        <v>45525</v>
      </c>
      <c r="K918" t="s">
        <v>71</v>
      </c>
      <c r="L918" t="s">
        <v>72</v>
      </c>
      <c r="M918" t="s">
        <v>1479</v>
      </c>
      <c r="N918">
        <v>2024</v>
      </c>
    </row>
    <row r="919" spans="1:14" x14ac:dyDescent="0.25">
      <c r="A919" t="s">
        <v>1073</v>
      </c>
      <c r="B919" t="s">
        <v>1074</v>
      </c>
      <c r="C919">
        <v>5900</v>
      </c>
      <c r="D919">
        <v>1738</v>
      </c>
      <c r="E919" s="5">
        <v>0.29457627118644097</v>
      </c>
      <c r="F919">
        <v>20</v>
      </c>
      <c r="G919" t="s">
        <v>13</v>
      </c>
      <c r="H919" t="s">
        <v>82</v>
      </c>
      <c r="I919" t="s">
        <v>15</v>
      </c>
      <c r="J919" s="1">
        <v>45525</v>
      </c>
      <c r="K919" t="s">
        <v>71</v>
      </c>
      <c r="L919" t="s">
        <v>72</v>
      </c>
      <c r="M919" t="s">
        <v>1479</v>
      </c>
      <c r="N919">
        <v>2024</v>
      </c>
    </row>
    <row r="920" spans="1:14" x14ac:dyDescent="0.25">
      <c r="A920" t="s">
        <v>1075</v>
      </c>
      <c r="B920" t="s">
        <v>1076</v>
      </c>
      <c r="C920">
        <v>8861</v>
      </c>
      <c r="D920">
        <v>3381</v>
      </c>
      <c r="E920" s="5">
        <v>0.38155964338110798</v>
      </c>
      <c r="F920">
        <v>19</v>
      </c>
      <c r="G920" t="s">
        <v>30</v>
      </c>
      <c r="H920" t="s">
        <v>57</v>
      </c>
      <c r="I920" t="s">
        <v>47</v>
      </c>
      <c r="J920" s="1">
        <v>44343</v>
      </c>
      <c r="K920" t="s">
        <v>42</v>
      </c>
      <c r="L920" t="s">
        <v>75</v>
      </c>
      <c r="M920" t="s">
        <v>1473</v>
      </c>
      <c r="N920">
        <v>2021</v>
      </c>
    </row>
    <row r="921" spans="1:14" x14ac:dyDescent="0.25">
      <c r="A921" t="s">
        <v>1077</v>
      </c>
      <c r="B921" t="s">
        <v>1078</v>
      </c>
      <c r="C921">
        <v>8158</v>
      </c>
      <c r="D921">
        <v>2052</v>
      </c>
      <c r="E921" s="5">
        <v>0.25153223829369897</v>
      </c>
      <c r="F921">
        <v>13</v>
      </c>
      <c r="G921" t="s">
        <v>13</v>
      </c>
      <c r="H921" t="s">
        <v>82</v>
      </c>
      <c r="I921" t="s">
        <v>32</v>
      </c>
      <c r="J921" s="1">
        <v>44095</v>
      </c>
      <c r="K921" t="s">
        <v>98</v>
      </c>
      <c r="L921" t="s">
        <v>107</v>
      </c>
      <c r="M921" t="s">
        <v>1480</v>
      </c>
      <c r="N921">
        <v>2020</v>
      </c>
    </row>
    <row r="922" spans="1:14" x14ac:dyDescent="0.25">
      <c r="A922" t="s">
        <v>1079</v>
      </c>
      <c r="B922" t="s">
        <v>1080</v>
      </c>
      <c r="C922">
        <v>3411</v>
      </c>
      <c r="D922">
        <v>1704</v>
      </c>
      <c r="E922" s="5">
        <v>0.499560246262093</v>
      </c>
      <c r="F922">
        <v>14</v>
      </c>
      <c r="G922" t="s">
        <v>30</v>
      </c>
      <c r="H922" t="s">
        <v>31</v>
      </c>
      <c r="I922" t="s">
        <v>15</v>
      </c>
      <c r="J922" s="1">
        <v>45668</v>
      </c>
      <c r="K922" t="s">
        <v>42</v>
      </c>
      <c r="L922" t="s">
        <v>43</v>
      </c>
      <c r="M922" t="s">
        <v>1478</v>
      </c>
      <c r="N922">
        <v>2025</v>
      </c>
    </row>
    <row r="923" spans="1:14" x14ac:dyDescent="0.25">
      <c r="A923" t="s">
        <v>1081</v>
      </c>
      <c r="B923" t="s">
        <v>1082</v>
      </c>
      <c r="C923">
        <v>9406</v>
      </c>
      <c r="D923">
        <v>1137</v>
      </c>
      <c r="E923" s="5">
        <v>0.120880289177121</v>
      </c>
      <c r="F923">
        <v>16</v>
      </c>
      <c r="G923" t="s">
        <v>30</v>
      </c>
      <c r="H923" t="s">
        <v>57</v>
      </c>
      <c r="I923" t="s">
        <v>15</v>
      </c>
      <c r="J923" s="1">
        <v>44489</v>
      </c>
      <c r="K923" t="s">
        <v>71</v>
      </c>
      <c r="L923" t="s">
        <v>138</v>
      </c>
      <c r="M923" t="s">
        <v>1474</v>
      </c>
      <c r="N923">
        <v>2021</v>
      </c>
    </row>
    <row r="924" spans="1:14" x14ac:dyDescent="0.25">
      <c r="A924" t="s">
        <v>1081</v>
      </c>
      <c r="B924" t="s">
        <v>1082</v>
      </c>
      <c r="C924">
        <v>1156</v>
      </c>
      <c r="D924">
        <v>74</v>
      </c>
      <c r="E924" s="5">
        <v>6.4013840830449795E-2</v>
      </c>
      <c r="F924">
        <v>15</v>
      </c>
      <c r="G924" t="s">
        <v>13</v>
      </c>
      <c r="H924" t="s">
        <v>28</v>
      </c>
      <c r="I924" t="s">
        <v>40</v>
      </c>
      <c r="J924" s="1">
        <v>44489</v>
      </c>
      <c r="K924" t="s">
        <v>71</v>
      </c>
      <c r="L924" t="s">
        <v>138</v>
      </c>
      <c r="M924" t="s">
        <v>1474</v>
      </c>
      <c r="N924">
        <v>2021</v>
      </c>
    </row>
    <row r="925" spans="1:14" x14ac:dyDescent="0.25">
      <c r="A925" t="s">
        <v>1083</v>
      </c>
      <c r="B925" t="s">
        <v>1084</v>
      </c>
      <c r="C925">
        <v>5354</v>
      </c>
      <c r="D925">
        <v>743</v>
      </c>
      <c r="E925" s="5">
        <v>0.138774747852073</v>
      </c>
      <c r="F925">
        <v>10</v>
      </c>
      <c r="G925" t="s">
        <v>45</v>
      </c>
      <c r="H925" t="s">
        <v>109</v>
      </c>
      <c r="I925" t="s">
        <v>15</v>
      </c>
      <c r="J925" s="1">
        <v>44488</v>
      </c>
      <c r="K925" t="s">
        <v>21</v>
      </c>
      <c r="L925" t="s">
        <v>63</v>
      </c>
      <c r="M925" t="s">
        <v>1474</v>
      </c>
      <c r="N925">
        <v>2021</v>
      </c>
    </row>
    <row r="926" spans="1:14" x14ac:dyDescent="0.25">
      <c r="A926" t="s">
        <v>1085</v>
      </c>
      <c r="B926" t="s">
        <v>1086</v>
      </c>
      <c r="C926">
        <v>8780</v>
      </c>
      <c r="D926">
        <v>3430</v>
      </c>
      <c r="E926" s="5">
        <v>0.39066059225512501</v>
      </c>
      <c r="F926">
        <v>4</v>
      </c>
      <c r="G926" t="s">
        <v>13</v>
      </c>
      <c r="H926" t="s">
        <v>14</v>
      </c>
      <c r="I926" t="s">
        <v>47</v>
      </c>
      <c r="J926" s="1">
        <v>45480</v>
      </c>
      <c r="K926" t="s">
        <v>71</v>
      </c>
      <c r="L926" t="s">
        <v>86</v>
      </c>
      <c r="M926" t="s">
        <v>1472</v>
      </c>
      <c r="N926">
        <v>2024</v>
      </c>
    </row>
    <row r="927" spans="1:14" x14ac:dyDescent="0.25">
      <c r="A927" t="s">
        <v>1085</v>
      </c>
      <c r="B927" t="s">
        <v>1087</v>
      </c>
      <c r="C927">
        <v>8780</v>
      </c>
      <c r="D927">
        <v>3430</v>
      </c>
      <c r="E927" s="5">
        <v>0.39066059225512501</v>
      </c>
      <c r="F927">
        <v>4</v>
      </c>
      <c r="G927" t="s">
        <v>13</v>
      </c>
      <c r="H927" t="s">
        <v>14</v>
      </c>
      <c r="I927" t="s">
        <v>47</v>
      </c>
      <c r="J927" s="1">
        <v>45132</v>
      </c>
      <c r="K927" t="s">
        <v>71</v>
      </c>
      <c r="L927" t="s">
        <v>86</v>
      </c>
      <c r="M927" t="s">
        <v>1472</v>
      </c>
      <c r="N927">
        <v>2023</v>
      </c>
    </row>
    <row r="928" spans="1:14" x14ac:dyDescent="0.25">
      <c r="A928" t="s">
        <v>1088</v>
      </c>
      <c r="B928" t="s">
        <v>1089</v>
      </c>
      <c r="C928">
        <v>6783</v>
      </c>
      <c r="D928">
        <v>3306</v>
      </c>
      <c r="E928" s="5">
        <v>0.48739495798319299</v>
      </c>
      <c r="F928">
        <v>8</v>
      </c>
      <c r="G928" t="s">
        <v>45</v>
      </c>
      <c r="H928" t="s">
        <v>60</v>
      </c>
      <c r="I928" t="s">
        <v>32</v>
      </c>
      <c r="J928" s="1">
        <v>43937</v>
      </c>
      <c r="K928" t="s">
        <v>98</v>
      </c>
      <c r="L928" t="s">
        <v>99</v>
      </c>
      <c r="M928" t="s">
        <v>1481</v>
      </c>
      <c r="N928">
        <v>2020</v>
      </c>
    </row>
    <row r="929" spans="1:14" x14ac:dyDescent="0.25">
      <c r="A929" t="s">
        <v>1090</v>
      </c>
      <c r="B929" t="s">
        <v>1091</v>
      </c>
      <c r="C929">
        <v>1778</v>
      </c>
      <c r="D929">
        <v>285</v>
      </c>
      <c r="E929" s="5">
        <v>0.16029246344206999</v>
      </c>
      <c r="F929">
        <v>4</v>
      </c>
      <c r="G929" t="s">
        <v>30</v>
      </c>
      <c r="H929" t="s">
        <v>31</v>
      </c>
      <c r="I929" t="s">
        <v>47</v>
      </c>
      <c r="J929" s="1">
        <v>44016</v>
      </c>
      <c r="K929" t="s">
        <v>25</v>
      </c>
      <c r="L929" t="s">
        <v>51</v>
      </c>
      <c r="M929" t="s">
        <v>1472</v>
      </c>
      <c r="N929">
        <v>2020</v>
      </c>
    </row>
    <row r="930" spans="1:14" x14ac:dyDescent="0.25">
      <c r="A930" t="s">
        <v>1092</v>
      </c>
      <c r="B930" t="s">
        <v>1093</v>
      </c>
      <c r="C930">
        <v>9399</v>
      </c>
      <c r="D930">
        <v>1949</v>
      </c>
      <c r="E930" s="5">
        <v>0.207362485370784</v>
      </c>
      <c r="F930">
        <v>12</v>
      </c>
      <c r="G930" t="s">
        <v>13</v>
      </c>
      <c r="H930" t="s">
        <v>28</v>
      </c>
      <c r="I930" t="s">
        <v>15</v>
      </c>
      <c r="J930" s="1">
        <v>44697</v>
      </c>
      <c r="K930" t="s">
        <v>25</v>
      </c>
      <c r="L930" t="s">
        <v>68</v>
      </c>
      <c r="M930" t="s">
        <v>1473</v>
      </c>
      <c r="N930">
        <v>2022</v>
      </c>
    </row>
    <row r="931" spans="1:14" x14ac:dyDescent="0.25">
      <c r="A931" t="s">
        <v>1092</v>
      </c>
      <c r="B931" t="s">
        <v>1093</v>
      </c>
      <c r="C931">
        <v>7957</v>
      </c>
      <c r="D931">
        <v>965</v>
      </c>
      <c r="E931" s="5">
        <v>0.121276863139374</v>
      </c>
      <c r="F931">
        <v>4</v>
      </c>
      <c r="G931" t="s">
        <v>45</v>
      </c>
      <c r="H931" t="s">
        <v>60</v>
      </c>
      <c r="I931" t="s">
        <v>47</v>
      </c>
      <c r="J931" s="1">
        <v>44697</v>
      </c>
      <c r="K931" t="s">
        <v>25</v>
      </c>
      <c r="L931" t="s">
        <v>68</v>
      </c>
      <c r="M931" t="s">
        <v>1473</v>
      </c>
      <c r="N931">
        <v>2022</v>
      </c>
    </row>
    <row r="932" spans="1:14" x14ac:dyDescent="0.25">
      <c r="A932" t="s">
        <v>1094</v>
      </c>
      <c r="B932" t="s">
        <v>1095</v>
      </c>
      <c r="C932">
        <v>1638</v>
      </c>
      <c r="D932">
        <v>661</v>
      </c>
      <c r="E932" s="5">
        <v>0.40354090354090399</v>
      </c>
      <c r="F932">
        <v>13</v>
      </c>
      <c r="G932" t="s">
        <v>45</v>
      </c>
      <c r="H932" t="s">
        <v>49</v>
      </c>
      <c r="I932" t="s">
        <v>40</v>
      </c>
      <c r="J932" s="1">
        <v>45255</v>
      </c>
      <c r="K932" t="s">
        <v>21</v>
      </c>
      <c r="L932" t="s">
        <v>63</v>
      </c>
      <c r="M932" t="s">
        <v>1475</v>
      </c>
      <c r="N932">
        <v>2023</v>
      </c>
    </row>
    <row r="933" spans="1:14" x14ac:dyDescent="0.25">
      <c r="A933" t="s">
        <v>1096</v>
      </c>
      <c r="B933" t="s">
        <v>1097</v>
      </c>
      <c r="C933">
        <v>1786</v>
      </c>
      <c r="D933">
        <v>224</v>
      </c>
      <c r="E933" s="5">
        <v>0.12541993281075001</v>
      </c>
      <c r="F933">
        <v>4</v>
      </c>
      <c r="G933" t="s">
        <v>45</v>
      </c>
      <c r="H933" t="s">
        <v>46</v>
      </c>
      <c r="I933" t="s">
        <v>65</v>
      </c>
      <c r="J933" s="1">
        <v>44425</v>
      </c>
      <c r="K933" t="s">
        <v>71</v>
      </c>
      <c r="L933" t="s">
        <v>72</v>
      </c>
      <c r="M933" t="s">
        <v>1479</v>
      </c>
      <c r="N933">
        <v>2021</v>
      </c>
    </row>
    <row r="934" spans="1:14" x14ac:dyDescent="0.25">
      <c r="A934" t="s">
        <v>1098</v>
      </c>
      <c r="B934" t="s">
        <v>1099</v>
      </c>
      <c r="C934">
        <v>4751</v>
      </c>
      <c r="D934">
        <v>781</v>
      </c>
      <c r="E934" s="5">
        <v>0.16438644495895599</v>
      </c>
      <c r="F934">
        <v>9</v>
      </c>
      <c r="G934" t="s">
        <v>30</v>
      </c>
      <c r="H934" t="s">
        <v>64</v>
      </c>
      <c r="I934" t="s">
        <v>40</v>
      </c>
      <c r="J934" s="1">
        <v>45109</v>
      </c>
      <c r="K934" t="s">
        <v>25</v>
      </c>
      <c r="L934" t="s">
        <v>26</v>
      </c>
      <c r="M934" t="s">
        <v>1472</v>
      </c>
      <c r="N934">
        <v>2023</v>
      </c>
    </row>
    <row r="935" spans="1:14" x14ac:dyDescent="0.25">
      <c r="A935" t="s">
        <v>1100</v>
      </c>
      <c r="B935" t="s">
        <v>1101</v>
      </c>
      <c r="C935">
        <v>8979</v>
      </c>
      <c r="D935">
        <v>4477</v>
      </c>
      <c r="E935" s="5">
        <v>0.49860786279095698</v>
      </c>
      <c r="F935">
        <v>4</v>
      </c>
      <c r="G935" t="s">
        <v>30</v>
      </c>
      <c r="H935" t="s">
        <v>64</v>
      </c>
      <c r="I935" t="s">
        <v>47</v>
      </c>
      <c r="J935" s="1">
        <v>44067</v>
      </c>
      <c r="K935" t="s">
        <v>21</v>
      </c>
      <c r="L935" t="s">
        <v>22</v>
      </c>
      <c r="M935" t="s">
        <v>1479</v>
      </c>
      <c r="N935">
        <v>2020</v>
      </c>
    </row>
    <row r="936" spans="1:14" x14ac:dyDescent="0.25">
      <c r="A936" t="s">
        <v>1102</v>
      </c>
      <c r="B936" t="s">
        <v>1103</v>
      </c>
      <c r="C936">
        <v>2727</v>
      </c>
      <c r="D936">
        <v>663</v>
      </c>
      <c r="E936" s="5">
        <v>0.24312431243124299</v>
      </c>
      <c r="F936">
        <v>8</v>
      </c>
      <c r="G936" t="s">
        <v>13</v>
      </c>
      <c r="H936" t="s">
        <v>82</v>
      </c>
      <c r="I936" t="s">
        <v>47</v>
      </c>
      <c r="J936" s="1">
        <v>44872</v>
      </c>
      <c r="K936" t="s">
        <v>17</v>
      </c>
      <c r="L936" t="s">
        <v>18</v>
      </c>
      <c r="M936" t="s">
        <v>1475</v>
      </c>
      <c r="N936">
        <v>2022</v>
      </c>
    </row>
    <row r="937" spans="1:14" x14ac:dyDescent="0.25">
      <c r="A937" t="s">
        <v>1104</v>
      </c>
      <c r="B937" t="s">
        <v>1105</v>
      </c>
      <c r="C937">
        <v>1093</v>
      </c>
      <c r="D937">
        <v>397</v>
      </c>
      <c r="E937" s="5">
        <v>0.363220494053065</v>
      </c>
      <c r="F937">
        <v>17</v>
      </c>
      <c r="G937" t="s">
        <v>13</v>
      </c>
      <c r="H937" t="s">
        <v>28</v>
      </c>
      <c r="I937" t="s">
        <v>47</v>
      </c>
      <c r="J937" s="1">
        <v>45378</v>
      </c>
      <c r="K937" t="s">
        <v>21</v>
      </c>
      <c r="L937" t="s">
        <v>172</v>
      </c>
      <c r="M937" t="s">
        <v>1476</v>
      </c>
      <c r="N937">
        <v>2024</v>
      </c>
    </row>
    <row r="938" spans="1:14" x14ac:dyDescent="0.25">
      <c r="A938" t="s">
        <v>1104</v>
      </c>
      <c r="B938" t="s">
        <v>1106</v>
      </c>
      <c r="C938">
        <v>1093</v>
      </c>
      <c r="D938">
        <v>397</v>
      </c>
      <c r="E938" s="5">
        <v>0.363220494053065</v>
      </c>
      <c r="F938">
        <v>17</v>
      </c>
      <c r="G938" t="s">
        <v>13</v>
      </c>
      <c r="H938" t="s">
        <v>28</v>
      </c>
      <c r="I938" t="s">
        <v>47</v>
      </c>
      <c r="J938" s="1">
        <v>45536</v>
      </c>
      <c r="K938" t="s">
        <v>25</v>
      </c>
      <c r="L938" t="s">
        <v>26</v>
      </c>
      <c r="M938" t="s">
        <v>1480</v>
      </c>
      <c r="N938">
        <v>2024</v>
      </c>
    </row>
    <row r="939" spans="1:14" x14ac:dyDescent="0.25">
      <c r="A939" t="s">
        <v>1104</v>
      </c>
      <c r="B939" t="s">
        <v>1107</v>
      </c>
      <c r="C939">
        <v>1093</v>
      </c>
      <c r="D939">
        <v>397</v>
      </c>
      <c r="E939" s="5">
        <v>0.363220494053065</v>
      </c>
      <c r="F939">
        <v>17</v>
      </c>
      <c r="G939" t="s">
        <v>13</v>
      </c>
      <c r="H939" t="s">
        <v>28</v>
      </c>
      <c r="I939" t="s">
        <v>47</v>
      </c>
      <c r="J939" s="1">
        <v>44614</v>
      </c>
      <c r="K939" t="s">
        <v>98</v>
      </c>
      <c r="L939" t="s">
        <v>99</v>
      </c>
      <c r="M939" t="s">
        <v>1477</v>
      </c>
      <c r="N939">
        <v>2022</v>
      </c>
    </row>
    <row r="940" spans="1:14" x14ac:dyDescent="0.25">
      <c r="A940" t="s">
        <v>1104</v>
      </c>
      <c r="B940" t="s">
        <v>1105</v>
      </c>
      <c r="C940">
        <v>2636</v>
      </c>
      <c r="D940">
        <v>88</v>
      </c>
      <c r="E940" s="5">
        <v>3.33839150227618E-2</v>
      </c>
      <c r="F940">
        <v>11</v>
      </c>
      <c r="G940" t="s">
        <v>30</v>
      </c>
      <c r="H940" t="s">
        <v>64</v>
      </c>
      <c r="I940" t="s">
        <v>32</v>
      </c>
      <c r="J940" s="1">
        <v>45378</v>
      </c>
      <c r="K940" t="s">
        <v>21</v>
      </c>
      <c r="L940" t="s">
        <v>172</v>
      </c>
      <c r="M940" t="s">
        <v>1476</v>
      </c>
      <c r="N940">
        <v>2024</v>
      </c>
    </row>
    <row r="941" spans="1:14" x14ac:dyDescent="0.25">
      <c r="A941" t="s">
        <v>1104</v>
      </c>
      <c r="B941" t="s">
        <v>1106</v>
      </c>
      <c r="C941">
        <v>2636</v>
      </c>
      <c r="D941">
        <v>88</v>
      </c>
      <c r="E941" s="5">
        <v>3.33839150227618E-2</v>
      </c>
      <c r="F941">
        <v>11</v>
      </c>
      <c r="G941" t="s">
        <v>30</v>
      </c>
      <c r="H941" t="s">
        <v>64</v>
      </c>
      <c r="I941" t="s">
        <v>32</v>
      </c>
      <c r="J941" s="1">
        <v>45536</v>
      </c>
      <c r="K941" t="s">
        <v>25</v>
      </c>
      <c r="L941" t="s">
        <v>26</v>
      </c>
      <c r="M941" t="s">
        <v>1480</v>
      </c>
      <c r="N941">
        <v>2024</v>
      </c>
    </row>
    <row r="942" spans="1:14" x14ac:dyDescent="0.25">
      <c r="A942" t="s">
        <v>1104</v>
      </c>
      <c r="B942" t="s">
        <v>1107</v>
      </c>
      <c r="C942">
        <v>2636</v>
      </c>
      <c r="D942">
        <v>88</v>
      </c>
      <c r="E942" s="5">
        <v>3.33839150227618E-2</v>
      </c>
      <c r="F942">
        <v>11</v>
      </c>
      <c r="G942" t="s">
        <v>30</v>
      </c>
      <c r="H942" t="s">
        <v>64</v>
      </c>
      <c r="I942" t="s">
        <v>32</v>
      </c>
      <c r="J942" s="1">
        <v>44614</v>
      </c>
      <c r="K942" t="s">
        <v>98</v>
      </c>
      <c r="L942" t="s">
        <v>99</v>
      </c>
      <c r="M942" t="s">
        <v>1477</v>
      </c>
      <c r="N942">
        <v>2022</v>
      </c>
    </row>
    <row r="943" spans="1:14" x14ac:dyDescent="0.25">
      <c r="A943" t="s">
        <v>1108</v>
      </c>
      <c r="B943" t="s">
        <v>1109</v>
      </c>
      <c r="C943">
        <v>7344</v>
      </c>
      <c r="D943">
        <v>2251</v>
      </c>
      <c r="E943" s="5">
        <v>0.30650871459695</v>
      </c>
      <c r="F943">
        <v>7</v>
      </c>
      <c r="G943" t="s">
        <v>13</v>
      </c>
      <c r="H943" t="s">
        <v>14</v>
      </c>
      <c r="I943" t="s">
        <v>32</v>
      </c>
      <c r="J943" s="1">
        <v>44603</v>
      </c>
      <c r="K943" t="s">
        <v>17</v>
      </c>
      <c r="L943" t="s">
        <v>18</v>
      </c>
      <c r="M943" t="s">
        <v>1477</v>
      </c>
      <c r="N943">
        <v>2022</v>
      </c>
    </row>
    <row r="944" spans="1:14" x14ac:dyDescent="0.25">
      <c r="A944" t="s">
        <v>1108</v>
      </c>
      <c r="B944" t="s">
        <v>1109</v>
      </c>
      <c r="C944">
        <v>7306</v>
      </c>
      <c r="D944">
        <v>1547</v>
      </c>
      <c r="E944" s="5">
        <v>0.21174377224199301</v>
      </c>
      <c r="F944">
        <v>3</v>
      </c>
      <c r="G944" t="s">
        <v>30</v>
      </c>
      <c r="H944" t="s">
        <v>64</v>
      </c>
      <c r="I944" t="s">
        <v>65</v>
      </c>
      <c r="J944" s="1">
        <v>44603</v>
      </c>
      <c r="K944" t="s">
        <v>17</v>
      </c>
      <c r="L944" t="s">
        <v>18</v>
      </c>
      <c r="M944" t="s">
        <v>1477</v>
      </c>
      <c r="N944">
        <v>2022</v>
      </c>
    </row>
    <row r="945" spans="1:14" x14ac:dyDescent="0.25">
      <c r="A945" t="s">
        <v>1108</v>
      </c>
      <c r="B945" t="s">
        <v>1109</v>
      </c>
      <c r="C945">
        <v>5832</v>
      </c>
      <c r="D945">
        <v>2588</v>
      </c>
      <c r="E945" s="5">
        <v>0.44375857338820301</v>
      </c>
      <c r="F945">
        <v>10</v>
      </c>
      <c r="G945" t="s">
        <v>13</v>
      </c>
      <c r="H945" t="s">
        <v>28</v>
      </c>
      <c r="I945" t="s">
        <v>65</v>
      </c>
      <c r="J945" s="1">
        <v>44603</v>
      </c>
      <c r="K945" t="s">
        <v>17</v>
      </c>
      <c r="L945" t="s">
        <v>18</v>
      </c>
      <c r="M945" t="s">
        <v>1477</v>
      </c>
      <c r="N945">
        <v>2022</v>
      </c>
    </row>
    <row r="946" spans="1:14" x14ac:dyDescent="0.25">
      <c r="A946" t="s">
        <v>1110</v>
      </c>
      <c r="B946" t="s">
        <v>1111</v>
      </c>
      <c r="C946">
        <v>8572</v>
      </c>
      <c r="D946">
        <v>2041</v>
      </c>
      <c r="E946" s="5">
        <v>0.238100793280448</v>
      </c>
      <c r="F946">
        <v>8</v>
      </c>
      <c r="G946" t="s">
        <v>45</v>
      </c>
      <c r="H946" t="s">
        <v>46</v>
      </c>
      <c r="I946" t="s">
        <v>40</v>
      </c>
      <c r="J946" s="1">
        <v>44343</v>
      </c>
      <c r="K946" t="s">
        <v>21</v>
      </c>
      <c r="L946" t="s">
        <v>63</v>
      </c>
      <c r="M946" t="s">
        <v>1473</v>
      </c>
      <c r="N946">
        <v>2021</v>
      </c>
    </row>
    <row r="947" spans="1:14" x14ac:dyDescent="0.25">
      <c r="A947" t="s">
        <v>1110</v>
      </c>
      <c r="B947" t="s">
        <v>1112</v>
      </c>
      <c r="C947">
        <v>8572</v>
      </c>
      <c r="D947">
        <v>2041</v>
      </c>
      <c r="E947" s="5">
        <v>0.238100793280448</v>
      </c>
      <c r="F947">
        <v>8</v>
      </c>
      <c r="G947" t="s">
        <v>45</v>
      </c>
      <c r="H947" t="s">
        <v>46</v>
      </c>
      <c r="I947" t="s">
        <v>40</v>
      </c>
      <c r="J947" s="1">
        <v>45112</v>
      </c>
      <c r="K947" t="s">
        <v>21</v>
      </c>
      <c r="L947" t="s">
        <v>63</v>
      </c>
      <c r="M947" t="s">
        <v>1472</v>
      </c>
      <c r="N947">
        <v>2023</v>
      </c>
    </row>
    <row r="948" spans="1:14" x14ac:dyDescent="0.25">
      <c r="A948" t="s">
        <v>1110</v>
      </c>
      <c r="B948" t="s">
        <v>1113</v>
      </c>
      <c r="C948">
        <v>8572</v>
      </c>
      <c r="D948">
        <v>2041</v>
      </c>
      <c r="E948" s="5">
        <v>0.238100793280448</v>
      </c>
      <c r="F948">
        <v>8</v>
      </c>
      <c r="G948" t="s">
        <v>45</v>
      </c>
      <c r="H948" t="s">
        <v>46</v>
      </c>
      <c r="I948" t="s">
        <v>40</v>
      </c>
      <c r="J948" s="1">
        <v>44131</v>
      </c>
      <c r="K948" t="s">
        <v>42</v>
      </c>
      <c r="L948" t="s">
        <v>75</v>
      </c>
      <c r="M948" t="s">
        <v>1474</v>
      </c>
      <c r="N948">
        <v>2020</v>
      </c>
    </row>
    <row r="949" spans="1:14" x14ac:dyDescent="0.25">
      <c r="A949" t="s">
        <v>1110</v>
      </c>
      <c r="B949" t="s">
        <v>1111</v>
      </c>
      <c r="C949">
        <v>8059</v>
      </c>
      <c r="D949">
        <v>1834</v>
      </c>
      <c r="E949" s="5">
        <v>0.227571659014766</v>
      </c>
      <c r="F949">
        <v>10</v>
      </c>
      <c r="G949" t="s">
        <v>13</v>
      </c>
      <c r="H949" t="s">
        <v>28</v>
      </c>
      <c r="I949" t="s">
        <v>47</v>
      </c>
      <c r="J949" s="1">
        <v>44343</v>
      </c>
      <c r="K949" t="s">
        <v>21</v>
      </c>
      <c r="L949" t="s">
        <v>63</v>
      </c>
      <c r="M949" t="s">
        <v>1473</v>
      </c>
      <c r="N949">
        <v>2021</v>
      </c>
    </row>
    <row r="950" spans="1:14" x14ac:dyDescent="0.25">
      <c r="A950" t="s">
        <v>1110</v>
      </c>
      <c r="B950" t="s">
        <v>1112</v>
      </c>
      <c r="C950">
        <v>8059</v>
      </c>
      <c r="D950">
        <v>1834</v>
      </c>
      <c r="E950" s="5">
        <v>0.227571659014766</v>
      </c>
      <c r="F950">
        <v>10</v>
      </c>
      <c r="G950" t="s">
        <v>13</v>
      </c>
      <c r="H950" t="s">
        <v>28</v>
      </c>
      <c r="I950" t="s">
        <v>47</v>
      </c>
      <c r="J950" s="1">
        <v>45112</v>
      </c>
      <c r="K950" t="s">
        <v>21</v>
      </c>
      <c r="L950" t="s">
        <v>63</v>
      </c>
      <c r="M950" t="s">
        <v>1472</v>
      </c>
      <c r="N950">
        <v>2023</v>
      </c>
    </row>
    <row r="951" spans="1:14" x14ac:dyDescent="0.25">
      <c r="A951" t="s">
        <v>1110</v>
      </c>
      <c r="B951" t="s">
        <v>1113</v>
      </c>
      <c r="C951">
        <v>8059</v>
      </c>
      <c r="D951">
        <v>1834</v>
      </c>
      <c r="E951" s="5">
        <v>0.227571659014766</v>
      </c>
      <c r="F951">
        <v>10</v>
      </c>
      <c r="G951" t="s">
        <v>13</v>
      </c>
      <c r="H951" t="s">
        <v>28</v>
      </c>
      <c r="I951" t="s">
        <v>47</v>
      </c>
      <c r="J951" s="1">
        <v>44131</v>
      </c>
      <c r="K951" t="s">
        <v>42</v>
      </c>
      <c r="L951" t="s">
        <v>75</v>
      </c>
      <c r="M951" t="s">
        <v>1474</v>
      </c>
      <c r="N951">
        <v>2020</v>
      </c>
    </row>
    <row r="952" spans="1:14" x14ac:dyDescent="0.25">
      <c r="A952" t="s">
        <v>1114</v>
      </c>
      <c r="B952" t="s">
        <v>1115</v>
      </c>
      <c r="C952">
        <v>3661</v>
      </c>
      <c r="D952">
        <v>436</v>
      </c>
      <c r="E952" s="5">
        <v>0.11909314394973999</v>
      </c>
      <c r="F952">
        <v>13</v>
      </c>
      <c r="G952" t="s">
        <v>45</v>
      </c>
      <c r="H952" t="s">
        <v>60</v>
      </c>
      <c r="I952" t="s">
        <v>40</v>
      </c>
      <c r="J952" s="1">
        <v>44952</v>
      </c>
      <c r="K952" t="s">
        <v>71</v>
      </c>
      <c r="L952" t="s">
        <v>86</v>
      </c>
      <c r="M952" t="s">
        <v>1478</v>
      </c>
      <c r="N952">
        <v>2023</v>
      </c>
    </row>
    <row r="953" spans="1:14" x14ac:dyDescent="0.25">
      <c r="A953" t="s">
        <v>1116</v>
      </c>
      <c r="B953" t="s">
        <v>1117</v>
      </c>
      <c r="C953">
        <v>2451</v>
      </c>
      <c r="D953">
        <v>342</v>
      </c>
      <c r="E953" s="5">
        <v>0.13953488372093001</v>
      </c>
      <c r="F953">
        <v>8</v>
      </c>
      <c r="G953" t="s">
        <v>30</v>
      </c>
      <c r="H953" t="s">
        <v>64</v>
      </c>
      <c r="I953" t="s">
        <v>40</v>
      </c>
      <c r="J953" s="1">
        <v>44445</v>
      </c>
      <c r="K953" t="s">
        <v>42</v>
      </c>
      <c r="L953" t="s">
        <v>43</v>
      </c>
      <c r="M953" t="s">
        <v>1480</v>
      </c>
      <c r="N953">
        <v>2021</v>
      </c>
    </row>
    <row r="954" spans="1:14" x14ac:dyDescent="0.25">
      <c r="A954" t="s">
        <v>1116</v>
      </c>
      <c r="B954" t="s">
        <v>1118</v>
      </c>
      <c r="C954">
        <v>2451</v>
      </c>
      <c r="D954">
        <v>342</v>
      </c>
      <c r="E954" s="5">
        <v>0.13953488372093001</v>
      </c>
      <c r="F954">
        <v>8</v>
      </c>
      <c r="G954" t="s">
        <v>30</v>
      </c>
      <c r="H954" t="s">
        <v>64</v>
      </c>
      <c r="I954" t="s">
        <v>40</v>
      </c>
      <c r="J954" s="1">
        <v>44512</v>
      </c>
      <c r="K954" t="s">
        <v>98</v>
      </c>
      <c r="L954" t="s">
        <v>107</v>
      </c>
      <c r="M954" t="s">
        <v>1475</v>
      </c>
      <c r="N954">
        <v>2021</v>
      </c>
    </row>
    <row r="955" spans="1:14" x14ac:dyDescent="0.25">
      <c r="A955" t="s">
        <v>1116</v>
      </c>
      <c r="B955" t="s">
        <v>1119</v>
      </c>
      <c r="C955">
        <v>2451</v>
      </c>
      <c r="D955">
        <v>342</v>
      </c>
      <c r="E955" s="5">
        <v>0.13953488372093001</v>
      </c>
      <c r="F955">
        <v>8</v>
      </c>
      <c r="G955" t="s">
        <v>30</v>
      </c>
      <c r="H955" t="s">
        <v>64</v>
      </c>
      <c r="I955" t="s">
        <v>40</v>
      </c>
      <c r="J955" s="1">
        <v>45503</v>
      </c>
      <c r="K955" t="s">
        <v>71</v>
      </c>
      <c r="L955" t="s">
        <v>138</v>
      </c>
      <c r="M955" t="s">
        <v>1472</v>
      </c>
      <c r="N955">
        <v>2024</v>
      </c>
    </row>
    <row r="956" spans="1:14" x14ac:dyDescent="0.25">
      <c r="A956" t="s">
        <v>1120</v>
      </c>
      <c r="B956" t="s">
        <v>1121</v>
      </c>
      <c r="C956">
        <v>7067</v>
      </c>
      <c r="D956">
        <v>1943</v>
      </c>
      <c r="E956" s="5">
        <v>0.27493986132729598</v>
      </c>
      <c r="F956">
        <v>16</v>
      </c>
      <c r="G956" t="s">
        <v>45</v>
      </c>
      <c r="H956" t="s">
        <v>46</v>
      </c>
      <c r="I956" t="s">
        <v>47</v>
      </c>
      <c r="J956" s="1">
        <v>44635</v>
      </c>
      <c r="K956" t="s">
        <v>42</v>
      </c>
      <c r="L956" t="s">
        <v>92</v>
      </c>
      <c r="M956" t="s">
        <v>1476</v>
      </c>
      <c r="N956">
        <v>2022</v>
      </c>
    </row>
    <row r="957" spans="1:14" x14ac:dyDescent="0.25">
      <c r="A957" t="s">
        <v>1122</v>
      </c>
      <c r="B957" t="s">
        <v>1123</v>
      </c>
      <c r="C957">
        <v>4307</v>
      </c>
      <c r="D957">
        <v>615</v>
      </c>
      <c r="E957" s="5">
        <v>0.142790805665196</v>
      </c>
      <c r="F957">
        <v>3</v>
      </c>
      <c r="G957" t="s">
        <v>13</v>
      </c>
      <c r="H957" t="s">
        <v>14</v>
      </c>
      <c r="I957" t="s">
        <v>15</v>
      </c>
      <c r="J957" s="1">
        <v>45366</v>
      </c>
      <c r="K957" t="s">
        <v>25</v>
      </c>
      <c r="L957" t="s">
        <v>51</v>
      </c>
      <c r="M957" t="s">
        <v>1476</v>
      </c>
      <c r="N957">
        <v>2024</v>
      </c>
    </row>
    <row r="958" spans="1:14" x14ac:dyDescent="0.25">
      <c r="A958" t="s">
        <v>1122</v>
      </c>
      <c r="B958" t="s">
        <v>1124</v>
      </c>
      <c r="C958">
        <v>4307</v>
      </c>
      <c r="D958">
        <v>615</v>
      </c>
      <c r="E958" s="5">
        <v>0.142790805665196</v>
      </c>
      <c r="F958">
        <v>3</v>
      </c>
      <c r="G958" t="s">
        <v>13</v>
      </c>
      <c r="H958" t="s">
        <v>14</v>
      </c>
      <c r="I958" t="s">
        <v>15</v>
      </c>
      <c r="J958" s="1">
        <v>44145</v>
      </c>
      <c r="K958" t="s">
        <v>21</v>
      </c>
      <c r="L958" t="s">
        <v>63</v>
      </c>
      <c r="M958" t="s">
        <v>1475</v>
      </c>
      <c r="N958">
        <v>2020</v>
      </c>
    </row>
    <row r="959" spans="1:14" x14ac:dyDescent="0.25">
      <c r="A959" t="s">
        <v>1122</v>
      </c>
      <c r="B959" t="s">
        <v>1123</v>
      </c>
      <c r="C959">
        <v>5694</v>
      </c>
      <c r="D959">
        <v>1134</v>
      </c>
      <c r="E959" s="5">
        <v>0.199157007376185</v>
      </c>
      <c r="F959">
        <v>5</v>
      </c>
      <c r="G959" t="s">
        <v>45</v>
      </c>
      <c r="H959" t="s">
        <v>49</v>
      </c>
      <c r="I959" t="s">
        <v>40</v>
      </c>
      <c r="J959" s="1">
        <v>45366</v>
      </c>
      <c r="K959" t="s">
        <v>25</v>
      </c>
      <c r="L959" t="s">
        <v>51</v>
      </c>
      <c r="M959" t="s">
        <v>1476</v>
      </c>
      <c r="N959">
        <v>2024</v>
      </c>
    </row>
    <row r="960" spans="1:14" x14ac:dyDescent="0.25">
      <c r="A960" t="s">
        <v>1122</v>
      </c>
      <c r="B960" t="s">
        <v>1124</v>
      </c>
      <c r="C960">
        <v>5694</v>
      </c>
      <c r="D960">
        <v>1134</v>
      </c>
      <c r="E960" s="5">
        <v>0.199157007376185</v>
      </c>
      <c r="F960">
        <v>5</v>
      </c>
      <c r="G960" t="s">
        <v>45</v>
      </c>
      <c r="H960" t="s">
        <v>49</v>
      </c>
      <c r="I960" t="s">
        <v>40</v>
      </c>
      <c r="J960" s="1">
        <v>44145</v>
      </c>
      <c r="K960" t="s">
        <v>21</v>
      </c>
      <c r="L960" t="s">
        <v>63</v>
      </c>
      <c r="M960" t="s">
        <v>1475</v>
      </c>
      <c r="N960">
        <v>2020</v>
      </c>
    </row>
    <row r="961" spans="1:14" x14ac:dyDescent="0.25">
      <c r="A961" t="s">
        <v>1125</v>
      </c>
      <c r="B961" t="s">
        <v>1126</v>
      </c>
      <c r="C961">
        <v>962</v>
      </c>
      <c r="D961">
        <v>298</v>
      </c>
      <c r="E961" s="5">
        <v>0.30977130977131001</v>
      </c>
      <c r="F961">
        <v>18</v>
      </c>
      <c r="G961" t="s">
        <v>30</v>
      </c>
      <c r="H961" t="s">
        <v>78</v>
      </c>
      <c r="I961" t="s">
        <v>47</v>
      </c>
      <c r="J961" s="1">
        <v>44765</v>
      </c>
      <c r="K961" t="s">
        <v>21</v>
      </c>
      <c r="L961" t="s">
        <v>63</v>
      </c>
      <c r="M961" t="s">
        <v>1472</v>
      </c>
      <c r="N961">
        <v>2022</v>
      </c>
    </row>
    <row r="962" spans="1:14" x14ac:dyDescent="0.25">
      <c r="A962" t="s">
        <v>1127</v>
      </c>
      <c r="B962" t="s">
        <v>1128</v>
      </c>
      <c r="C962">
        <v>2995</v>
      </c>
      <c r="D962">
        <v>220</v>
      </c>
      <c r="E962" s="5">
        <v>7.3455759599332204E-2</v>
      </c>
      <c r="F962">
        <v>14</v>
      </c>
      <c r="G962" t="s">
        <v>45</v>
      </c>
      <c r="H962" t="s">
        <v>109</v>
      </c>
      <c r="I962" t="s">
        <v>47</v>
      </c>
      <c r="J962" s="1">
        <v>45548</v>
      </c>
      <c r="K962" t="s">
        <v>25</v>
      </c>
      <c r="L962" t="s">
        <v>26</v>
      </c>
      <c r="M962" t="s">
        <v>1480</v>
      </c>
      <c r="N962">
        <v>2024</v>
      </c>
    </row>
    <row r="963" spans="1:14" x14ac:dyDescent="0.25">
      <c r="A963" t="s">
        <v>1127</v>
      </c>
      <c r="B963" t="s">
        <v>1128</v>
      </c>
      <c r="C963">
        <v>2047</v>
      </c>
      <c r="D963">
        <v>914</v>
      </c>
      <c r="E963" s="5">
        <v>0.44650708353688301</v>
      </c>
      <c r="F963">
        <v>5</v>
      </c>
      <c r="G963" t="s">
        <v>30</v>
      </c>
      <c r="H963" t="s">
        <v>57</v>
      </c>
      <c r="I963" t="s">
        <v>32</v>
      </c>
      <c r="J963" s="1">
        <v>45548</v>
      </c>
      <c r="K963" t="s">
        <v>25</v>
      </c>
      <c r="L963" t="s">
        <v>26</v>
      </c>
      <c r="M963" t="s">
        <v>1480</v>
      </c>
      <c r="N963">
        <v>2024</v>
      </c>
    </row>
    <row r="964" spans="1:14" x14ac:dyDescent="0.25">
      <c r="A964" t="s">
        <v>1129</v>
      </c>
      <c r="B964" t="s">
        <v>1130</v>
      </c>
      <c r="C964">
        <v>2078</v>
      </c>
      <c r="D964">
        <v>612</v>
      </c>
      <c r="E964" s="5">
        <v>0.29451395572666</v>
      </c>
      <c r="F964">
        <v>6</v>
      </c>
      <c r="G964" t="s">
        <v>13</v>
      </c>
      <c r="H964" t="s">
        <v>39</v>
      </c>
      <c r="I964" t="s">
        <v>65</v>
      </c>
      <c r="J964" s="1">
        <v>44586</v>
      </c>
      <c r="K964" t="s">
        <v>71</v>
      </c>
      <c r="L964" t="s">
        <v>86</v>
      </c>
      <c r="M964" t="s">
        <v>1478</v>
      </c>
      <c r="N964">
        <v>2022</v>
      </c>
    </row>
    <row r="965" spans="1:14" x14ac:dyDescent="0.25">
      <c r="A965" t="s">
        <v>1131</v>
      </c>
      <c r="B965" t="s">
        <v>1132</v>
      </c>
      <c r="C965">
        <v>2737</v>
      </c>
      <c r="D965">
        <v>1253</v>
      </c>
      <c r="E965" s="5">
        <v>0.45780051150895101</v>
      </c>
      <c r="F965">
        <v>3</v>
      </c>
      <c r="G965" t="s">
        <v>13</v>
      </c>
      <c r="H965" t="s">
        <v>28</v>
      </c>
      <c r="I965" t="s">
        <v>40</v>
      </c>
      <c r="J965" s="1">
        <v>44305</v>
      </c>
      <c r="K965" t="s">
        <v>25</v>
      </c>
      <c r="L965" t="s">
        <v>51</v>
      </c>
      <c r="M965" t="s">
        <v>1481</v>
      </c>
      <c r="N965">
        <v>2021</v>
      </c>
    </row>
    <row r="966" spans="1:14" x14ac:dyDescent="0.25">
      <c r="A966" t="s">
        <v>1133</v>
      </c>
      <c r="B966" t="s">
        <v>1134</v>
      </c>
      <c r="C966">
        <v>8194</v>
      </c>
      <c r="D966">
        <v>2881</v>
      </c>
      <c r="E966" s="5">
        <v>0.35159873077861797</v>
      </c>
      <c r="F966">
        <v>6</v>
      </c>
      <c r="G966" t="s">
        <v>30</v>
      </c>
      <c r="H966" t="s">
        <v>64</v>
      </c>
      <c r="I966" t="s">
        <v>32</v>
      </c>
      <c r="J966" s="1">
        <v>44395</v>
      </c>
      <c r="K966" t="s">
        <v>71</v>
      </c>
      <c r="L966" t="s">
        <v>138</v>
      </c>
      <c r="M966" t="s">
        <v>1472</v>
      </c>
      <c r="N966">
        <v>2021</v>
      </c>
    </row>
    <row r="967" spans="1:14" x14ac:dyDescent="0.25">
      <c r="A967" t="s">
        <v>1135</v>
      </c>
      <c r="B967" t="s">
        <v>1136</v>
      </c>
      <c r="C967">
        <v>9914</v>
      </c>
      <c r="D967">
        <v>3858</v>
      </c>
      <c r="E967" s="5">
        <v>0.38914666128706898</v>
      </c>
      <c r="F967">
        <v>16</v>
      </c>
      <c r="G967" t="s">
        <v>45</v>
      </c>
      <c r="H967" t="s">
        <v>60</v>
      </c>
      <c r="I967" t="s">
        <v>47</v>
      </c>
      <c r="J967" s="1">
        <v>44736</v>
      </c>
      <c r="K967" t="s">
        <v>25</v>
      </c>
      <c r="L967" t="s">
        <v>26</v>
      </c>
      <c r="M967" t="s">
        <v>1470</v>
      </c>
      <c r="N967">
        <v>2022</v>
      </c>
    </row>
    <row r="968" spans="1:14" x14ac:dyDescent="0.25">
      <c r="A968" t="s">
        <v>1135</v>
      </c>
      <c r="B968" t="s">
        <v>1137</v>
      </c>
      <c r="C968">
        <v>9914</v>
      </c>
      <c r="D968">
        <v>3858</v>
      </c>
      <c r="E968" s="5">
        <v>0.38914666128706898</v>
      </c>
      <c r="F968">
        <v>16</v>
      </c>
      <c r="G968" t="s">
        <v>45</v>
      </c>
      <c r="H968" t="s">
        <v>60</v>
      </c>
      <c r="I968" t="s">
        <v>47</v>
      </c>
      <c r="J968" s="1">
        <v>45451</v>
      </c>
      <c r="K968" t="s">
        <v>25</v>
      </c>
      <c r="L968" t="s">
        <v>68</v>
      </c>
      <c r="M968" t="s">
        <v>1470</v>
      </c>
      <c r="N968">
        <v>2024</v>
      </c>
    </row>
    <row r="969" spans="1:14" x14ac:dyDescent="0.25">
      <c r="A969" t="s">
        <v>1135</v>
      </c>
      <c r="B969" t="s">
        <v>1136</v>
      </c>
      <c r="C969">
        <v>5470</v>
      </c>
      <c r="D969">
        <v>292</v>
      </c>
      <c r="E969" s="5">
        <v>5.3382084095064002E-2</v>
      </c>
      <c r="F969">
        <v>7</v>
      </c>
      <c r="G969" t="s">
        <v>30</v>
      </c>
      <c r="H969" t="s">
        <v>31</v>
      </c>
      <c r="I969" t="s">
        <v>32</v>
      </c>
      <c r="J969" s="1">
        <v>44736</v>
      </c>
      <c r="K969" t="s">
        <v>25</v>
      </c>
      <c r="L969" t="s">
        <v>26</v>
      </c>
      <c r="M969" t="s">
        <v>1470</v>
      </c>
      <c r="N969">
        <v>2022</v>
      </c>
    </row>
    <row r="970" spans="1:14" x14ac:dyDescent="0.25">
      <c r="A970" t="s">
        <v>1135</v>
      </c>
      <c r="B970" t="s">
        <v>1137</v>
      </c>
      <c r="C970">
        <v>5470</v>
      </c>
      <c r="D970">
        <v>292</v>
      </c>
      <c r="E970" s="5">
        <v>5.3382084095064002E-2</v>
      </c>
      <c r="F970">
        <v>7</v>
      </c>
      <c r="G970" t="s">
        <v>30</v>
      </c>
      <c r="H970" t="s">
        <v>31</v>
      </c>
      <c r="I970" t="s">
        <v>32</v>
      </c>
      <c r="J970" s="1">
        <v>45451</v>
      </c>
      <c r="K970" t="s">
        <v>25</v>
      </c>
      <c r="L970" t="s">
        <v>68</v>
      </c>
      <c r="M970" t="s">
        <v>1470</v>
      </c>
      <c r="N970">
        <v>2024</v>
      </c>
    </row>
    <row r="971" spans="1:14" x14ac:dyDescent="0.25">
      <c r="A971" t="s">
        <v>1135</v>
      </c>
      <c r="B971" t="s">
        <v>1136</v>
      </c>
      <c r="C971">
        <v>1496</v>
      </c>
      <c r="D971">
        <v>662</v>
      </c>
      <c r="E971" s="5">
        <v>0.44251336898395699</v>
      </c>
      <c r="F971">
        <v>17</v>
      </c>
      <c r="G971" t="s">
        <v>45</v>
      </c>
      <c r="H971" t="s">
        <v>109</v>
      </c>
      <c r="I971" t="s">
        <v>15</v>
      </c>
      <c r="J971" s="1">
        <v>44736</v>
      </c>
      <c r="K971" t="s">
        <v>25</v>
      </c>
      <c r="L971" t="s">
        <v>26</v>
      </c>
      <c r="M971" t="s">
        <v>1470</v>
      </c>
      <c r="N971">
        <v>2022</v>
      </c>
    </row>
    <row r="972" spans="1:14" x14ac:dyDescent="0.25">
      <c r="A972" t="s">
        <v>1135</v>
      </c>
      <c r="B972" t="s">
        <v>1137</v>
      </c>
      <c r="C972">
        <v>1496</v>
      </c>
      <c r="D972">
        <v>662</v>
      </c>
      <c r="E972" s="5">
        <v>0.44251336898395699</v>
      </c>
      <c r="F972">
        <v>17</v>
      </c>
      <c r="G972" t="s">
        <v>45</v>
      </c>
      <c r="H972" t="s">
        <v>109</v>
      </c>
      <c r="I972" t="s">
        <v>15</v>
      </c>
      <c r="J972" s="1">
        <v>45451</v>
      </c>
      <c r="K972" t="s">
        <v>25</v>
      </c>
      <c r="L972" t="s">
        <v>68</v>
      </c>
      <c r="M972" t="s">
        <v>1470</v>
      </c>
      <c r="N972">
        <v>2024</v>
      </c>
    </row>
    <row r="973" spans="1:14" x14ac:dyDescent="0.25">
      <c r="A973" t="s">
        <v>1138</v>
      </c>
      <c r="B973" t="s">
        <v>1139</v>
      </c>
      <c r="C973">
        <v>3228</v>
      </c>
      <c r="D973">
        <v>476</v>
      </c>
      <c r="E973" s="5">
        <v>0.14745972738537799</v>
      </c>
      <c r="F973">
        <v>9</v>
      </c>
      <c r="G973" t="s">
        <v>30</v>
      </c>
      <c r="H973" t="s">
        <v>64</v>
      </c>
      <c r="I973" t="s">
        <v>65</v>
      </c>
      <c r="J973" s="1">
        <v>44833</v>
      </c>
      <c r="K973" t="s">
        <v>25</v>
      </c>
      <c r="L973" t="s">
        <v>51</v>
      </c>
      <c r="M973" t="s">
        <v>1480</v>
      </c>
      <c r="N973">
        <v>2022</v>
      </c>
    </row>
    <row r="974" spans="1:14" x14ac:dyDescent="0.25">
      <c r="A974" t="s">
        <v>1140</v>
      </c>
      <c r="B974" t="s">
        <v>1141</v>
      </c>
      <c r="C974">
        <v>3918</v>
      </c>
      <c r="D974">
        <v>749</v>
      </c>
      <c r="E974" s="5">
        <v>0.191168963757019</v>
      </c>
      <c r="F974">
        <v>8</v>
      </c>
      <c r="G974" t="s">
        <v>13</v>
      </c>
      <c r="H974" t="s">
        <v>39</v>
      </c>
      <c r="I974" t="s">
        <v>47</v>
      </c>
      <c r="J974" s="1">
        <v>45056</v>
      </c>
      <c r="K974" t="s">
        <v>42</v>
      </c>
      <c r="L974" t="s">
        <v>75</v>
      </c>
      <c r="M974" t="s">
        <v>1473</v>
      </c>
      <c r="N974">
        <v>2023</v>
      </c>
    </row>
    <row r="975" spans="1:14" x14ac:dyDescent="0.25">
      <c r="A975" t="s">
        <v>1140</v>
      </c>
      <c r="B975" t="s">
        <v>1142</v>
      </c>
      <c r="C975">
        <v>3918</v>
      </c>
      <c r="D975">
        <v>749</v>
      </c>
      <c r="E975" s="5">
        <v>0.191168963757019</v>
      </c>
      <c r="F975">
        <v>8</v>
      </c>
      <c r="G975" t="s">
        <v>13</v>
      </c>
      <c r="H975" t="s">
        <v>39</v>
      </c>
      <c r="I975" t="s">
        <v>47</v>
      </c>
      <c r="J975" s="1">
        <v>43953</v>
      </c>
      <c r="K975" t="s">
        <v>71</v>
      </c>
      <c r="L975" t="s">
        <v>138</v>
      </c>
      <c r="M975" t="s">
        <v>1473</v>
      </c>
      <c r="N975">
        <v>2020</v>
      </c>
    </row>
    <row r="976" spans="1:14" x14ac:dyDescent="0.25">
      <c r="A976" t="s">
        <v>1143</v>
      </c>
      <c r="B976" t="s">
        <v>1144</v>
      </c>
      <c r="C976">
        <v>9921</v>
      </c>
      <c r="D976">
        <v>1451</v>
      </c>
      <c r="E976" s="5">
        <v>0.14625541780062501</v>
      </c>
      <c r="F976">
        <v>15</v>
      </c>
      <c r="G976" t="s">
        <v>45</v>
      </c>
      <c r="H976" t="s">
        <v>60</v>
      </c>
      <c r="I976" t="s">
        <v>40</v>
      </c>
      <c r="J976" s="1">
        <v>44298</v>
      </c>
      <c r="K976" t="s">
        <v>21</v>
      </c>
      <c r="L976" t="s">
        <v>22</v>
      </c>
      <c r="M976" t="s">
        <v>1481</v>
      </c>
      <c r="N976">
        <v>2021</v>
      </c>
    </row>
    <row r="977" spans="1:14" x14ac:dyDescent="0.25">
      <c r="A977" t="s">
        <v>1145</v>
      </c>
      <c r="B977" t="s">
        <v>1146</v>
      </c>
      <c r="C977">
        <v>9694</v>
      </c>
      <c r="D977">
        <v>4361</v>
      </c>
      <c r="E977" s="5">
        <v>0.44986589643078201</v>
      </c>
      <c r="F977">
        <v>1</v>
      </c>
      <c r="G977" t="s">
        <v>45</v>
      </c>
      <c r="H977" t="s">
        <v>49</v>
      </c>
      <c r="I977" t="s">
        <v>40</v>
      </c>
      <c r="J977" s="1">
        <v>45234</v>
      </c>
      <c r="K977" t="s">
        <v>21</v>
      </c>
      <c r="L977" t="s">
        <v>63</v>
      </c>
      <c r="M977" t="s">
        <v>1475</v>
      </c>
      <c r="N977">
        <v>2023</v>
      </c>
    </row>
    <row r="978" spans="1:14" x14ac:dyDescent="0.25">
      <c r="A978" t="s">
        <v>1147</v>
      </c>
      <c r="B978" t="s">
        <v>1148</v>
      </c>
      <c r="C978">
        <v>5028</v>
      </c>
      <c r="D978">
        <v>1553</v>
      </c>
      <c r="E978" s="5">
        <v>0.30887032617342902</v>
      </c>
      <c r="F978">
        <v>13</v>
      </c>
      <c r="G978" t="s">
        <v>30</v>
      </c>
      <c r="H978" t="s">
        <v>64</v>
      </c>
      <c r="I978" t="s">
        <v>40</v>
      </c>
      <c r="J978" s="1">
        <v>43955</v>
      </c>
      <c r="K978" t="s">
        <v>17</v>
      </c>
      <c r="L978" t="s">
        <v>150</v>
      </c>
      <c r="M978" t="s">
        <v>1473</v>
      </c>
      <c r="N978">
        <v>2020</v>
      </c>
    </row>
    <row r="979" spans="1:14" x14ac:dyDescent="0.25">
      <c r="A979" t="s">
        <v>1149</v>
      </c>
      <c r="B979" t="s">
        <v>1150</v>
      </c>
      <c r="C979">
        <v>594</v>
      </c>
      <c r="D979">
        <v>67</v>
      </c>
      <c r="E979" s="5">
        <v>0.112794612794613</v>
      </c>
      <c r="F979">
        <v>19</v>
      </c>
      <c r="G979" t="s">
        <v>30</v>
      </c>
      <c r="H979" t="s">
        <v>64</v>
      </c>
      <c r="I979" t="s">
        <v>32</v>
      </c>
      <c r="J979" s="1">
        <v>45179</v>
      </c>
      <c r="K979" t="s">
        <v>25</v>
      </c>
      <c r="L979" t="s">
        <v>26</v>
      </c>
      <c r="M979" t="s">
        <v>1480</v>
      </c>
      <c r="N979">
        <v>2023</v>
      </c>
    </row>
    <row r="980" spans="1:14" x14ac:dyDescent="0.25">
      <c r="A980" t="s">
        <v>1149</v>
      </c>
      <c r="B980" t="s">
        <v>1151</v>
      </c>
      <c r="C980">
        <v>594</v>
      </c>
      <c r="D980">
        <v>67</v>
      </c>
      <c r="E980" s="5">
        <v>0.112794612794613</v>
      </c>
      <c r="F980">
        <v>19</v>
      </c>
      <c r="G980" t="s">
        <v>30</v>
      </c>
      <c r="H980" t="s">
        <v>64</v>
      </c>
      <c r="I980" t="s">
        <v>32</v>
      </c>
      <c r="J980" s="1">
        <v>45296</v>
      </c>
      <c r="K980" t="s">
        <v>17</v>
      </c>
      <c r="L980" t="s">
        <v>18</v>
      </c>
      <c r="M980" t="s">
        <v>1478</v>
      </c>
      <c r="N980">
        <v>2024</v>
      </c>
    </row>
    <row r="981" spans="1:14" x14ac:dyDescent="0.25">
      <c r="A981" t="s">
        <v>1149</v>
      </c>
      <c r="B981" t="s">
        <v>1152</v>
      </c>
      <c r="C981">
        <v>594</v>
      </c>
      <c r="D981">
        <v>67</v>
      </c>
      <c r="E981" s="5">
        <v>0.112794612794613</v>
      </c>
      <c r="F981">
        <v>19</v>
      </c>
      <c r="G981" t="s">
        <v>30</v>
      </c>
      <c r="H981" t="s">
        <v>64</v>
      </c>
      <c r="I981" t="s">
        <v>32</v>
      </c>
      <c r="J981" s="1">
        <v>45420</v>
      </c>
      <c r="K981" t="s">
        <v>71</v>
      </c>
      <c r="L981" t="s">
        <v>86</v>
      </c>
      <c r="M981" t="s">
        <v>1473</v>
      </c>
      <c r="N981">
        <v>2024</v>
      </c>
    </row>
    <row r="982" spans="1:14" x14ac:dyDescent="0.25">
      <c r="A982" t="s">
        <v>1153</v>
      </c>
      <c r="B982" t="s">
        <v>1154</v>
      </c>
      <c r="C982">
        <v>5954</v>
      </c>
      <c r="D982">
        <v>2618</v>
      </c>
      <c r="E982" s="5">
        <v>0.43970440040309</v>
      </c>
      <c r="F982">
        <v>11</v>
      </c>
      <c r="G982" t="s">
        <v>45</v>
      </c>
      <c r="H982" t="s">
        <v>46</v>
      </c>
      <c r="I982" t="s">
        <v>65</v>
      </c>
      <c r="J982" s="1">
        <v>45381</v>
      </c>
      <c r="K982" t="s">
        <v>98</v>
      </c>
      <c r="L982" t="s">
        <v>107</v>
      </c>
      <c r="M982" t="s">
        <v>1476</v>
      </c>
      <c r="N982">
        <v>2024</v>
      </c>
    </row>
    <row r="983" spans="1:14" x14ac:dyDescent="0.25">
      <c r="A983" t="s">
        <v>1155</v>
      </c>
      <c r="B983" t="s">
        <v>1156</v>
      </c>
      <c r="C983">
        <v>3518</v>
      </c>
      <c r="D983">
        <v>1051</v>
      </c>
      <c r="E983" s="5">
        <v>0.29874928936896</v>
      </c>
      <c r="F983">
        <v>3</v>
      </c>
      <c r="G983" t="s">
        <v>45</v>
      </c>
      <c r="H983" t="s">
        <v>109</v>
      </c>
      <c r="I983" t="s">
        <v>15</v>
      </c>
      <c r="J983" s="1">
        <v>44084</v>
      </c>
      <c r="K983" t="s">
        <v>42</v>
      </c>
      <c r="L983" t="s">
        <v>92</v>
      </c>
      <c r="M983" t="s">
        <v>1480</v>
      </c>
      <c r="N983">
        <v>2020</v>
      </c>
    </row>
    <row r="984" spans="1:14" x14ac:dyDescent="0.25">
      <c r="A984" t="s">
        <v>1155</v>
      </c>
      <c r="B984" t="s">
        <v>1156</v>
      </c>
      <c r="C984">
        <v>4157</v>
      </c>
      <c r="D984">
        <v>1874</v>
      </c>
      <c r="E984" s="5">
        <v>0.45080586961751301</v>
      </c>
      <c r="F984">
        <v>8</v>
      </c>
      <c r="G984" t="s">
        <v>13</v>
      </c>
      <c r="H984" t="s">
        <v>39</v>
      </c>
      <c r="I984" t="s">
        <v>40</v>
      </c>
      <c r="J984" s="1">
        <v>44084</v>
      </c>
      <c r="K984" t="s">
        <v>42</v>
      </c>
      <c r="L984" t="s">
        <v>92</v>
      </c>
      <c r="M984" t="s">
        <v>1480</v>
      </c>
      <c r="N984">
        <v>2020</v>
      </c>
    </row>
    <row r="985" spans="1:14" x14ac:dyDescent="0.25">
      <c r="A985" t="s">
        <v>1157</v>
      </c>
      <c r="B985" t="s">
        <v>1158</v>
      </c>
      <c r="C985">
        <v>3747</v>
      </c>
      <c r="D985">
        <v>410</v>
      </c>
      <c r="E985" s="5">
        <v>0.10942087002935701</v>
      </c>
      <c r="F985">
        <v>5</v>
      </c>
      <c r="G985" t="s">
        <v>30</v>
      </c>
      <c r="H985" t="s">
        <v>57</v>
      </c>
      <c r="I985" t="s">
        <v>47</v>
      </c>
      <c r="J985" s="1">
        <v>44024</v>
      </c>
      <c r="K985" t="s">
        <v>21</v>
      </c>
      <c r="L985" t="s">
        <v>63</v>
      </c>
      <c r="M985" t="s">
        <v>1472</v>
      </c>
      <c r="N985">
        <v>2020</v>
      </c>
    </row>
    <row r="986" spans="1:14" x14ac:dyDescent="0.25">
      <c r="A986" t="s">
        <v>1157</v>
      </c>
      <c r="B986" t="s">
        <v>1159</v>
      </c>
      <c r="C986">
        <v>3747</v>
      </c>
      <c r="D986">
        <v>410</v>
      </c>
      <c r="E986" s="5">
        <v>0.10942087002935701</v>
      </c>
      <c r="F986">
        <v>5</v>
      </c>
      <c r="G986" t="s">
        <v>30</v>
      </c>
      <c r="H986" t="s">
        <v>57</v>
      </c>
      <c r="I986" t="s">
        <v>47</v>
      </c>
      <c r="J986" s="1">
        <v>44903</v>
      </c>
      <c r="K986" t="s">
        <v>25</v>
      </c>
      <c r="L986" t="s">
        <v>26</v>
      </c>
      <c r="M986" t="s">
        <v>1471</v>
      </c>
      <c r="N986">
        <v>2022</v>
      </c>
    </row>
    <row r="987" spans="1:14" x14ac:dyDescent="0.25">
      <c r="A987" t="s">
        <v>1157</v>
      </c>
      <c r="B987" t="s">
        <v>1160</v>
      </c>
      <c r="C987">
        <v>3747</v>
      </c>
      <c r="D987">
        <v>410</v>
      </c>
      <c r="E987" s="5">
        <v>0.10942087002935701</v>
      </c>
      <c r="F987">
        <v>5</v>
      </c>
      <c r="G987" t="s">
        <v>30</v>
      </c>
      <c r="H987" t="s">
        <v>57</v>
      </c>
      <c r="I987" t="s">
        <v>47</v>
      </c>
      <c r="J987" s="1">
        <v>45378</v>
      </c>
      <c r="K987" t="s">
        <v>98</v>
      </c>
      <c r="L987" t="s">
        <v>99</v>
      </c>
      <c r="M987" t="s">
        <v>1476</v>
      </c>
      <c r="N987">
        <v>2024</v>
      </c>
    </row>
    <row r="988" spans="1:14" x14ac:dyDescent="0.25">
      <c r="A988" t="s">
        <v>1157</v>
      </c>
      <c r="B988" t="s">
        <v>1161</v>
      </c>
      <c r="C988">
        <v>3747</v>
      </c>
      <c r="D988">
        <v>410</v>
      </c>
      <c r="E988" s="5">
        <v>0.10942087002935701</v>
      </c>
      <c r="F988">
        <v>5</v>
      </c>
      <c r="G988" t="s">
        <v>30</v>
      </c>
      <c r="H988" t="s">
        <v>57</v>
      </c>
      <c r="I988" t="s">
        <v>47</v>
      </c>
      <c r="J988" s="1">
        <v>44974</v>
      </c>
      <c r="K988" t="s">
        <v>21</v>
      </c>
      <c r="L988" t="s">
        <v>22</v>
      </c>
      <c r="M988" t="s">
        <v>1477</v>
      </c>
      <c r="N988">
        <v>2023</v>
      </c>
    </row>
    <row r="989" spans="1:14" x14ac:dyDescent="0.25">
      <c r="A989" t="s">
        <v>1157</v>
      </c>
      <c r="B989" t="s">
        <v>1162</v>
      </c>
      <c r="C989">
        <v>3747</v>
      </c>
      <c r="D989">
        <v>410</v>
      </c>
      <c r="E989" s="5">
        <v>0.10942087002935701</v>
      </c>
      <c r="F989">
        <v>5</v>
      </c>
      <c r="G989" t="s">
        <v>30</v>
      </c>
      <c r="H989" t="s">
        <v>57</v>
      </c>
      <c r="I989" t="s">
        <v>47</v>
      </c>
      <c r="J989" s="1">
        <v>44398</v>
      </c>
      <c r="K989" t="s">
        <v>42</v>
      </c>
      <c r="L989" t="s">
        <v>43</v>
      </c>
      <c r="M989" t="s">
        <v>1472</v>
      </c>
      <c r="N989">
        <v>2021</v>
      </c>
    </row>
    <row r="990" spans="1:14" x14ac:dyDescent="0.25">
      <c r="A990" t="s">
        <v>1157</v>
      </c>
      <c r="B990" t="s">
        <v>1158</v>
      </c>
      <c r="C990">
        <v>3194</v>
      </c>
      <c r="D990">
        <v>534</v>
      </c>
      <c r="E990" s="5">
        <v>0.16718847839699399</v>
      </c>
      <c r="F990">
        <v>4</v>
      </c>
      <c r="G990" t="s">
        <v>30</v>
      </c>
      <c r="H990" t="s">
        <v>78</v>
      </c>
      <c r="I990" t="s">
        <v>15</v>
      </c>
      <c r="J990" s="1">
        <v>44024</v>
      </c>
      <c r="K990" t="s">
        <v>21</v>
      </c>
      <c r="L990" t="s">
        <v>63</v>
      </c>
      <c r="M990" t="s">
        <v>1472</v>
      </c>
      <c r="N990">
        <v>2020</v>
      </c>
    </row>
    <row r="991" spans="1:14" x14ac:dyDescent="0.25">
      <c r="A991" t="s">
        <v>1157</v>
      </c>
      <c r="B991" t="s">
        <v>1159</v>
      </c>
      <c r="C991">
        <v>3194</v>
      </c>
      <c r="D991">
        <v>534</v>
      </c>
      <c r="E991" s="5">
        <v>0.16718847839699399</v>
      </c>
      <c r="F991">
        <v>4</v>
      </c>
      <c r="G991" t="s">
        <v>30</v>
      </c>
      <c r="H991" t="s">
        <v>78</v>
      </c>
      <c r="I991" t="s">
        <v>15</v>
      </c>
      <c r="J991" s="1">
        <v>44903</v>
      </c>
      <c r="K991" t="s">
        <v>25</v>
      </c>
      <c r="L991" t="s">
        <v>26</v>
      </c>
      <c r="M991" t="s">
        <v>1471</v>
      </c>
      <c r="N991">
        <v>2022</v>
      </c>
    </row>
    <row r="992" spans="1:14" x14ac:dyDescent="0.25">
      <c r="A992" t="s">
        <v>1157</v>
      </c>
      <c r="B992" t="s">
        <v>1160</v>
      </c>
      <c r="C992">
        <v>3194</v>
      </c>
      <c r="D992">
        <v>534</v>
      </c>
      <c r="E992" s="5">
        <v>0.16718847839699399</v>
      </c>
      <c r="F992">
        <v>4</v>
      </c>
      <c r="G992" t="s">
        <v>30</v>
      </c>
      <c r="H992" t="s">
        <v>78</v>
      </c>
      <c r="I992" t="s">
        <v>15</v>
      </c>
      <c r="J992" s="1">
        <v>45378</v>
      </c>
      <c r="K992" t="s">
        <v>98</v>
      </c>
      <c r="L992" t="s">
        <v>99</v>
      </c>
      <c r="M992" t="s">
        <v>1476</v>
      </c>
      <c r="N992">
        <v>2024</v>
      </c>
    </row>
    <row r="993" spans="1:14" x14ac:dyDescent="0.25">
      <c r="A993" t="s">
        <v>1157</v>
      </c>
      <c r="B993" t="s">
        <v>1161</v>
      </c>
      <c r="C993">
        <v>3194</v>
      </c>
      <c r="D993">
        <v>534</v>
      </c>
      <c r="E993" s="5">
        <v>0.16718847839699399</v>
      </c>
      <c r="F993">
        <v>4</v>
      </c>
      <c r="G993" t="s">
        <v>30</v>
      </c>
      <c r="H993" t="s">
        <v>78</v>
      </c>
      <c r="I993" t="s">
        <v>15</v>
      </c>
      <c r="J993" s="1">
        <v>44974</v>
      </c>
      <c r="K993" t="s">
        <v>21</v>
      </c>
      <c r="L993" t="s">
        <v>22</v>
      </c>
      <c r="M993" t="s">
        <v>1477</v>
      </c>
      <c r="N993">
        <v>2023</v>
      </c>
    </row>
    <row r="994" spans="1:14" x14ac:dyDescent="0.25">
      <c r="A994" t="s">
        <v>1157</v>
      </c>
      <c r="B994" t="s">
        <v>1162</v>
      </c>
      <c r="C994">
        <v>3194</v>
      </c>
      <c r="D994">
        <v>534</v>
      </c>
      <c r="E994" s="5">
        <v>0.16718847839699399</v>
      </c>
      <c r="F994">
        <v>4</v>
      </c>
      <c r="G994" t="s">
        <v>30</v>
      </c>
      <c r="H994" t="s">
        <v>78</v>
      </c>
      <c r="I994" t="s">
        <v>15</v>
      </c>
      <c r="J994" s="1">
        <v>44398</v>
      </c>
      <c r="K994" t="s">
        <v>42</v>
      </c>
      <c r="L994" t="s">
        <v>43</v>
      </c>
      <c r="M994" t="s">
        <v>1472</v>
      </c>
      <c r="N994">
        <v>2021</v>
      </c>
    </row>
    <row r="995" spans="1:14" x14ac:dyDescent="0.25">
      <c r="A995" t="s">
        <v>1163</v>
      </c>
      <c r="B995" t="s">
        <v>1164</v>
      </c>
      <c r="C995">
        <v>8548</v>
      </c>
      <c r="D995">
        <v>2305</v>
      </c>
      <c r="E995" s="5">
        <v>0.26965372016846001</v>
      </c>
      <c r="F995">
        <v>1</v>
      </c>
      <c r="G995" t="s">
        <v>30</v>
      </c>
      <c r="H995" t="s">
        <v>78</v>
      </c>
      <c r="I995" t="s">
        <v>65</v>
      </c>
      <c r="J995" s="1">
        <v>44864</v>
      </c>
      <c r="K995" t="s">
        <v>17</v>
      </c>
      <c r="L995" t="s">
        <v>150</v>
      </c>
      <c r="M995" t="s">
        <v>1474</v>
      </c>
      <c r="N995">
        <v>2022</v>
      </c>
    </row>
    <row r="996" spans="1:14" x14ac:dyDescent="0.25">
      <c r="A996" t="s">
        <v>1165</v>
      </c>
      <c r="B996" t="s">
        <v>1166</v>
      </c>
      <c r="C996">
        <v>6089</v>
      </c>
      <c r="D996">
        <v>139</v>
      </c>
      <c r="E996" s="5">
        <v>2.2828050583018601E-2</v>
      </c>
      <c r="F996">
        <v>19</v>
      </c>
      <c r="G996" t="s">
        <v>45</v>
      </c>
      <c r="H996" t="s">
        <v>46</v>
      </c>
      <c r="I996" t="s">
        <v>32</v>
      </c>
      <c r="J996" s="1">
        <v>44196</v>
      </c>
      <c r="K996" t="s">
        <v>98</v>
      </c>
      <c r="L996" t="s">
        <v>107</v>
      </c>
      <c r="M996" t="s">
        <v>1471</v>
      </c>
      <c r="N996">
        <v>2020</v>
      </c>
    </row>
    <row r="997" spans="1:14" x14ac:dyDescent="0.25">
      <c r="A997" t="s">
        <v>1165</v>
      </c>
      <c r="B997" t="s">
        <v>1167</v>
      </c>
      <c r="C997">
        <v>6089</v>
      </c>
      <c r="D997">
        <v>139</v>
      </c>
      <c r="E997" s="5">
        <v>2.2828050583018601E-2</v>
      </c>
      <c r="F997">
        <v>19</v>
      </c>
      <c r="G997" t="s">
        <v>45</v>
      </c>
      <c r="H997" t="s">
        <v>46</v>
      </c>
      <c r="I997" t="s">
        <v>32</v>
      </c>
      <c r="J997" s="1">
        <v>44666</v>
      </c>
      <c r="K997" t="s">
        <v>98</v>
      </c>
      <c r="L997" t="s">
        <v>117</v>
      </c>
      <c r="M997" t="s">
        <v>1481</v>
      </c>
      <c r="N997">
        <v>2022</v>
      </c>
    </row>
    <row r="998" spans="1:14" x14ac:dyDescent="0.25">
      <c r="A998" t="s">
        <v>1165</v>
      </c>
      <c r="B998" t="s">
        <v>1168</v>
      </c>
      <c r="C998">
        <v>6089</v>
      </c>
      <c r="D998">
        <v>139</v>
      </c>
      <c r="E998" s="5">
        <v>2.2828050583018601E-2</v>
      </c>
      <c r="F998">
        <v>19</v>
      </c>
      <c r="G998" t="s">
        <v>45</v>
      </c>
      <c r="H998" t="s">
        <v>46</v>
      </c>
      <c r="I998" t="s">
        <v>32</v>
      </c>
      <c r="J998" s="1">
        <v>45021</v>
      </c>
      <c r="K998" t="s">
        <v>21</v>
      </c>
      <c r="L998" t="s">
        <v>22</v>
      </c>
      <c r="M998" t="s">
        <v>1481</v>
      </c>
      <c r="N998">
        <v>2023</v>
      </c>
    </row>
    <row r="999" spans="1:14" x14ac:dyDescent="0.25">
      <c r="A999" t="s">
        <v>1165</v>
      </c>
      <c r="B999" t="s">
        <v>1166</v>
      </c>
      <c r="C999">
        <v>2586</v>
      </c>
      <c r="D999">
        <v>800</v>
      </c>
      <c r="E999" s="5">
        <v>0.30935808197989201</v>
      </c>
      <c r="F999">
        <v>16</v>
      </c>
      <c r="G999" t="s">
        <v>45</v>
      </c>
      <c r="H999" t="s">
        <v>46</v>
      </c>
      <c r="I999" t="s">
        <v>15</v>
      </c>
      <c r="J999" s="1">
        <v>44196</v>
      </c>
      <c r="K999" t="s">
        <v>98</v>
      </c>
      <c r="L999" t="s">
        <v>107</v>
      </c>
      <c r="M999" t="s">
        <v>1471</v>
      </c>
      <c r="N999">
        <v>2020</v>
      </c>
    </row>
    <row r="1000" spans="1:14" x14ac:dyDescent="0.25">
      <c r="A1000" t="s">
        <v>1165</v>
      </c>
      <c r="B1000" t="s">
        <v>1167</v>
      </c>
      <c r="C1000">
        <v>2586</v>
      </c>
      <c r="D1000">
        <v>800</v>
      </c>
      <c r="E1000" s="5">
        <v>0.30935808197989201</v>
      </c>
      <c r="F1000">
        <v>16</v>
      </c>
      <c r="G1000" t="s">
        <v>45</v>
      </c>
      <c r="H1000" t="s">
        <v>46</v>
      </c>
      <c r="I1000" t="s">
        <v>15</v>
      </c>
      <c r="J1000" s="1">
        <v>44666</v>
      </c>
      <c r="K1000" t="s">
        <v>98</v>
      </c>
      <c r="L1000" t="s">
        <v>117</v>
      </c>
      <c r="M1000" t="s">
        <v>1481</v>
      </c>
      <c r="N1000">
        <v>2022</v>
      </c>
    </row>
    <row r="1001" spans="1:14" x14ac:dyDescent="0.25">
      <c r="A1001" t="s">
        <v>1165</v>
      </c>
      <c r="B1001" t="s">
        <v>1168</v>
      </c>
      <c r="C1001">
        <v>2586</v>
      </c>
      <c r="D1001">
        <v>800</v>
      </c>
      <c r="E1001" s="5">
        <v>0.30935808197989201</v>
      </c>
      <c r="F1001">
        <v>16</v>
      </c>
      <c r="G1001" t="s">
        <v>45</v>
      </c>
      <c r="H1001" t="s">
        <v>46</v>
      </c>
      <c r="I1001" t="s">
        <v>15</v>
      </c>
      <c r="J1001" s="1">
        <v>45021</v>
      </c>
      <c r="K1001" t="s">
        <v>21</v>
      </c>
      <c r="L1001" t="s">
        <v>22</v>
      </c>
      <c r="M1001" t="s">
        <v>1481</v>
      </c>
      <c r="N1001">
        <v>2023</v>
      </c>
    </row>
    <row r="1002" spans="1:14" x14ac:dyDescent="0.25">
      <c r="A1002" t="s">
        <v>1165</v>
      </c>
      <c r="B1002" t="s">
        <v>1166</v>
      </c>
      <c r="C1002">
        <v>3757</v>
      </c>
      <c r="D1002">
        <v>1626</v>
      </c>
      <c r="E1002" s="5">
        <v>0.43279212137343598</v>
      </c>
      <c r="F1002">
        <v>9</v>
      </c>
      <c r="G1002" t="s">
        <v>30</v>
      </c>
      <c r="H1002" t="s">
        <v>64</v>
      </c>
      <c r="I1002" t="s">
        <v>15</v>
      </c>
      <c r="J1002" s="1">
        <v>44196</v>
      </c>
      <c r="K1002" t="s">
        <v>98</v>
      </c>
      <c r="L1002" t="s">
        <v>107</v>
      </c>
      <c r="M1002" t="s">
        <v>1471</v>
      </c>
      <c r="N1002">
        <v>2020</v>
      </c>
    </row>
    <row r="1003" spans="1:14" x14ac:dyDescent="0.25">
      <c r="A1003" t="s">
        <v>1165</v>
      </c>
      <c r="B1003" t="s">
        <v>1167</v>
      </c>
      <c r="C1003">
        <v>3757</v>
      </c>
      <c r="D1003">
        <v>1626</v>
      </c>
      <c r="E1003" s="5">
        <v>0.43279212137343598</v>
      </c>
      <c r="F1003">
        <v>9</v>
      </c>
      <c r="G1003" t="s">
        <v>30</v>
      </c>
      <c r="H1003" t="s">
        <v>64</v>
      </c>
      <c r="I1003" t="s">
        <v>15</v>
      </c>
      <c r="J1003" s="1">
        <v>44666</v>
      </c>
      <c r="K1003" t="s">
        <v>98</v>
      </c>
      <c r="L1003" t="s">
        <v>117</v>
      </c>
      <c r="M1003" t="s">
        <v>1481</v>
      </c>
      <c r="N1003">
        <v>2022</v>
      </c>
    </row>
    <row r="1004" spans="1:14" x14ac:dyDescent="0.25">
      <c r="A1004" t="s">
        <v>1165</v>
      </c>
      <c r="B1004" t="s">
        <v>1168</v>
      </c>
      <c r="C1004">
        <v>3757</v>
      </c>
      <c r="D1004">
        <v>1626</v>
      </c>
      <c r="E1004" s="5">
        <v>0.43279212137343598</v>
      </c>
      <c r="F1004">
        <v>9</v>
      </c>
      <c r="G1004" t="s">
        <v>30</v>
      </c>
      <c r="H1004" t="s">
        <v>64</v>
      </c>
      <c r="I1004" t="s">
        <v>15</v>
      </c>
      <c r="J1004" s="1">
        <v>45021</v>
      </c>
      <c r="K1004" t="s">
        <v>21</v>
      </c>
      <c r="L1004" t="s">
        <v>22</v>
      </c>
      <c r="M1004" t="s">
        <v>1481</v>
      </c>
      <c r="N1004">
        <v>2023</v>
      </c>
    </row>
    <row r="1005" spans="1:14" x14ac:dyDescent="0.25">
      <c r="A1005" t="s">
        <v>1169</v>
      </c>
      <c r="B1005" t="s">
        <v>1170</v>
      </c>
      <c r="C1005">
        <v>5193</v>
      </c>
      <c r="D1005">
        <v>2530</v>
      </c>
      <c r="E1005" s="5">
        <v>0.48719430001925701</v>
      </c>
      <c r="F1005">
        <v>5</v>
      </c>
      <c r="G1005" t="s">
        <v>45</v>
      </c>
      <c r="H1005" t="s">
        <v>60</v>
      </c>
      <c r="I1005" t="s">
        <v>32</v>
      </c>
      <c r="J1005" s="1">
        <v>44498</v>
      </c>
      <c r="K1005" t="s">
        <v>42</v>
      </c>
      <c r="L1005" t="s">
        <v>75</v>
      </c>
      <c r="M1005" t="s">
        <v>1474</v>
      </c>
      <c r="N1005">
        <v>2021</v>
      </c>
    </row>
    <row r="1006" spans="1:14" x14ac:dyDescent="0.25">
      <c r="A1006" t="s">
        <v>1169</v>
      </c>
      <c r="B1006" t="s">
        <v>1171</v>
      </c>
      <c r="C1006">
        <v>5193</v>
      </c>
      <c r="D1006">
        <v>2530</v>
      </c>
      <c r="E1006" s="5">
        <v>0.48719430001925701</v>
      </c>
      <c r="F1006">
        <v>5</v>
      </c>
      <c r="G1006" t="s">
        <v>45</v>
      </c>
      <c r="H1006" t="s">
        <v>60</v>
      </c>
      <c r="I1006" t="s">
        <v>32</v>
      </c>
      <c r="J1006" s="1">
        <v>45655</v>
      </c>
      <c r="K1006" t="s">
        <v>17</v>
      </c>
      <c r="L1006" t="s">
        <v>18</v>
      </c>
      <c r="M1006" t="s">
        <v>1471</v>
      </c>
      <c r="N1006">
        <v>2024</v>
      </c>
    </row>
    <row r="1007" spans="1:14" x14ac:dyDescent="0.25">
      <c r="A1007" t="s">
        <v>1172</v>
      </c>
      <c r="B1007" t="s">
        <v>1173</v>
      </c>
      <c r="C1007">
        <v>7493</v>
      </c>
      <c r="D1007">
        <v>96</v>
      </c>
      <c r="E1007" s="5">
        <v>1.2811957827305501E-2</v>
      </c>
      <c r="F1007">
        <v>3</v>
      </c>
      <c r="G1007" t="s">
        <v>13</v>
      </c>
      <c r="H1007" t="s">
        <v>14</v>
      </c>
      <c r="I1007" t="s">
        <v>15</v>
      </c>
      <c r="J1007" s="1">
        <v>44054</v>
      </c>
      <c r="K1007" t="s">
        <v>98</v>
      </c>
      <c r="L1007" t="s">
        <v>117</v>
      </c>
      <c r="M1007" t="s">
        <v>1479</v>
      </c>
      <c r="N1007">
        <v>2020</v>
      </c>
    </row>
    <row r="1008" spans="1:14" x14ac:dyDescent="0.25">
      <c r="A1008" t="s">
        <v>1174</v>
      </c>
      <c r="B1008" t="s">
        <v>1175</v>
      </c>
      <c r="C1008">
        <v>2062</v>
      </c>
      <c r="D1008">
        <v>848</v>
      </c>
      <c r="E1008" s="5">
        <v>0.41125121241513102</v>
      </c>
      <c r="F1008">
        <v>6</v>
      </c>
      <c r="G1008" t="s">
        <v>30</v>
      </c>
      <c r="H1008" t="s">
        <v>57</v>
      </c>
      <c r="I1008" t="s">
        <v>47</v>
      </c>
      <c r="J1008" s="1">
        <v>45355</v>
      </c>
      <c r="K1008" t="s">
        <v>17</v>
      </c>
      <c r="L1008" t="s">
        <v>150</v>
      </c>
      <c r="M1008" t="s">
        <v>1476</v>
      </c>
      <c r="N1008">
        <v>2024</v>
      </c>
    </row>
    <row r="1009" spans="1:14" x14ac:dyDescent="0.25">
      <c r="A1009" t="s">
        <v>1176</v>
      </c>
      <c r="B1009" t="s">
        <v>1177</v>
      </c>
      <c r="C1009">
        <v>7163</v>
      </c>
      <c r="D1009">
        <v>1536</v>
      </c>
      <c r="E1009" s="5">
        <v>0.21443529247522</v>
      </c>
      <c r="F1009">
        <v>1</v>
      </c>
      <c r="G1009" t="s">
        <v>13</v>
      </c>
      <c r="H1009" t="s">
        <v>82</v>
      </c>
      <c r="I1009" t="s">
        <v>40</v>
      </c>
      <c r="J1009" s="1">
        <v>45216</v>
      </c>
      <c r="K1009" t="s">
        <v>42</v>
      </c>
      <c r="L1009" t="s">
        <v>75</v>
      </c>
      <c r="M1009" t="s">
        <v>1474</v>
      </c>
      <c r="N1009">
        <v>2023</v>
      </c>
    </row>
    <row r="1010" spans="1:14" x14ac:dyDescent="0.25">
      <c r="A1010" t="s">
        <v>1178</v>
      </c>
      <c r="B1010" t="s">
        <v>1179</v>
      </c>
      <c r="C1010">
        <v>4026</v>
      </c>
      <c r="D1010">
        <v>163</v>
      </c>
      <c r="E1010" s="5">
        <v>4.0486835568802802E-2</v>
      </c>
      <c r="F1010">
        <v>6</v>
      </c>
      <c r="G1010" t="s">
        <v>13</v>
      </c>
      <c r="H1010" t="s">
        <v>82</v>
      </c>
      <c r="I1010" t="s">
        <v>65</v>
      </c>
      <c r="J1010" s="1">
        <v>45135</v>
      </c>
      <c r="K1010" t="s">
        <v>25</v>
      </c>
      <c r="L1010" t="s">
        <v>51</v>
      </c>
      <c r="M1010" t="s">
        <v>1472</v>
      </c>
      <c r="N1010">
        <v>2023</v>
      </c>
    </row>
    <row r="1011" spans="1:14" x14ac:dyDescent="0.25">
      <c r="A1011" t="s">
        <v>1180</v>
      </c>
      <c r="B1011" t="s">
        <v>1181</v>
      </c>
      <c r="C1011">
        <v>1894</v>
      </c>
      <c r="D1011">
        <v>275</v>
      </c>
      <c r="E1011" s="5">
        <v>0.14519535374868001</v>
      </c>
      <c r="F1011">
        <v>5</v>
      </c>
      <c r="G1011" t="s">
        <v>45</v>
      </c>
      <c r="H1011" t="s">
        <v>49</v>
      </c>
      <c r="I1011" t="s">
        <v>47</v>
      </c>
      <c r="J1011" s="1">
        <v>44527</v>
      </c>
      <c r="K1011" t="s">
        <v>17</v>
      </c>
      <c r="L1011" t="s">
        <v>18</v>
      </c>
      <c r="M1011" t="s">
        <v>1475</v>
      </c>
      <c r="N1011">
        <v>2021</v>
      </c>
    </row>
    <row r="1012" spans="1:14" x14ac:dyDescent="0.25">
      <c r="A1012" t="s">
        <v>1180</v>
      </c>
      <c r="B1012" t="s">
        <v>1181</v>
      </c>
      <c r="C1012">
        <v>7144</v>
      </c>
      <c r="D1012">
        <v>192</v>
      </c>
      <c r="E1012" s="5">
        <v>2.6875699888017902E-2</v>
      </c>
      <c r="F1012">
        <v>13</v>
      </c>
      <c r="G1012" t="s">
        <v>13</v>
      </c>
      <c r="H1012" t="s">
        <v>14</v>
      </c>
      <c r="I1012" t="s">
        <v>47</v>
      </c>
      <c r="J1012" s="1">
        <v>44527</v>
      </c>
      <c r="K1012" t="s">
        <v>17</v>
      </c>
      <c r="L1012" t="s">
        <v>18</v>
      </c>
      <c r="M1012" t="s">
        <v>1475</v>
      </c>
      <c r="N1012">
        <v>2021</v>
      </c>
    </row>
    <row r="1013" spans="1:14" x14ac:dyDescent="0.25">
      <c r="A1013" t="s">
        <v>1182</v>
      </c>
      <c r="B1013" t="s">
        <v>1183</v>
      </c>
      <c r="C1013">
        <v>3482</v>
      </c>
      <c r="D1013">
        <v>1554</v>
      </c>
      <c r="E1013" s="5">
        <v>0.44629523262492798</v>
      </c>
      <c r="F1013">
        <v>15</v>
      </c>
      <c r="G1013" t="s">
        <v>13</v>
      </c>
      <c r="H1013" t="s">
        <v>39</v>
      </c>
      <c r="I1013" t="s">
        <v>32</v>
      </c>
      <c r="J1013" s="1">
        <v>44083</v>
      </c>
      <c r="K1013" t="s">
        <v>98</v>
      </c>
      <c r="L1013" t="s">
        <v>99</v>
      </c>
      <c r="M1013" t="s">
        <v>1480</v>
      </c>
      <c r="N1013">
        <v>2020</v>
      </c>
    </row>
    <row r="1014" spans="1:14" x14ac:dyDescent="0.25">
      <c r="A1014" t="s">
        <v>1184</v>
      </c>
      <c r="B1014" t="s">
        <v>1185</v>
      </c>
      <c r="C1014">
        <v>4172</v>
      </c>
      <c r="D1014">
        <v>235</v>
      </c>
      <c r="E1014" s="5">
        <v>5.6327900287631801E-2</v>
      </c>
      <c r="F1014">
        <v>5</v>
      </c>
      <c r="G1014" t="s">
        <v>30</v>
      </c>
      <c r="H1014" t="s">
        <v>64</v>
      </c>
      <c r="I1014" t="s">
        <v>40</v>
      </c>
      <c r="J1014" s="1">
        <v>44349</v>
      </c>
      <c r="K1014" t="s">
        <v>98</v>
      </c>
      <c r="L1014" t="s">
        <v>117</v>
      </c>
      <c r="M1014" t="s">
        <v>1470</v>
      </c>
      <c r="N1014">
        <v>2021</v>
      </c>
    </row>
    <row r="1015" spans="1:14" x14ac:dyDescent="0.25">
      <c r="A1015" t="s">
        <v>1184</v>
      </c>
      <c r="B1015" t="s">
        <v>1186</v>
      </c>
      <c r="C1015">
        <v>4172</v>
      </c>
      <c r="D1015">
        <v>235</v>
      </c>
      <c r="E1015" s="5">
        <v>5.6327900287631801E-2</v>
      </c>
      <c r="F1015">
        <v>5</v>
      </c>
      <c r="G1015" t="s">
        <v>30</v>
      </c>
      <c r="H1015" t="s">
        <v>64</v>
      </c>
      <c r="I1015" t="s">
        <v>40</v>
      </c>
      <c r="J1015" s="1">
        <v>44795</v>
      </c>
      <c r="K1015" t="s">
        <v>17</v>
      </c>
      <c r="L1015" t="s">
        <v>34</v>
      </c>
      <c r="M1015" t="s">
        <v>1479</v>
      </c>
      <c r="N1015">
        <v>2022</v>
      </c>
    </row>
    <row r="1016" spans="1:14" x14ac:dyDescent="0.25">
      <c r="A1016" t="s">
        <v>1184</v>
      </c>
      <c r="B1016" t="s">
        <v>1187</v>
      </c>
      <c r="C1016">
        <v>4172</v>
      </c>
      <c r="D1016">
        <v>235</v>
      </c>
      <c r="E1016" s="5">
        <v>5.6327900287631801E-2</v>
      </c>
      <c r="F1016">
        <v>5</v>
      </c>
      <c r="G1016" t="s">
        <v>30</v>
      </c>
      <c r="H1016" t="s">
        <v>64</v>
      </c>
      <c r="I1016" t="s">
        <v>40</v>
      </c>
      <c r="J1016" s="1">
        <v>45398</v>
      </c>
      <c r="K1016" t="s">
        <v>21</v>
      </c>
      <c r="L1016" t="s">
        <v>63</v>
      </c>
      <c r="M1016" t="s">
        <v>1481</v>
      </c>
      <c r="N1016">
        <v>2024</v>
      </c>
    </row>
    <row r="1017" spans="1:14" x14ac:dyDescent="0.25">
      <c r="A1017" t="s">
        <v>1188</v>
      </c>
      <c r="B1017" t="s">
        <v>1189</v>
      </c>
      <c r="C1017">
        <v>6265</v>
      </c>
      <c r="D1017">
        <v>155</v>
      </c>
      <c r="E1017" s="5">
        <v>2.4740622505985601E-2</v>
      </c>
      <c r="F1017">
        <v>8</v>
      </c>
      <c r="G1017" t="s">
        <v>45</v>
      </c>
      <c r="H1017" t="s">
        <v>60</v>
      </c>
      <c r="I1017" t="s">
        <v>65</v>
      </c>
      <c r="J1017" s="1">
        <v>44796</v>
      </c>
      <c r="K1017" t="s">
        <v>98</v>
      </c>
      <c r="L1017" t="s">
        <v>107</v>
      </c>
      <c r="M1017" t="s">
        <v>1479</v>
      </c>
      <c r="N1017">
        <v>2022</v>
      </c>
    </row>
    <row r="1018" spans="1:14" x14ac:dyDescent="0.25">
      <c r="A1018" t="s">
        <v>1188</v>
      </c>
      <c r="B1018" t="s">
        <v>1190</v>
      </c>
      <c r="C1018">
        <v>6265</v>
      </c>
      <c r="D1018">
        <v>155</v>
      </c>
      <c r="E1018" s="5">
        <v>2.4740622505985601E-2</v>
      </c>
      <c r="F1018">
        <v>8</v>
      </c>
      <c r="G1018" t="s">
        <v>45</v>
      </c>
      <c r="H1018" t="s">
        <v>60</v>
      </c>
      <c r="I1018" t="s">
        <v>65</v>
      </c>
      <c r="J1018" s="1">
        <v>44267</v>
      </c>
      <c r="K1018" t="s">
        <v>98</v>
      </c>
      <c r="L1018" t="s">
        <v>117</v>
      </c>
      <c r="M1018" t="s">
        <v>1476</v>
      </c>
      <c r="N1018">
        <v>2021</v>
      </c>
    </row>
    <row r="1019" spans="1:14" x14ac:dyDescent="0.25">
      <c r="A1019" t="s">
        <v>1191</v>
      </c>
      <c r="B1019" t="s">
        <v>1192</v>
      </c>
      <c r="C1019">
        <v>2931</v>
      </c>
      <c r="D1019">
        <v>212</v>
      </c>
      <c r="E1019" s="5">
        <v>7.2330262708972998E-2</v>
      </c>
      <c r="F1019">
        <v>7</v>
      </c>
      <c r="G1019" t="s">
        <v>13</v>
      </c>
      <c r="H1019" t="s">
        <v>14</v>
      </c>
      <c r="I1019" t="s">
        <v>47</v>
      </c>
      <c r="J1019" s="1">
        <v>45469</v>
      </c>
      <c r="K1019" t="s">
        <v>21</v>
      </c>
      <c r="L1019" t="s">
        <v>172</v>
      </c>
      <c r="M1019" t="s">
        <v>1470</v>
      </c>
      <c r="N1019">
        <v>2024</v>
      </c>
    </row>
    <row r="1020" spans="1:14" x14ac:dyDescent="0.25">
      <c r="A1020" t="s">
        <v>1191</v>
      </c>
      <c r="B1020" t="s">
        <v>1193</v>
      </c>
      <c r="C1020">
        <v>2931</v>
      </c>
      <c r="D1020">
        <v>212</v>
      </c>
      <c r="E1020" s="5">
        <v>7.2330262708972998E-2</v>
      </c>
      <c r="F1020">
        <v>7</v>
      </c>
      <c r="G1020" t="s">
        <v>13</v>
      </c>
      <c r="H1020" t="s">
        <v>14</v>
      </c>
      <c r="I1020" t="s">
        <v>47</v>
      </c>
      <c r="J1020" s="1">
        <v>45268</v>
      </c>
      <c r="K1020" t="s">
        <v>17</v>
      </c>
      <c r="L1020" t="s">
        <v>150</v>
      </c>
      <c r="M1020" t="s">
        <v>1471</v>
      </c>
      <c r="N1020">
        <v>2023</v>
      </c>
    </row>
    <row r="1021" spans="1:14" x14ac:dyDescent="0.25">
      <c r="A1021" t="s">
        <v>1194</v>
      </c>
      <c r="B1021" t="s">
        <v>1195</v>
      </c>
      <c r="C1021">
        <v>1146</v>
      </c>
      <c r="D1021">
        <v>188</v>
      </c>
      <c r="E1021" s="5">
        <v>0.16404886561954601</v>
      </c>
      <c r="F1021">
        <v>9</v>
      </c>
      <c r="G1021" t="s">
        <v>45</v>
      </c>
      <c r="H1021" t="s">
        <v>49</v>
      </c>
      <c r="I1021" t="s">
        <v>32</v>
      </c>
      <c r="J1021" s="1">
        <v>45623</v>
      </c>
      <c r="K1021" t="s">
        <v>17</v>
      </c>
      <c r="L1021" t="s">
        <v>150</v>
      </c>
      <c r="M1021" t="s">
        <v>1475</v>
      </c>
      <c r="N1021">
        <v>2024</v>
      </c>
    </row>
    <row r="1022" spans="1:14" x14ac:dyDescent="0.25">
      <c r="A1022" t="s">
        <v>1196</v>
      </c>
      <c r="B1022" t="s">
        <v>1197</v>
      </c>
      <c r="C1022">
        <v>9215</v>
      </c>
      <c r="D1022">
        <v>767</v>
      </c>
      <c r="E1022" s="5">
        <v>8.3233857840477501E-2</v>
      </c>
      <c r="F1022">
        <v>13</v>
      </c>
      <c r="G1022" t="s">
        <v>13</v>
      </c>
      <c r="H1022" t="s">
        <v>28</v>
      </c>
      <c r="I1022" t="s">
        <v>65</v>
      </c>
      <c r="J1022" s="1">
        <v>44571</v>
      </c>
      <c r="K1022" t="s">
        <v>17</v>
      </c>
      <c r="L1022" t="s">
        <v>150</v>
      </c>
      <c r="M1022" t="s">
        <v>1478</v>
      </c>
      <c r="N1022">
        <v>2022</v>
      </c>
    </row>
    <row r="1023" spans="1:14" x14ac:dyDescent="0.25">
      <c r="A1023" t="s">
        <v>1196</v>
      </c>
      <c r="B1023" t="s">
        <v>1198</v>
      </c>
      <c r="C1023">
        <v>9215</v>
      </c>
      <c r="D1023">
        <v>767</v>
      </c>
      <c r="E1023" s="5">
        <v>8.3233857840477501E-2</v>
      </c>
      <c r="F1023">
        <v>13</v>
      </c>
      <c r="G1023" t="s">
        <v>13</v>
      </c>
      <c r="H1023" t="s">
        <v>28</v>
      </c>
      <c r="I1023" t="s">
        <v>65</v>
      </c>
      <c r="J1023" s="1">
        <v>44501</v>
      </c>
      <c r="K1023" t="s">
        <v>42</v>
      </c>
      <c r="L1023" t="s">
        <v>92</v>
      </c>
      <c r="M1023" t="s">
        <v>1475</v>
      </c>
      <c r="N1023">
        <v>2021</v>
      </c>
    </row>
    <row r="1024" spans="1:14" x14ac:dyDescent="0.25">
      <c r="A1024" t="s">
        <v>1199</v>
      </c>
      <c r="B1024" t="s">
        <v>1200</v>
      </c>
      <c r="C1024">
        <v>7895</v>
      </c>
      <c r="D1024">
        <v>1005</v>
      </c>
      <c r="E1024" s="5">
        <v>0.12729575680810601</v>
      </c>
      <c r="F1024">
        <v>1</v>
      </c>
      <c r="G1024" t="s">
        <v>45</v>
      </c>
      <c r="H1024" t="s">
        <v>49</v>
      </c>
      <c r="I1024" t="s">
        <v>47</v>
      </c>
      <c r="J1024" s="1">
        <v>45227</v>
      </c>
      <c r="K1024" t="s">
        <v>98</v>
      </c>
      <c r="L1024" t="s">
        <v>107</v>
      </c>
      <c r="M1024" t="s">
        <v>1474</v>
      </c>
      <c r="N1024">
        <v>2023</v>
      </c>
    </row>
    <row r="1025" spans="1:14" x14ac:dyDescent="0.25">
      <c r="A1025" t="s">
        <v>1199</v>
      </c>
      <c r="B1025" t="s">
        <v>1201</v>
      </c>
      <c r="C1025">
        <v>7895</v>
      </c>
      <c r="D1025">
        <v>1005</v>
      </c>
      <c r="E1025" s="5">
        <v>0.12729575680810601</v>
      </c>
      <c r="F1025">
        <v>1</v>
      </c>
      <c r="G1025" t="s">
        <v>45</v>
      </c>
      <c r="H1025" t="s">
        <v>49</v>
      </c>
      <c r="I1025" t="s">
        <v>47</v>
      </c>
      <c r="J1025" s="1">
        <v>45717</v>
      </c>
      <c r="K1025" t="s">
        <v>42</v>
      </c>
      <c r="L1025" t="s">
        <v>75</v>
      </c>
      <c r="M1025" t="s">
        <v>1476</v>
      </c>
      <c r="N1025">
        <v>2025</v>
      </c>
    </row>
    <row r="1026" spans="1:14" x14ac:dyDescent="0.25">
      <c r="A1026" t="s">
        <v>1199</v>
      </c>
      <c r="B1026" t="s">
        <v>1200</v>
      </c>
      <c r="C1026">
        <v>2740</v>
      </c>
      <c r="D1026">
        <v>558</v>
      </c>
      <c r="E1026" s="5">
        <v>0.203649635036496</v>
      </c>
      <c r="F1026">
        <v>8</v>
      </c>
      <c r="G1026" t="s">
        <v>30</v>
      </c>
      <c r="H1026" t="s">
        <v>31</v>
      </c>
      <c r="I1026" t="s">
        <v>15</v>
      </c>
      <c r="J1026" s="1">
        <v>45227</v>
      </c>
      <c r="K1026" t="s">
        <v>98</v>
      </c>
      <c r="L1026" t="s">
        <v>107</v>
      </c>
      <c r="M1026" t="s">
        <v>1474</v>
      </c>
      <c r="N1026">
        <v>2023</v>
      </c>
    </row>
    <row r="1027" spans="1:14" x14ac:dyDescent="0.25">
      <c r="A1027" t="s">
        <v>1199</v>
      </c>
      <c r="B1027" t="s">
        <v>1201</v>
      </c>
      <c r="C1027">
        <v>2740</v>
      </c>
      <c r="D1027">
        <v>558</v>
      </c>
      <c r="E1027" s="5">
        <v>0.203649635036496</v>
      </c>
      <c r="F1027">
        <v>8</v>
      </c>
      <c r="G1027" t="s">
        <v>30</v>
      </c>
      <c r="H1027" t="s">
        <v>31</v>
      </c>
      <c r="I1027" t="s">
        <v>15</v>
      </c>
      <c r="J1027" s="1">
        <v>45717</v>
      </c>
      <c r="K1027" t="s">
        <v>42</v>
      </c>
      <c r="L1027" t="s">
        <v>75</v>
      </c>
      <c r="M1027" t="s">
        <v>1476</v>
      </c>
      <c r="N1027">
        <v>2025</v>
      </c>
    </row>
    <row r="1028" spans="1:14" x14ac:dyDescent="0.25">
      <c r="A1028" t="s">
        <v>1202</v>
      </c>
      <c r="B1028" t="s">
        <v>1203</v>
      </c>
      <c r="C1028">
        <v>5338</v>
      </c>
      <c r="D1028">
        <v>1354</v>
      </c>
      <c r="E1028" s="5">
        <v>0.25365305357811901</v>
      </c>
      <c r="F1028">
        <v>16</v>
      </c>
      <c r="G1028" t="s">
        <v>30</v>
      </c>
      <c r="H1028" t="s">
        <v>57</v>
      </c>
      <c r="I1028" t="s">
        <v>15</v>
      </c>
      <c r="J1028" s="1">
        <v>45505</v>
      </c>
      <c r="K1028" t="s">
        <v>21</v>
      </c>
      <c r="L1028" t="s">
        <v>172</v>
      </c>
      <c r="M1028" t="s">
        <v>1479</v>
      </c>
      <c r="N1028">
        <v>2024</v>
      </c>
    </row>
    <row r="1029" spans="1:14" x14ac:dyDescent="0.25">
      <c r="A1029" t="s">
        <v>1202</v>
      </c>
      <c r="B1029" t="s">
        <v>1204</v>
      </c>
      <c r="C1029">
        <v>5338</v>
      </c>
      <c r="D1029">
        <v>1354</v>
      </c>
      <c r="E1029" s="5">
        <v>0.25365305357811901</v>
      </c>
      <c r="F1029">
        <v>16</v>
      </c>
      <c r="G1029" t="s">
        <v>30</v>
      </c>
      <c r="H1029" t="s">
        <v>57</v>
      </c>
      <c r="I1029" t="s">
        <v>15</v>
      </c>
      <c r="J1029" s="1">
        <v>45084</v>
      </c>
      <c r="K1029" t="s">
        <v>25</v>
      </c>
      <c r="L1029" t="s">
        <v>26</v>
      </c>
      <c r="M1029" t="s">
        <v>1470</v>
      </c>
      <c r="N1029">
        <v>2023</v>
      </c>
    </row>
    <row r="1030" spans="1:14" x14ac:dyDescent="0.25">
      <c r="A1030" t="s">
        <v>1202</v>
      </c>
      <c r="B1030" t="s">
        <v>1205</v>
      </c>
      <c r="C1030">
        <v>5338</v>
      </c>
      <c r="D1030">
        <v>1354</v>
      </c>
      <c r="E1030" s="5">
        <v>0.25365305357811901</v>
      </c>
      <c r="F1030">
        <v>16</v>
      </c>
      <c r="G1030" t="s">
        <v>30</v>
      </c>
      <c r="H1030" t="s">
        <v>57</v>
      </c>
      <c r="I1030" t="s">
        <v>15</v>
      </c>
      <c r="J1030" s="1">
        <v>45586</v>
      </c>
      <c r="K1030" t="s">
        <v>17</v>
      </c>
      <c r="L1030" t="s">
        <v>34</v>
      </c>
      <c r="M1030" t="s">
        <v>1474</v>
      </c>
      <c r="N1030">
        <v>2024</v>
      </c>
    </row>
    <row r="1031" spans="1:14" x14ac:dyDescent="0.25">
      <c r="A1031" t="s">
        <v>1202</v>
      </c>
      <c r="B1031" t="s">
        <v>1206</v>
      </c>
      <c r="C1031">
        <v>5338</v>
      </c>
      <c r="D1031">
        <v>1354</v>
      </c>
      <c r="E1031" s="5">
        <v>0.25365305357811901</v>
      </c>
      <c r="F1031">
        <v>16</v>
      </c>
      <c r="G1031" t="s">
        <v>30</v>
      </c>
      <c r="H1031" t="s">
        <v>57</v>
      </c>
      <c r="I1031" t="s">
        <v>15</v>
      </c>
      <c r="J1031" s="1">
        <v>44200</v>
      </c>
      <c r="K1031" t="s">
        <v>25</v>
      </c>
      <c r="L1031" t="s">
        <v>26</v>
      </c>
      <c r="M1031" t="s">
        <v>1478</v>
      </c>
      <c r="N1031">
        <v>2021</v>
      </c>
    </row>
    <row r="1032" spans="1:14" x14ac:dyDescent="0.25">
      <c r="A1032" t="s">
        <v>1207</v>
      </c>
      <c r="B1032" t="s">
        <v>1208</v>
      </c>
      <c r="C1032">
        <v>3095</v>
      </c>
      <c r="D1032">
        <v>941</v>
      </c>
      <c r="E1032" s="5">
        <v>0.30403877221324699</v>
      </c>
      <c r="F1032">
        <v>2</v>
      </c>
      <c r="G1032" t="s">
        <v>30</v>
      </c>
      <c r="H1032" t="s">
        <v>31</v>
      </c>
      <c r="I1032" t="s">
        <v>40</v>
      </c>
      <c r="J1032" s="1">
        <v>44670</v>
      </c>
      <c r="K1032" t="s">
        <v>98</v>
      </c>
      <c r="L1032" t="s">
        <v>117</v>
      </c>
      <c r="M1032" t="s">
        <v>1481</v>
      </c>
      <c r="N1032">
        <v>2022</v>
      </c>
    </row>
    <row r="1033" spans="1:14" x14ac:dyDescent="0.25">
      <c r="A1033" t="s">
        <v>1207</v>
      </c>
      <c r="B1033" t="s">
        <v>1209</v>
      </c>
      <c r="C1033">
        <v>3095</v>
      </c>
      <c r="D1033">
        <v>941</v>
      </c>
      <c r="E1033" s="5">
        <v>0.30403877221324699</v>
      </c>
      <c r="F1033">
        <v>2</v>
      </c>
      <c r="G1033" t="s">
        <v>30</v>
      </c>
      <c r="H1033" t="s">
        <v>31</v>
      </c>
      <c r="I1033" t="s">
        <v>40</v>
      </c>
      <c r="J1033" s="1">
        <v>44784</v>
      </c>
      <c r="K1033" t="s">
        <v>71</v>
      </c>
      <c r="L1033" t="s">
        <v>86</v>
      </c>
      <c r="M1033" t="s">
        <v>1479</v>
      </c>
      <c r="N1033">
        <v>2022</v>
      </c>
    </row>
    <row r="1034" spans="1:14" x14ac:dyDescent="0.25">
      <c r="A1034" t="s">
        <v>1210</v>
      </c>
      <c r="B1034" t="s">
        <v>1211</v>
      </c>
      <c r="C1034">
        <v>6017</v>
      </c>
      <c r="D1034">
        <v>2230</v>
      </c>
      <c r="E1034" s="5">
        <v>0.37061658633870698</v>
      </c>
      <c r="F1034">
        <v>13</v>
      </c>
      <c r="G1034" t="s">
        <v>13</v>
      </c>
      <c r="H1034" t="s">
        <v>28</v>
      </c>
      <c r="I1034" t="s">
        <v>32</v>
      </c>
      <c r="J1034" s="1">
        <v>45142</v>
      </c>
      <c r="K1034" t="s">
        <v>21</v>
      </c>
      <c r="L1034" t="s">
        <v>172</v>
      </c>
      <c r="M1034" t="s">
        <v>1479</v>
      </c>
      <c r="N1034">
        <v>2023</v>
      </c>
    </row>
    <row r="1035" spans="1:14" x14ac:dyDescent="0.25">
      <c r="A1035" t="s">
        <v>1212</v>
      </c>
      <c r="B1035" t="s">
        <v>1213</v>
      </c>
      <c r="C1035">
        <v>4904</v>
      </c>
      <c r="D1035">
        <v>469</v>
      </c>
      <c r="E1035" s="5">
        <v>9.5636215334420904E-2</v>
      </c>
      <c r="F1035">
        <v>2</v>
      </c>
      <c r="G1035" t="s">
        <v>30</v>
      </c>
      <c r="H1035" t="s">
        <v>31</v>
      </c>
      <c r="I1035" t="s">
        <v>32</v>
      </c>
      <c r="J1035" s="1">
        <v>43946</v>
      </c>
      <c r="K1035" t="s">
        <v>71</v>
      </c>
      <c r="L1035" t="s">
        <v>72</v>
      </c>
      <c r="M1035" t="s">
        <v>1481</v>
      </c>
      <c r="N1035">
        <v>2020</v>
      </c>
    </row>
    <row r="1036" spans="1:14" x14ac:dyDescent="0.25">
      <c r="A1036" t="s">
        <v>1212</v>
      </c>
      <c r="B1036" t="s">
        <v>1213</v>
      </c>
      <c r="C1036">
        <v>3080</v>
      </c>
      <c r="D1036">
        <v>737</v>
      </c>
      <c r="E1036" s="5">
        <v>0.23928571428571399</v>
      </c>
      <c r="F1036">
        <v>6</v>
      </c>
      <c r="G1036" t="s">
        <v>30</v>
      </c>
      <c r="H1036" t="s">
        <v>78</v>
      </c>
      <c r="I1036" t="s">
        <v>15</v>
      </c>
      <c r="J1036" s="1">
        <v>43946</v>
      </c>
      <c r="K1036" t="s">
        <v>71</v>
      </c>
      <c r="L1036" t="s">
        <v>72</v>
      </c>
      <c r="M1036" t="s">
        <v>1481</v>
      </c>
      <c r="N1036">
        <v>2020</v>
      </c>
    </row>
    <row r="1037" spans="1:14" x14ac:dyDescent="0.25">
      <c r="A1037" t="s">
        <v>1214</v>
      </c>
      <c r="B1037" t="s">
        <v>1215</v>
      </c>
      <c r="C1037">
        <v>1992</v>
      </c>
      <c r="D1037">
        <v>355</v>
      </c>
      <c r="E1037" s="5">
        <v>0.17821285140562201</v>
      </c>
      <c r="F1037">
        <v>2</v>
      </c>
      <c r="G1037" t="s">
        <v>13</v>
      </c>
      <c r="H1037" t="s">
        <v>82</v>
      </c>
      <c r="I1037" t="s">
        <v>65</v>
      </c>
      <c r="J1037" s="1">
        <v>45640</v>
      </c>
      <c r="K1037" t="s">
        <v>17</v>
      </c>
      <c r="L1037" t="s">
        <v>150</v>
      </c>
      <c r="M1037" t="s">
        <v>1471</v>
      </c>
      <c r="N1037">
        <v>2024</v>
      </c>
    </row>
    <row r="1038" spans="1:14" x14ac:dyDescent="0.25">
      <c r="A1038" t="s">
        <v>1216</v>
      </c>
      <c r="B1038" t="s">
        <v>1217</v>
      </c>
      <c r="C1038">
        <v>5346</v>
      </c>
      <c r="D1038">
        <v>1246</v>
      </c>
      <c r="E1038" s="5">
        <v>0.23307145529367801</v>
      </c>
      <c r="F1038">
        <v>17</v>
      </c>
      <c r="G1038" t="s">
        <v>45</v>
      </c>
      <c r="H1038" t="s">
        <v>60</v>
      </c>
      <c r="I1038" t="s">
        <v>40</v>
      </c>
      <c r="J1038" s="1">
        <v>44767</v>
      </c>
      <c r="K1038" t="s">
        <v>17</v>
      </c>
      <c r="L1038" t="s">
        <v>34</v>
      </c>
      <c r="M1038" t="s">
        <v>1472</v>
      </c>
      <c r="N1038">
        <v>2022</v>
      </c>
    </row>
    <row r="1039" spans="1:14" x14ac:dyDescent="0.25">
      <c r="A1039" t="s">
        <v>1216</v>
      </c>
      <c r="B1039" t="s">
        <v>1218</v>
      </c>
      <c r="C1039">
        <v>5346</v>
      </c>
      <c r="D1039">
        <v>1246</v>
      </c>
      <c r="E1039" s="5">
        <v>0.23307145529367801</v>
      </c>
      <c r="F1039">
        <v>17</v>
      </c>
      <c r="G1039" t="s">
        <v>45</v>
      </c>
      <c r="H1039" t="s">
        <v>60</v>
      </c>
      <c r="I1039" t="s">
        <v>40</v>
      </c>
      <c r="J1039" s="1">
        <v>44688</v>
      </c>
      <c r="K1039" t="s">
        <v>17</v>
      </c>
      <c r="L1039" t="s">
        <v>18</v>
      </c>
      <c r="M1039" t="s">
        <v>1473</v>
      </c>
      <c r="N1039">
        <v>2022</v>
      </c>
    </row>
    <row r="1040" spans="1:14" x14ac:dyDescent="0.25">
      <c r="A1040" t="s">
        <v>1219</v>
      </c>
      <c r="B1040" t="s">
        <v>1220</v>
      </c>
      <c r="C1040">
        <v>8422</v>
      </c>
      <c r="D1040">
        <v>893</v>
      </c>
      <c r="E1040" s="5">
        <v>0.10603182142009</v>
      </c>
      <c r="F1040">
        <v>18</v>
      </c>
      <c r="G1040" t="s">
        <v>13</v>
      </c>
      <c r="H1040" t="s">
        <v>28</v>
      </c>
      <c r="I1040" t="s">
        <v>32</v>
      </c>
      <c r="J1040" s="1">
        <v>44784</v>
      </c>
      <c r="K1040" t="s">
        <v>42</v>
      </c>
      <c r="L1040" t="s">
        <v>92</v>
      </c>
      <c r="M1040" t="s">
        <v>1479</v>
      </c>
      <c r="N1040">
        <v>2022</v>
      </c>
    </row>
    <row r="1041" spans="1:14" x14ac:dyDescent="0.25">
      <c r="A1041" t="s">
        <v>1219</v>
      </c>
      <c r="B1041" t="s">
        <v>1221</v>
      </c>
      <c r="C1041">
        <v>8422</v>
      </c>
      <c r="D1041">
        <v>893</v>
      </c>
      <c r="E1041" s="5">
        <v>0.10603182142009</v>
      </c>
      <c r="F1041">
        <v>18</v>
      </c>
      <c r="G1041" t="s">
        <v>13</v>
      </c>
      <c r="H1041" t="s">
        <v>28</v>
      </c>
      <c r="I1041" t="s">
        <v>32</v>
      </c>
      <c r="J1041" s="1">
        <v>44785</v>
      </c>
      <c r="K1041" t="s">
        <v>98</v>
      </c>
      <c r="L1041" t="s">
        <v>99</v>
      </c>
      <c r="M1041" t="s">
        <v>1479</v>
      </c>
      <c r="N1041">
        <v>2022</v>
      </c>
    </row>
    <row r="1042" spans="1:14" x14ac:dyDescent="0.25">
      <c r="A1042" t="s">
        <v>1219</v>
      </c>
      <c r="B1042" t="s">
        <v>1220</v>
      </c>
      <c r="C1042">
        <v>6105</v>
      </c>
      <c r="D1042">
        <v>1447</v>
      </c>
      <c r="E1042" s="5">
        <v>0.237018837018837</v>
      </c>
      <c r="F1042">
        <v>8</v>
      </c>
      <c r="G1042" t="s">
        <v>45</v>
      </c>
      <c r="H1042" t="s">
        <v>109</v>
      </c>
      <c r="I1042" t="s">
        <v>47</v>
      </c>
      <c r="J1042" s="1">
        <v>44784</v>
      </c>
      <c r="K1042" t="s">
        <v>42</v>
      </c>
      <c r="L1042" t="s">
        <v>92</v>
      </c>
      <c r="M1042" t="s">
        <v>1479</v>
      </c>
      <c r="N1042">
        <v>2022</v>
      </c>
    </row>
    <row r="1043" spans="1:14" x14ac:dyDescent="0.25">
      <c r="A1043" t="s">
        <v>1219</v>
      </c>
      <c r="B1043" t="s">
        <v>1221</v>
      </c>
      <c r="C1043">
        <v>6105</v>
      </c>
      <c r="D1043">
        <v>1447</v>
      </c>
      <c r="E1043" s="5">
        <v>0.237018837018837</v>
      </c>
      <c r="F1043">
        <v>8</v>
      </c>
      <c r="G1043" t="s">
        <v>45</v>
      </c>
      <c r="H1043" t="s">
        <v>109</v>
      </c>
      <c r="I1043" t="s">
        <v>47</v>
      </c>
      <c r="J1043" s="1">
        <v>44785</v>
      </c>
      <c r="K1043" t="s">
        <v>98</v>
      </c>
      <c r="L1043" t="s">
        <v>99</v>
      </c>
      <c r="M1043" t="s">
        <v>1479</v>
      </c>
      <c r="N1043">
        <v>2022</v>
      </c>
    </row>
    <row r="1044" spans="1:14" x14ac:dyDescent="0.25">
      <c r="A1044" t="s">
        <v>1222</v>
      </c>
      <c r="B1044" t="s">
        <v>1223</v>
      </c>
      <c r="C1044">
        <v>670</v>
      </c>
      <c r="D1044">
        <v>85</v>
      </c>
      <c r="E1044" s="5">
        <v>0.12686567164179099</v>
      </c>
      <c r="F1044">
        <v>9</v>
      </c>
      <c r="G1044" t="s">
        <v>30</v>
      </c>
      <c r="H1044" t="s">
        <v>31</v>
      </c>
      <c r="I1044" t="s">
        <v>40</v>
      </c>
      <c r="J1044" s="1">
        <v>45159</v>
      </c>
      <c r="K1044" t="s">
        <v>71</v>
      </c>
      <c r="L1044" t="s">
        <v>138</v>
      </c>
      <c r="M1044" t="s">
        <v>1479</v>
      </c>
      <c r="N1044">
        <v>2023</v>
      </c>
    </row>
    <row r="1045" spans="1:14" x14ac:dyDescent="0.25">
      <c r="A1045" t="s">
        <v>1224</v>
      </c>
      <c r="B1045" t="s">
        <v>1225</v>
      </c>
      <c r="C1045">
        <v>4057</v>
      </c>
      <c r="D1045">
        <v>1012</v>
      </c>
      <c r="E1045" s="5">
        <v>0.24944540300714799</v>
      </c>
      <c r="F1045">
        <v>6</v>
      </c>
      <c r="G1045" t="s">
        <v>13</v>
      </c>
      <c r="H1045" t="s">
        <v>39</v>
      </c>
      <c r="I1045" t="s">
        <v>47</v>
      </c>
      <c r="J1045" s="1">
        <v>44816</v>
      </c>
      <c r="K1045" t="s">
        <v>42</v>
      </c>
      <c r="L1045" t="s">
        <v>75</v>
      </c>
      <c r="M1045" t="s">
        <v>1480</v>
      </c>
      <c r="N1045">
        <v>2022</v>
      </c>
    </row>
    <row r="1046" spans="1:14" x14ac:dyDescent="0.25">
      <c r="A1046" t="s">
        <v>1226</v>
      </c>
      <c r="B1046" t="s">
        <v>1227</v>
      </c>
      <c r="C1046">
        <v>8178</v>
      </c>
      <c r="D1046">
        <v>2462</v>
      </c>
      <c r="E1046" s="5">
        <v>0.30105160185864499</v>
      </c>
      <c r="F1046">
        <v>10</v>
      </c>
      <c r="G1046" t="s">
        <v>30</v>
      </c>
      <c r="H1046" t="s">
        <v>31</v>
      </c>
      <c r="I1046" t="s">
        <v>15</v>
      </c>
      <c r="J1046" s="1">
        <v>45158</v>
      </c>
      <c r="K1046" t="s">
        <v>42</v>
      </c>
      <c r="L1046" t="s">
        <v>43</v>
      </c>
      <c r="M1046" t="s">
        <v>1479</v>
      </c>
      <c r="N1046">
        <v>2023</v>
      </c>
    </row>
    <row r="1047" spans="1:14" x14ac:dyDescent="0.25">
      <c r="A1047" t="s">
        <v>1228</v>
      </c>
      <c r="B1047" t="s">
        <v>1229</v>
      </c>
      <c r="C1047">
        <v>8752</v>
      </c>
      <c r="D1047">
        <v>1686</v>
      </c>
      <c r="E1047" s="5">
        <v>0.19264168190128</v>
      </c>
      <c r="F1047">
        <v>9</v>
      </c>
      <c r="G1047" t="s">
        <v>45</v>
      </c>
      <c r="H1047" t="s">
        <v>46</v>
      </c>
      <c r="I1047" t="s">
        <v>32</v>
      </c>
      <c r="J1047" s="1">
        <v>44192</v>
      </c>
      <c r="K1047" t="s">
        <v>98</v>
      </c>
      <c r="L1047" t="s">
        <v>107</v>
      </c>
      <c r="M1047" t="s">
        <v>1471</v>
      </c>
      <c r="N1047">
        <v>2020</v>
      </c>
    </row>
    <row r="1048" spans="1:14" x14ac:dyDescent="0.25">
      <c r="A1048" t="s">
        <v>1228</v>
      </c>
      <c r="B1048" t="s">
        <v>1230</v>
      </c>
      <c r="C1048">
        <v>8752</v>
      </c>
      <c r="D1048">
        <v>1686</v>
      </c>
      <c r="E1048" s="5">
        <v>0.19264168190128</v>
      </c>
      <c r="F1048">
        <v>9</v>
      </c>
      <c r="G1048" t="s">
        <v>45</v>
      </c>
      <c r="H1048" t="s">
        <v>46</v>
      </c>
      <c r="I1048" t="s">
        <v>32</v>
      </c>
      <c r="J1048" s="1">
        <v>45173</v>
      </c>
      <c r="K1048" t="s">
        <v>21</v>
      </c>
      <c r="L1048" t="s">
        <v>172</v>
      </c>
      <c r="M1048" t="s">
        <v>1480</v>
      </c>
      <c r="N1048">
        <v>2023</v>
      </c>
    </row>
    <row r="1049" spans="1:14" x14ac:dyDescent="0.25">
      <c r="A1049" t="s">
        <v>1228</v>
      </c>
      <c r="B1049" t="s">
        <v>1231</v>
      </c>
      <c r="C1049">
        <v>8752</v>
      </c>
      <c r="D1049">
        <v>1686</v>
      </c>
      <c r="E1049" s="5">
        <v>0.19264168190128</v>
      </c>
      <c r="F1049">
        <v>9</v>
      </c>
      <c r="G1049" t="s">
        <v>45</v>
      </c>
      <c r="H1049" t="s">
        <v>46</v>
      </c>
      <c r="I1049" t="s">
        <v>32</v>
      </c>
      <c r="J1049" s="1">
        <v>44569</v>
      </c>
      <c r="K1049" t="s">
        <v>21</v>
      </c>
      <c r="L1049" t="s">
        <v>22</v>
      </c>
      <c r="M1049" t="s">
        <v>1478</v>
      </c>
      <c r="N1049">
        <v>2022</v>
      </c>
    </row>
    <row r="1050" spans="1:14" x14ac:dyDescent="0.25">
      <c r="A1050" t="s">
        <v>1232</v>
      </c>
      <c r="B1050" t="s">
        <v>1233</v>
      </c>
      <c r="C1050">
        <v>8974</v>
      </c>
      <c r="D1050">
        <v>4441</v>
      </c>
      <c r="E1050" s="5">
        <v>0.49487408067751298</v>
      </c>
      <c r="F1050">
        <v>16</v>
      </c>
      <c r="G1050" t="s">
        <v>13</v>
      </c>
      <c r="H1050" t="s">
        <v>28</v>
      </c>
      <c r="I1050" t="s">
        <v>40</v>
      </c>
      <c r="J1050" s="1">
        <v>45082</v>
      </c>
      <c r="K1050" t="s">
        <v>25</v>
      </c>
      <c r="L1050" t="s">
        <v>51</v>
      </c>
      <c r="M1050" t="s">
        <v>1470</v>
      </c>
      <c r="N1050">
        <v>2023</v>
      </c>
    </row>
    <row r="1051" spans="1:14" x14ac:dyDescent="0.25">
      <c r="A1051" t="s">
        <v>1234</v>
      </c>
      <c r="B1051" t="s">
        <v>1235</v>
      </c>
      <c r="C1051">
        <v>9090</v>
      </c>
      <c r="D1051">
        <v>3098</v>
      </c>
      <c r="E1051" s="5">
        <v>0.34081408140814101</v>
      </c>
      <c r="F1051">
        <v>16</v>
      </c>
      <c r="G1051" t="s">
        <v>13</v>
      </c>
      <c r="H1051" t="s">
        <v>82</v>
      </c>
      <c r="I1051" t="s">
        <v>47</v>
      </c>
      <c r="J1051" s="1">
        <v>44287</v>
      </c>
      <c r="K1051" t="s">
        <v>71</v>
      </c>
      <c r="L1051" t="s">
        <v>72</v>
      </c>
      <c r="M1051" t="s">
        <v>1481</v>
      </c>
      <c r="N1051">
        <v>2021</v>
      </c>
    </row>
    <row r="1052" spans="1:14" x14ac:dyDescent="0.25">
      <c r="A1052" t="s">
        <v>1234</v>
      </c>
      <c r="B1052" t="s">
        <v>1236</v>
      </c>
      <c r="C1052">
        <v>9090</v>
      </c>
      <c r="D1052">
        <v>3098</v>
      </c>
      <c r="E1052" s="5">
        <v>0.34081408140814101</v>
      </c>
      <c r="F1052">
        <v>16</v>
      </c>
      <c r="G1052" t="s">
        <v>13</v>
      </c>
      <c r="H1052" t="s">
        <v>82</v>
      </c>
      <c r="I1052" t="s">
        <v>47</v>
      </c>
      <c r="J1052" s="1">
        <v>45440</v>
      </c>
      <c r="K1052" t="s">
        <v>21</v>
      </c>
      <c r="L1052" t="s">
        <v>63</v>
      </c>
      <c r="M1052" t="s">
        <v>1473</v>
      </c>
      <c r="N1052">
        <v>2024</v>
      </c>
    </row>
    <row r="1053" spans="1:14" x14ac:dyDescent="0.25">
      <c r="A1053" t="s">
        <v>1234</v>
      </c>
      <c r="B1053" t="s">
        <v>1235</v>
      </c>
      <c r="C1053">
        <v>851</v>
      </c>
      <c r="D1053">
        <v>356</v>
      </c>
      <c r="E1053" s="5">
        <v>0.418331374853114</v>
      </c>
      <c r="F1053">
        <v>11</v>
      </c>
      <c r="G1053" t="s">
        <v>13</v>
      </c>
      <c r="H1053" t="s">
        <v>14</v>
      </c>
      <c r="I1053" t="s">
        <v>47</v>
      </c>
      <c r="J1053" s="1">
        <v>44287</v>
      </c>
      <c r="K1053" t="s">
        <v>71</v>
      </c>
      <c r="L1053" t="s">
        <v>72</v>
      </c>
      <c r="M1053" t="s">
        <v>1481</v>
      </c>
      <c r="N1053">
        <v>2021</v>
      </c>
    </row>
    <row r="1054" spans="1:14" x14ac:dyDescent="0.25">
      <c r="A1054" t="s">
        <v>1234</v>
      </c>
      <c r="B1054" t="s">
        <v>1236</v>
      </c>
      <c r="C1054">
        <v>851</v>
      </c>
      <c r="D1054">
        <v>356</v>
      </c>
      <c r="E1054" s="5">
        <v>0.418331374853114</v>
      </c>
      <c r="F1054">
        <v>11</v>
      </c>
      <c r="G1054" t="s">
        <v>13</v>
      </c>
      <c r="H1054" t="s">
        <v>14</v>
      </c>
      <c r="I1054" t="s">
        <v>47</v>
      </c>
      <c r="J1054" s="1">
        <v>45440</v>
      </c>
      <c r="K1054" t="s">
        <v>21</v>
      </c>
      <c r="L1054" t="s">
        <v>63</v>
      </c>
      <c r="M1054" t="s">
        <v>1473</v>
      </c>
      <c r="N1054">
        <v>2024</v>
      </c>
    </row>
    <row r="1055" spans="1:14" x14ac:dyDescent="0.25">
      <c r="A1055" t="s">
        <v>1237</v>
      </c>
      <c r="B1055" t="s">
        <v>1238</v>
      </c>
      <c r="C1055">
        <v>5427</v>
      </c>
      <c r="D1055">
        <v>728</v>
      </c>
      <c r="E1055" s="5">
        <v>0.13414409434309901</v>
      </c>
      <c r="F1055">
        <v>3</v>
      </c>
      <c r="G1055" t="s">
        <v>13</v>
      </c>
      <c r="H1055" t="s">
        <v>82</v>
      </c>
      <c r="I1055" t="s">
        <v>15</v>
      </c>
      <c r="J1055" s="1">
        <v>44994</v>
      </c>
      <c r="K1055" t="s">
        <v>17</v>
      </c>
      <c r="L1055" t="s">
        <v>18</v>
      </c>
      <c r="M1055" t="s">
        <v>1476</v>
      </c>
      <c r="N1055">
        <v>2023</v>
      </c>
    </row>
    <row r="1056" spans="1:14" x14ac:dyDescent="0.25">
      <c r="A1056" t="s">
        <v>1239</v>
      </c>
      <c r="B1056" t="s">
        <v>1240</v>
      </c>
      <c r="C1056">
        <v>2695</v>
      </c>
      <c r="D1056">
        <v>914</v>
      </c>
      <c r="E1056" s="5">
        <v>0.33914656771799601</v>
      </c>
      <c r="F1056">
        <v>15</v>
      </c>
      <c r="G1056" t="s">
        <v>45</v>
      </c>
      <c r="H1056" t="s">
        <v>109</v>
      </c>
      <c r="I1056" t="s">
        <v>32</v>
      </c>
      <c r="J1056" s="1">
        <v>44770</v>
      </c>
      <c r="K1056" t="s">
        <v>21</v>
      </c>
      <c r="L1056" t="s">
        <v>172</v>
      </c>
      <c r="M1056" t="s">
        <v>1472</v>
      </c>
      <c r="N1056">
        <v>2022</v>
      </c>
    </row>
    <row r="1057" spans="1:14" x14ac:dyDescent="0.25">
      <c r="A1057" t="s">
        <v>1239</v>
      </c>
      <c r="B1057" t="s">
        <v>1241</v>
      </c>
      <c r="C1057">
        <v>2695</v>
      </c>
      <c r="D1057">
        <v>914</v>
      </c>
      <c r="E1057" s="5">
        <v>0.33914656771799601</v>
      </c>
      <c r="F1057">
        <v>15</v>
      </c>
      <c r="G1057" t="s">
        <v>45</v>
      </c>
      <c r="H1057" t="s">
        <v>109</v>
      </c>
      <c r="I1057" t="s">
        <v>32</v>
      </c>
      <c r="J1057" s="1">
        <v>44364</v>
      </c>
      <c r="K1057" t="s">
        <v>42</v>
      </c>
      <c r="L1057" t="s">
        <v>43</v>
      </c>
      <c r="M1057" t="s">
        <v>1470</v>
      </c>
      <c r="N1057">
        <v>2021</v>
      </c>
    </row>
    <row r="1058" spans="1:14" x14ac:dyDescent="0.25">
      <c r="A1058" t="s">
        <v>1242</v>
      </c>
      <c r="B1058" t="s">
        <v>1243</v>
      </c>
      <c r="C1058">
        <v>2386</v>
      </c>
      <c r="D1058">
        <v>999</v>
      </c>
      <c r="E1058" s="5">
        <v>0.41869237217099797</v>
      </c>
      <c r="F1058">
        <v>3</v>
      </c>
      <c r="G1058" t="s">
        <v>30</v>
      </c>
      <c r="H1058" t="s">
        <v>31</v>
      </c>
      <c r="I1058" t="s">
        <v>65</v>
      </c>
      <c r="J1058" s="1">
        <v>45335</v>
      </c>
      <c r="K1058" t="s">
        <v>17</v>
      </c>
      <c r="L1058" t="s">
        <v>18</v>
      </c>
      <c r="M1058" t="s">
        <v>1477</v>
      </c>
      <c r="N1058">
        <v>2024</v>
      </c>
    </row>
    <row r="1059" spans="1:14" x14ac:dyDescent="0.25">
      <c r="A1059" t="s">
        <v>1244</v>
      </c>
      <c r="B1059" t="s">
        <v>1245</v>
      </c>
      <c r="C1059">
        <v>2284</v>
      </c>
      <c r="D1059">
        <v>149</v>
      </c>
      <c r="E1059" s="5">
        <v>6.5236427320490398E-2</v>
      </c>
      <c r="F1059">
        <v>20</v>
      </c>
      <c r="G1059" t="s">
        <v>30</v>
      </c>
      <c r="H1059" t="s">
        <v>31</v>
      </c>
      <c r="I1059" t="s">
        <v>32</v>
      </c>
      <c r="J1059" s="1">
        <v>44414</v>
      </c>
      <c r="K1059" t="s">
        <v>25</v>
      </c>
      <c r="L1059" t="s">
        <v>68</v>
      </c>
      <c r="M1059" t="s">
        <v>1479</v>
      </c>
      <c r="N1059">
        <v>2021</v>
      </c>
    </row>
    <row r="1060" spans="1:14" x14ac:dyDescent="0.25">
      <c r="A1060" t="s">
        <v>1246</v>
      </c>
      <c r="B1060" t="s">
        <v>1247</v>
      </c>
      <c r="C1060">
        <v>6034</v>
      </c>
      <c r="D1060">
        <v>608</v>
      </c>
      <c r="E1060" s="5">
        <v>0.100762346702022</v>
      </c>
      <c r="F1060">
        <v>8</v>
      </c>
      <c r="G1060" t="s">
        <v>13</v>
      </c>
      <c r="H1060" t="s">
        <v>82</v>
      </c>
      <c r="I1060" t="s">
        <v>40</v>
      </c>
      <c r="J1060" s="1">
        <v>44682</v>
      </c>
      <c r="K1060" t="s">
        <v>71</v>
      </c>
      <c r="L1060" t="s">
        <v>138</v>
      </c>
      <c r="M1060" t="s">
        <v>1473</v>
      </c>
      <c r="N1060">
        <v>2022</v>
      </c>
    </row>
    <row r="1061" spans="1:14" x14ac:dyDescent="0.25">
      <c r="A1061" t="s">
        <v>1246</v>
      </c>
      <c r="B1061" t="s">
        <v>1247</v>
      </c>
      <c r="C1061">
        <v>8956</v>
      </c>
      <c r="D1061">
        <v>3359</v>
      </c>
      <c r="E1061" s="5">
        <v>0.37505582849486402</v>
      </c>
      <c r="F1061">
        <v>13</v>
      </c>
      <c r="G1061" t="s">
        <v>45</v>
      </c>
      <c r="H1061" t="s">
        <v>109</v>
      </c>
      <c r="I1061" t="s">
        <v>47</v>
      </c>
      <c r="J1061" s="1">
        <v>44682</v>
      </c>
      <c r="K1061" t="s">
        <v>71</v>
      </c>
      <c r="L1061" t="s">
        <v>138</v>
      </c>
      <c r="M1061" t="s">
        <v>1473</v>
      </c>
      <c r="N1061">
        <v>2022</v>
      </c>
    </row>
    <row r="1062" spans="1:14" x14ac:dyDescent="0.25">
      <c r="A1062" t="s">
        <v>1248</v>
      </c>
      <c r="B1062" t="s">
        <v>1249</v>
      </c>
      <c r="C1062">
        <v>7122</v>
      </c>
      <c r="D1062">
        <v>1982</v>
      </c>
      <c r="E1062" s="5">
        <v>0.27829261443414799</v>
      </c>
      <c r="F1062">
        <v>7</v>
      </c>
      <c r="G1062" t="s">
        <v>30</v>
      </c>
      <c r="H1062" t="s">
        <v>57</v>
      </c>
      <c r="I1062" t="s">
        <v>40</v>
      </c>
      <c r="J1062" s="1">
        <v>45362</v>
      </c>
      <c r="K1062" t="s">
        <v>21</v>
      </c>
      <c r="L1062" t="s">
        <v>172</v>
      </c>
      <c r="M1062" t="s">
        <v>1476</v>
      </c>
      <c r="N1062">
        <v>2024</v>
      </c>
    </row>
    <row r="1063" spans="1:14" x14ac:dyDescent="0.25">
      <c r="A1063" t="s">
        <v>1250</v>
      </c>
      <c r="B1063" t="s">
        <v>1251</v>
      </c>
      <c r="C1063">
        <v>9775</v>
      </c>
      <c r="D1063">
        <v>4507</v>
      </c>
      <c r="E1063" s="5">
        <v>0.46107416879795399</v>
      </c>
      <c r="F1063">
        <v>5</v>
      </c>
      <c r="G1063" t="s">
        <v>30</v>
      </c>
      <c r="H1063" t="s">
        <v>57</v>
      </c>
      <c r="I1063" t="s">
        <v>15</v>
      </c>
      <c r="J1063" s="1">
        <v>44018</v>
      </c>
      <c r="K1063" t="s">
        <v>98</v>
      </c>
      <c r="L1063" t="s">
        <v>107</v>
      </c>
      <c r="M1063" t="s">
        <v>1472</v>
      </c>
      <c r="N1063">
        <v>2020</v>
      </c>
    </row>
    <row r="1064" spans="1:14" x14ac:dyDescent="0.25">
      <c r="A1064" t="s">
        <v>1252</v>
      </c>
      <c r="B1064" t="s">
        <v>1253</v>
      </c>
      <c r="C1064">
        <v>3309</v>
      </c>
      <c r="D1064">
        <v>177</v>
      </c>
      <c r="E1064" s="5">
        <v>5.3490480507706301E-2</v>
      </c>
      <c r="F1064">
        <v>13</v>
      </c>
      <c r="G1064" t="s">
        <v>45</v>
      </c>
      <c r="H1064" t="s">
        <v>109</v>
      </c>
      <c r="I1064" t="s">
        <v>40</v>
      </c>
      <c r="J1064" s="1">
        <v>44182</v>
      </c>
      <c r="K1064" t="s">
        <v>98</v>
      </c>
      <c r="L1064" t="s">
        <v>117</v>
      </c>
      <c r="M1064" t="s">
        <v>1471</v>
      </c>
      <c r="N1064">
        <v>2020</v>
      </c>
    </row>
    <row r="1065" spans="1:14" x14ac:dyDescent="0.25">
      <c r="A1065" t="s">
        <v>1254</v>
      </c>
      <c r="B1065" t="s">
        <v>1255</v>
      </c>
      <c r="C1065">
        <v>4163</v>
      </c>
      <c r="D1065">
        <v>897</v>
      </c>
      <c r="E1065" s="5">
        <v>0.21546961325966801</v>
      </c>
      <c r="F1065">
        <v>14</v>
      </c>
      <c r="G1065" t="s">
        <v>13</v>
      </c>
      <c r="H1065" t="s">
        <v>14</v>
      </c>
      <c r="I1065" t="s">
        <v>65</v>
      </c>
      <c r="J1065" s="1">
        <v>44803</v>
      </c>
      <c r="K1065" t="s">
        <v>21</v>
      </c>
      <c r="L1065" t="s">
        <v>63</v>
      </c>
      <c r="M1065" t="s">
        <v>1479</v>
      </c>
      <c r="N1065">
        <v>2022</v>
      </c>
    </row>
    <row r="1066" spans="1:14" x14ac:dyDescent="0.25">
      <c r="A1066" t="s">
        <v>1254</v>
      </c>
      <c r="B1066" t="s">
        <v>1256</v>
      </c>
      <c r="C1066">
        <v>4163</v>
      </c>
      <c r="D1066">
        <v>897</v>
      </c>
      <c r="E1066" s="5">
        <v>0.21546961325966801</v>
      </c>
      <c r="F1066">
        <v>14</v>
      </c>
      <c r="G1066" t="s">
        <v>13</v>
      </c>
      <c r="H1066" t="s">
        <v>14</v>
      </c>
      <c r="I1066" t="s">
        <v>65</v>
      </c>
      <c r="J1066" s="1">
        <v>45715</v>
      </c>
      <c r="K1066" t="s">
        <v>98</v>
      </c>
      <c r="L1066" t="s">
        <v>117</v>
      </c>
      <c r="M1066" t="s">
        <v>1477</v>
      </c>
      <c r="N1066">
        <v>2025</v>
      </c>
    </row>
    <row r="1067" spans="1:14" x14ac:dyDescent="0.25">
      <c r="A1067" t="s">
        <v>1254</v>
      </c>
      <c r="B1067" t="s">
        <v>1257</v>
      </c>
      <c r="C1067">
        <v>4163</v>
      </c>
      <c r="D1067">
        <v>897</v>
      </c>
      <c r="E1067" s="5">
        <v>0.21546961325966801</v>
      </c>
      <c r="F1067">
        <v>14</v>
      </c>
      <c r="G1067" t="s">
        <v>13</v>
      </c>
      <c r="H1067" t="s">
        <v>14</v>
      </c>
      <c r="I1067" t="s">
        <v>65</v>
      </c>
      <c r="J1067" s="1">
        <v>44352</v>
      </c>
      <c r="K1067" t="s">
        <v>17</v>
      </c>
      <c r="L1067" t="s">
        <v>34</v>
      </c>
      <c r="M1067" t="s">
        <v>1470</v>
      </c>
      <c r="N1067">
        <v>2021</v>
      </c>
    </row>
    <row r="1068" spans="1:14" x14ac:dyDescent="0.25">
      <c r="A1068" t="s">
        <v>1258</v>
      </c>
      <c r="B1068" t="s">
        <v>1259</v>
      </c>
      <c r="C1068">
        <v>5518</v>
      </c>
      <c r="D1068">
        <v>867</v>
      </c>
      <c r="E1068" s="5">
        <v>0.15712214570496599</v>
      </c>
      <c r="F1068">
        <v>7</v>
      </c>
      <c r="G1068" t="s">
        <v>45</v>
      </c>
      <c r="H1068" t="s">
        <v>60</v>
      </c>
      <c r="I1068" t="s">
        <v>15</v>
      </c>
      <c r="J1068" s="1">
        <v>44917</v>
      </c>
      <c r="K1068" t="s">
        <v>71</v>
      </c>
      <c r="L1068" t="s">
        <v>138</v>
      </c>
      <c r="M1068" t="s">
        <v>1471</v>
      </c>
      <c r="N1068">
        <v>2022</v>
      </c>
    </row>
    <row r="1069" spans="1:14" x14ac:dyDescent="0.25">
      <c r="A1069" t="s">
        <v>1260</v>
      </c>
      <c r="B1069" t="s">
        <v>1261</v>
      </c>
      <c r="C1069">
        <v>7566</v>
      </c>
      <c r="D1069">
        <v>606</v>
      </c>
      <c r="E1069" s="5">
        <v>8.0095162569389394E-2</v>
      </c>
      <c r="F1069">
        <v>6</v>
      </c>
      <c r="G1069" t="s">
        <v>13</v>
      </c>
      <c r="H1069" t="s">
        <v>82</v>
      </c>
      <c r="I1069" t="s">
        <v>32</v>
      </c>
      <c r="J1069" s="1">
        <v>45682</v>
      </c>
      <c r="K1069" t="s">
        <v>98</v>
      </c>
      <c r="L1069" t="s">
        <v>99</v>
      </c>
      <c r="M1069" t="s">
        <v>1478</v>
      </c>
      <c r="N1069">
        <v>2025</v>
      </c>
    </row>
    <row r="1070" spans="1:14" x14ac:dyDescent="0.25">
      <c r="A1070" t="s">
        <v>1260</v>
      </c>
      <c r="B1070" t="s">
        <v>1262</v>
      </c>
      <c r="C1070">
        <v>7566</v>
      </c>
      <c r="D1070">
        <v>606</v>
      </c>
      <c r="E1070" s="5">
        <v>8.0095162569389394E-2</v>
      </c>
      <c r="F1070">
        <v>6</v>
      </c>
      <c r="G1070" t="s">
        <v>13</v>
      </c>
      <c r="H1070" t="s">
        <v>82</v>
      </c>
      <c r="I1070" t="s">
        <v>32</v>
      </c>
      <c r="J1070" s="1">
        <v>45702</v>
      </c>
      <c r="K1070" t="s">
        <v>42</v>
      </c>
      <c r="L1070" t="s">
        <v>75</v>
      </c>
      <c r="M1070" t="s">
        <v>1477</v>
      </c>
      <c r="N1070">
        <v>2025</v>
      </c>
    </row>
    <row r="1071" spans="1:14" x14ac:dyDescent="0.25">
      <c r="A1071" t="s">
        <v>1263</v>
      </c>
      <c r="B1071" t="s">
        <v>1264</v>
      </c>
      <c r="C1071">
        <v>762</v>
      </c>
      <c r="D1071">
        <v>92</v>
      </c>
      <c r="E1071" s="5">
        <v>0.12073490813648299</v>
      </c>
      <c r="F1071">
        <v>11</v>
      </c>
      <c r="G1071" t="s">
        <v>13</v>
      </c>
      <c r="H1071" t="s">
        <v>28</v>
      </c>
      <c r="I1071" t="s">
        <v>65</v>
      </c>
      <c r="J1071" s="1">
        <v>44932</v>
      </c>
      <c r="K1071" t="s">
        <v>21</v>
      </c>
      <c r="L1071" t="s">
        <v>63</v>
      </c>
      <c r="M1071" t="s">
        <v>1478</v>
      </c>
      <c r="N1071">
        <v>2023</v>
      </c>
    </row>
    <row r="1072" spans="1:14" x14ac:dyDescent="0.25">
      <c r="A1072" t="s">
        <v>1265</v>
      </c>
      <c r="B1072" t="s">
        <v>1266</v>
      </c>
      <c r="C1072">
        <v>3316</v>
      </c>
      <c r="D1072">
        <v>126</v>
      </c>
      <c r="E1072" s="5">
        <v>3.7997587454764802E-2</v>
      </c>
      <c r="F1072">
        <v>6</v>
      </c>
      <c r="G1072" t="s">
        <v>13</v>
      </c>
      <c r="H1072" t="s">
        <v>39</v>
      </c>
      <c r="I1072" t="s">
        <v>65</v>
      </c>
      <c r="J1072" s="1">
        <v>44115</v>
      </c>
      <c r="K1072" t="s">
        <v>98</v>
      </c>
      <c r="L1072" t="s">
        <v>107</v>
      </c>
      <c r="M1072" t="s">
        <v>1474</v>
      </c>
      <c r="N1072">
        <v>2020</v>
      </c>
    </row>
    <row r="1073" spans="1:14" x14ac:dyDescent="0.25">
      <c r="A1073" t="s">
        <v>1267</v>
      </c>
      <c r="B1073" t="s">
        <v>1268</v>
      </c>
      <c r="C1073">
        <v>5994</v>
      </c>
      <c r="D1073">
        <v>2826</v>
      </c>
      <c r="E1073" s="5">
        <v>0.471471471471471</v>
      </c>
      <c r="F1073">
        <v>9</v>
      </c>
      <c r="G1073" t="s">
        <v>45</v>
      </c>
      <c r="H1073" t="s">
        <v>109</v>
      </c>
      <c r="I1073" t="s">
        <v>40</v>
      </c>
      <c r="J1073" s="1">
        <v>45070</v>
      </c>
      <c r="K1073" t="s">
        <v>42</v>
      </c>
      <c r="L1073" t="s">
        <v>92</v>
      </c>
      <c r="M1073" t="s">
        <v>1473</v>
      </c>
      <c r="N1073">
        <v>2023</v>
      </c>
    </row>
    <row r="1074" spans="1:14" x14ac:dyDescent="0.25">
      <c r="A1074" t="s">
        <v>1267</v>
      </c>
      <c r="B1074" t="s">
        <v>1269</v>
      </c>
      <c r="C1074">
        <v>5994</v>
      </c>
      <c r="D1074">
        <v>2826</v>
      </c>
      <c r="E1074" s="5">
        <v>0.471471471471471</v>
      </c>
      <c r="F1074">
        <v>9</v>
      </c>
      <c r="G1074" t="s">
        <v>45</v>
      </c>
      <c r="H1074" t="s">
        <v>109</v>
      </c>
      <c r="I1074" t="s">
        <v>40</v>
      </c>
      <c r="J1074" s="1">
        <v>45363</v>
      </c>
      <c r="K1074" t="s">
        <v>42</v>
      </c>
      <c r="L1074" t="s">
        <v>43</v>
      </c>
      <c r="M1074" t="s">
        <v>1476</v>
      </c>
      <c r="N1074">
        <v>2024</v>
      </c>
    </row>
    <row r="1075" spans="1:14" x14ac:dyDescent="0.25">
      <c r="A1075" t="s">
        <v>1267</v>
      </c>
      <c r="B1075" t="s">
        <v>1270</v>
      </c>
      <c r="C1075">
        <v>5994</v>
      </c>
      <c r="D1075">
        <v>2826</v>
      </c>
      <c r="E1075" s="5">
        <v>0.471471471471471</v>
      </c>
      <c r="F1075">
        <v>9</v>
      </c>
      <c r="G1075" t="s">
        <v>45</v>
      </c>
      <c r="H1075" t="s">
        <v>109</v>
      </c>
      <c r="I1075" t="s">
        <v>40</v>
      </c>
      <c r="J1075" s="1">
        <v>45368</v>
      </c>
      <c r="K1075" t="s">
        <v>25</v>
      </c>
      <c r="L1075" t="s">
        <v>51</v>
      </c>
      <c r="M1075" t="s">
        <v>1476</v>
      </c>
      <c r="N1075">
        <v>2024</v>
      </c>
    </row>
    <row r="1076" spans="1:14" x14ac:dyDescent="0.25">
      <c r="A1076" t="s">
        <v>1271</v>
      </c>
      <c r="B1076" t="s">
        <v>1272</v>
      </c>
      <c r="C1076">
        <v>3854</v>
      </c>
      <c r="D1076">
        <v>245</v>
      </c>
      <c r="E1076" s="5">
        <v>6.35703165542294E-2</v>
      </c>
      <c r="F1076">
        <v>19</v>
      </c>
      <c r="G1076" t="s">
        <v>13</v>
      </c>
      <c r="H1076" t="s">
        <v>39</v>
      </c>
      <c r="I1076" t="s">
        <v>65</v>
      </c>
      <c r="J1076" s="1">
        <v>44698</v>
      </c>
      <c r="K1076" t="s">
        <v>98</v>
      </c>
      <c r="L1076" t="s">
        <v>99</v>
      </c>
      <c r="M1076" t="s">
        <v>1473</v>
      </c>
      <c r="N1076">
        <v>2022</v>
      </c>
    </row>
    <row r="1077" spans="1:14" x14ac:dyDescent="0.25">
      <c r="A1077" t="s">
        <v>1273</v>
      </c>
      <c r="B1077" t="s">
        <v>1274</v>
      </c>
      <c r="C1077">
        <v>7019</v>
      </c>
      <c r="D1077">
        <v>2677</v>
      </c>
      <c r="E1077" s="5">
        <v>0.38139336087761799</v>
      </c>
      <c r="F1077">
        <v>15</v>
      </c>
      <c r="G1077" t="s">
        <v>30</v>
      </c>
      <c r="H1077" t="s">
        <v>57</v>
      </c>
      <c r="I1077" t="s">
        <v>15</v>
      </c>
      <c r="J1077" s="1">
        <v>44186</v>
      </c>
      <c r="K1077" t="s">
        <v>17</v>
      </c>
      <c r="L1077" t="s">
        <v>18</v>
      </c>
      <c r="M1077" t="s">
        <v>1471</v>
      </c>
      <c r="N1077">
        <v>2020</v>
      </c>
    </row>
    <row r="1078" spans="1:14" x14ac:dyDescent="0.25">
      <c r="A1078" t="s">
        <v>1275</v>
      </c>
      <c r="B1078" t="s">
        <v>1276</v>
      </c>
      <c r="C1078">
        <v>5954</v>
      </c>
      <c r="D1078">
        <v>2640</v>
      </c>
      <c r="E1078" s="5">
        <v>0.44339939536446099</v>
      </c>
      <c r="F1078">
        <v>14</v>
      </c>
      <c r="G1078" t="s">
        <v>13</v>
      </c>
      <c r="H1078" t="s">
        <v>39</v>
      </c>
      <c r="I1078" t="s">
        <v>47</v>
      </c>
      <c r="J1078" s="1">
        <v>44432</v>
      </c>
      <c r="K1078" t="s">
        <v>25</v>
      </c>
      <c r="L1078" t="s">
        <v>51</v>
      </c>
      <c r="M1078" t="s">
        <v>1479</v>
      </c>
      <c r="N1078">
        <v>2021</v>
      </c>
    </row>
    <row r="1079" spans="1:14" x14ac:dyDescent="0.25">
      <c r="A1079" t="s">
        <v>1275</v>
      </c>
      <c r="B1079" t="s">
        <v>1277</v>
      </c>
      <c r="C1079">
        <v>5954</v>
      </c>
      <c r="D1079">
        <v>2640</v>
      </c>
      <c r="E1079" s="5">
        <v>0.44339939536446099</v>
      </c>
      <c r="F1079">
        <v>14</v>
      </c>
      <c r="G1079" t="s">
        <v>13</v>
      </c>
      <c r="H1079" t="s">
        <v>39</v>
      </c>
      <c r="I1079" t="s">
        <v>47</v>
      </c>
      <c r="J1079" s="1">
        <v>44856</v>
      </c>
      <c r="K1079" t="s">
        <v>71</v>
      </c>
      <c r="L1079" t="s">
        <v>72</v>
      </c>
      <c r="M1079" t="s">
        <v>1474</v>
      </c>
      <c r="N1079">
        <v>2022</v>
      </c>
    </row>
    <row r="1080" spans="1:14" x14ac:dyDescent="0.25">
      <c r="A1080" t="s">
        <v>1278</v>
      </c>
      <c r="B1080" t="s">
        <v>1279</v>
      </c>
      <c r="C1080">
        <v>9752</v>
      </c>
      <c r="D1080">
        <v>3618</v>
      </c>
      <c r="E1080" s="5">
        <v>0.37100082034454501</v>
      </c>
      <c r="F1080">
        <v>5</v>
      </c>
      <c r="G1080" t="s">
        <v>45</v>
      </c>
      <c r="H1080" t="s">
        <v>109</v>
      </c>
      <c r="I1080" t="s">
        <v>32</v>
      </c>
      <c r="J1080" s="1">
        <v>45343</v>
      </c>
      <c r="K1080" t="s">
        <v>25</v>
      </c>
      <c r="L1080" t="s">
        <v>68</v>
      </c>
      <c r="M1080" t="s">
        <v>1477</v>
      </c>
      <c r="N1080">
        <v>2024</v>
      </c>
    </row>
    <row r="1081" spans="1:14" x14ac:dyDescent="0.25">
      <c r="A1081" t="s">
        <v>1278</v>
      </c>
      <c r="B1081" t="s">
        <v>1280</v>
      </c>
      <c r="C1081">
        <v>9752</v>
      </c>
      <c r="D1081">
        <v>3618</v>
      </c>
      <c r="E1081" s="5">
        <v>0.37100082034454501</v>
      </c>
      <c r="F1081">
        <v>5</v>
      </c>
      <c r="G1081" t="s">
        <v>45</v>
      </c>
      <c r="H1081" t="s">
        <v>109</v>
      </c>
      <c r="I1081" t="s">
        <v>32</v>
      </c>
      <c r="J1081" s="1">
        <v>44865</v>
      </c>
      <c r="K1081" t="s">
        <v>21</v>
      </c>
      <c r="L1081" t="s">
        <v>172</v>
      </c>
      <c r="M1081" t="s">
        <v>1474</v>
      </c>
      <c r="N1081">
        <v>2022</v>
      </c>
    </row>
    <row r="1082" spans="1:14" x14ac:dyDescent="0.25">
      <c r="A1082" t="s">
        <v>1281</v>
      </c>
      <c r="B1082" t="s">
        <v>1282</v>
      </c>
      <c r="C1082">
        <v>5335</v>
      </c>
      <c r="D1082">
        <v>322</v>
      </c>
      <c r="E1082" s="5">
        <v>6.0356138706654197E-2</v>
      </c>
      <c r="F1082">
        <v>15</v>
      </c>
      <c r="G1082" t="s">
        <v>13</v>
      </c>
      <c r="H1082" t="s">
        <v>14</v>
      </c>
      <c r="I1082" t="s">
        <v>65</v>
      </c>
      <c r="J1082" s="1">
        <v>44696</v>
      </c>
      <c r="K1082" t="s">
        <v>25</v>
      </c>
      <c r="L1082" t="s">
        <v>51</v>
      </c>
      <c r="M1082" t="s">
        <v>1473</v>
      </c>
      <c r="N1082">
        <v>2022</v>
      </c>
    </row>
    <row r="1083" spans="1:14" x14ac:dyDescent="0.25">
      <c r="A1083" t="s">
        <v>1283</v>
      </c>
      <c r="B1083" t="s">
        <v>1284</v>
      </c>
      <c r="C1083">
        <v>1454</v>
      </c>
      <c r="D1083">
        <v>80</v>
      </c>
      <c r="E1083" s="5">
        <v>5.5020632737276497E-2</v>
      </c>
      <c r="F1083">
        <v>20</v>
      </c>
      <c r="G1083" t="s">
        <v>13</v>
      </c>
      <c r="H1083" t="s">
        <v>14</v>
      </c>
      <c r="I1083" t="s">
        <v>47</v>
      </c>
      <c r="J1083" s="1">
        <v>44764</v>
      </c>
      <c r="K1083" t="s">
        <v>25</v>
      </c>
      <c r="L1083" t="s">
        <v>68</v>
      </c>
      <c r="M1083" t="s">
        <v>1472</v>
      </c>
      <c r="N1083">
        <v>2022</v>
      </c>
    </row>
    <row r="1084" spans="1:14" x14ac:dyDescent="0.25">
      <c r="A1084" t="s">
        <v>1285</v>
      </c>
      <c r="B1084" t="s">
        <v>1286</v>
      </c>
      <c r="C1084">
        <v>6724</v>
      </c>
      <c r="D1084">
        <v>1539</v>
      </c>
      <c r="E1084" s="5">
        <v>0.22888161808447399</v>
      </c>
      <c r="F1084">
        <v>19</v>
      </c>
      <c r="G1084" t="s">
        <v>45</v>
      </c>
      <c r="H1084" t="s">
        <v>109</v>
      </c>
      <c r="I1084" t="s">
        <v>65</v>
      </c>
      <c r="J1084" s="1">
        <v>44543</v>
      </c>
      <c r="K1084" t="s">
        <v>42</v>
      </c>
      <c r="L1084" t="s">
        <v>92</v>
      </c>
      <c r="M1084" t="s">
        <v>1471</v>
      </c>
      <c r="N1084">
        <v>2021</v>
      </c>
    </row>
    <row r="1085" spans="1:14" x14ac:dyDescent="0.25">
      <c r="A1085" t="s">
        <v>1285</v>
      </c>
      <c r="B1085" t="s">
        <v>1287</v>
      </c>
      <c r="C1085">
        <v>6724</v>
      </c>
      <c r="D1085">
        <v>1539</v>
      </c>
      <c r="E1085" s="5">
        <v>0.22888161808447399</v>
      </c>
      <c r="F1085">
        <v>19</v>
      </c>
      <c r="G1085" t="s">
        <v>45</v>
      </c>
      <c r="H1085" t="s">
        <v>109</v>
      </c>
      <c r="I1085" t="s">
        <v>65</v>
      </c>
      <c r="J1085" s="1">
        <v>44350</v>
      </c>
      <c r="K1085" t="s">
        <v>71</v>
      </c>
      <c r="L1085" t="s">
        <v>72</v>
      </c>
      <c r="M1085" t="s">
        <v>1470</v>
      </c>
      <c r="N1085">
        <v>2021</v>
      </c>
    </row>
    <row r="1086" spans="1:14" x14ac:dyDescent="0.25">
      <c r="A1086" t="s">
        <v>1288</v>
      </c>
      <c r="B1086" t="s">
        <v>1289</v>
      </c>
      <c r="C1086">
        <v>9874</v>
      </c>
      <c r="D1086">
        <v>3895</v>
      </c>
      <c r="E1086" s="5">
        <v>0.39447032610897298</v>
      </c>
      <c r="F1086">
        <v>4</v>
      </c>
      <c r="G1086" t="s">
        <v>30</v>
      </c>
      <c r="H1086" t="s">
        <v>78</v>
      </c>
      <c r="I1086" t="s">
        <v>40</v>
      </c>
      <c r="J1086" s="1">
        <v>45712</v>
      </c>
      <c r="K1086" t="s">
        <v>98</v>
      </c>
      <c r="L1086" t="s">
        <v>117</v>
      </c>
      <c r="M1086" t="s">
        <v>1477</v>
      </c>
      <c r="N1086">
        <v>2025</v>
      </c>
    </row>
    <row r="1087" spans="1:14" x14ac:dyDescent="0.25">
      <c r="A1087" t="s">
        <v>1290</v>
      </c>
      <c r="B1087" t="s">
        <v>1291</v>
      </c>
      <c r="C1087">
        <v>4918</v>
      </c>
      <c r="D1087">
        <v>1485</v>
      </c>
      <c r="E1087" s="5">
        <v>0.30195201301342001</v>
      </c>
      <c r="F1087">
        <v>7</v>
      </c>
      <c r="G1087" t="s">
        <v>13</v>
      </c>
      <c r="H1087" t="s">
        <v>82</v>
      </c>
      <c r="I1087" t="s">
        <v>15</v>
      </c>
      <c r="J1087" s="1">
        <v>44959</v>
      </c>
      <c r="K1087" t="s">
        <v>17</v>
      </c>
      <c r="L1087" t="s">
        <v>150</v>
      </c>
      <c r="M1087" t="s">
        <v>1477</v>
      </c>
      <c r="N1087">
        <v>2023</v>
      </c>
    </row>
    <row r="1088" spans="1:14" x14ac:dyDescent="0.25">
      <c r="A1088" t="s">
        <v>1292</v>
      </c>
      <c r="B1088" t="s">
        <v>1293</v>
      </c>
      <c r="C1088">
        <v>3189</v>
      </c>
      <c r="D1088">
        <v>1180</v>
      </c>
      <c r="E1088" s="5">
        <v>0.370021950454688</v>
      </c>
      <c r="F1088">
        <v>19</v>
      </c>
      <c r="G1088" t="s">
        <v>30</v>
      </c>
      <c r="H1088" t="s">
        <v>64</v>
      </c>
      <c r="I1088" t="s">
        <v>47</v>
      </c>
      <c r="J1088" s="1">
        <v>44561</v>
      </c>
      <c r="K1088" t="s">
        <v>25</v>
      </c>
      <c r="L1088" t="s">
        <v>51</v>
      </c>
      <c r="M1088" t="s">
        <v>1471</v>
      </c>
      <c r="N1088">
        <v>2021</v>
      </c>
    </row>
    <row r="1089" spans="1:14" x14ac:dyDescent="0.25">
      <c r="A1089" t="s">
        <v>1294</v>
      </c>
      <c r="B1089" t="s">
        <v>1295</v>
      </c>
      <c r="C1089">
        <v>2684</v>
      </c>
      <c r="D1089">
        <v>713</v>
      </c>
      <c r="E1089" s="5">
        <v>0.26564828614008901</v>
      </c>
      <c r="F1089">
        <v>2</v>
      </c>
      <c r="G1089" t="s">
        <v>13</v>
      </c>
      <c r="H1089" t="s">
        <v>14</v>
      </c>
      <c r="I1089" t="s">
        <v>15</v>
      </c>
      <c r="J1089" s="1">
        <v>45458</v>
      </c>
      <c r="K1089" t="s">
        <v>25</v>
      </c>
      <c r="L1089" t="s">
        <v>51</v>
      </c>
      <c r="M1089" t="s">
        <v>1470</v>
      </c>
      <c r="N1089">
        <v>2024</v>
      </c>
    </row>
    <row r="1090" spans="1:14" x14ac:dyDescent="0.25">
      <c r="A1090" t="s">
        <v>1294</v>
      </c>
      <c r="B1090" t="s">
        <v>1296</v>
      </c>
      <c r="C1090">
        <v>2684</v>
      </c>
      <c r="D1090">
        <v>713</v>
      </c>
      <c r="E1090" s="5">
        <v>0.26564828614008901</v>
      </c>
      <c r="F1090">
        <v>2</v>
      </c>
      <c r="G1090" t="s">
        <v>13</v>
      </c>
      <c r="H1090" t="s">
        <v>14</v>
      </c>
      <c r="I1090" t="s">
        <v>15</v>
      </c>
      <c r="J1090" s="1">
        <v>44717</v>
      </c>
      <c r="K1090" t="s">
        <v>25</v>
      </c>
      <c r="L1090" t="s">
        <v>26</v>
      </c>
      <c r="M1090" t="s">
        <v>1470</v>
      </c>
      <c r="N1090">
        <v>2022</v>
      </c>
    </row>
    <row r="1091" spans="1:14" x14ac:dyDescent="0.25">
      <c r="A1091" t="s">
        <v>1294</v>
      </c>
      <c r="B1091" t="s">
        <v>1297</v>
      </c>
      <c r="C1091">
        <v>2684</v>
      </c>
      <c r="D1091">
        <v>713</v>
      </c>
      <c r="E1091" s="5">
        <v>0.26564828614008901</v>
      </c>
      <c r="F1091">
        <v>2</v>
      </c>
      <c r="G1091" t="s">
        <v>13</v>
      </c>
      <c r="H1091" t="s">
        <v>14</v>
      </c>
      <c r="I1091" t="s">
        <v>15</v>
      </c>
      <c r="J1091" s="1">
        <v>43962</v>
      </c>
      <c r="K1091" t="s">
        <v>71</v>
      </c>
      <c r="L1091" t="s">
        <v>72</v>
      </c>
      <c r="M1091" t="s">
        <v>1473</v>
      </c>
      <c r="N1091">
        <v>2020</v>
      </c>
    </row>
    <row r="1092" spans="1:14" x14ac:dyDescent="0.25">
      <c r="A1092" t="s">
        <v>1298</v>
      </c>
      <c r="B1092" t="s">
        <v>1299</v>
      </c>
      <c r="C1092">
        <v>7626</v>
      </c>
      <c r="D1092">
        <v>229</v>
      </c>
      <c r="E1092" s="5">
        <v>3.0028848675583499E-2</v>
      </c>
      <c r="F1092">
        <v>5</v>
      </c>
      <c r="G1092" t="s">
        <v>30</v>
      </c>
      <c r="H1092" t="s">
        <v>31</v>
      </c>
      <c r="I1092" t="s">
        <v>40</v>
      </c>
      <c r="J1092" s="1">
        <v>45333</v>
      </c>
      <c r="K1092" t="s">
        <v>21</v>
      </c>
      <c r="L1092" t="s">
        <v>63</v>
      </c>
      <c r="M1092" t="s">
        <v>1477</v>
      </c>
      <c r="N1092">
        <v>2024</v>
      </c>
    </row>
    <row r="1093" spans="1:14" x14ac:dyDescent="0.25">
      <c r="A1093" t="s">
        <v>1298</v>
      </c>
      <c r="B1093" t="s">
        <v>1300</v>
      </c>
      <c r="C1093">
        <v>7626</v>
      </c>
      <c r="D1093">
        <v>229</v>
      </c>
      <c r="E1093" s="5">
        <v>3.0028848675583499E-2</v>
      </c>
      <c r="F1093">
        <v>5</v>
      </c>
      <c r="G1093" t="s">
        <v>30</v>
      </c>
      <c r="H1093" t="s">
        <v>31</v>
      </c>
      <c r="I1093" t="s">
        <v>40</v>
      </c>
      <c r="J1093" s="1">
        <v>44160</v>
      </c>
      <c r="K1093" t="s">
        <v>98</v>
      </c>
      <c r="L1093" t="s">
        <v>99</v>
      </c>
      <c r="M1093" t="s">
        <v>1475</v>
      </c>
      <c r="N1093">
        <v>2020</v>
      </c>
    </row>
    <row r="1094" spans="1:14" x14ac:dyDescent="0.25">
      <c r="A1094" t="s">
        <v>1301</v>
      </c>
      <c r="B1094" t="s">
        <v>1302</v>
      </c>
      <c r="C1094">
        <v>6669</v>
      </c>
      <c r="D1094">
        <v>3063</v>
      </c>
      <c r="E1094" s="5">
        <v>0.45928924876293298</v>
      </c>
      <c r="F1094">
        <v>19</v>
      </c>
      <c r="G1094" t="s">
        <v>13</v>
      </c>
      <c r="H1094" t="s">
        <v>28</v>
      </c>
      <c r="I1094" t="s">
        <v>15</v>
      </c>
      <c r="J1094" s="1">
        <v>45150</v>
      </c>
      <c r="K1094" t="s">
        <v>98</v>
      </c>
      <c r="L1094" t="s">
        <v>107</v>
      </c>
      <c r="M1094" t="s">
        <v>1479</v>
      </c>
      <c r="N1094">
        <v>2023</v>
      </c>
    </row>
    <row r="1095" spans="1:14" x14ac:dyDescent="0.25">
      <c r="A1095" t="s">
        <v>1303</v>
      </c>
      <c r="B1095" t="s">
        <v>1304</v>
      </c>
      <c r="C1095">
        <v>6123</v>
      </c>
      <c r="D1095">
        <v>1686</v>
      </c>
      <c r="E1095" s="5">
        <v>0.27535521803037699</v>
      </c>
      <c r="F1095">
        <v>3</v>
      </c>
      <c r="G1095" t="s">
        <v>30</v>
      </c>
      <c r="H1095" t="s">
        <v>57</v>
      </c>
      <c r="I1095" t="s">
        <v>47</v>
      </c>
      <c r="J1095" s="1">
        <v>44687</v>
      </c>
      <c r="K1095" t="s">
        <v>98</v>
      </c>
      <c r="L1095" t="s">
        <v>107</v>
      </c>
      <c r="M1095" t="s">
        <v>1473</v>
      </c>
      <c r="N1095">
        <v>2022</v>
      </c>
    </row>
    <row r="1096" spans="1:14" x14ac:dyDescent="0.25">
      <c r="A1096" t="s">
        <v>1305</v>
      </c>
      <c r="B1096" t="s">
        <v>1306</v>
      </c>
      <c r="C1096">
        <v>3265</v>
      </c>
      <c r="D1096">
        <v>1390</v>
      </c>
      <c r="E1096" s="5">
        <v>0.42572741194487002</v>
      </c>
      <c r="F1096">
        <v>16</v>
      </c>
      <c r="G1096" t="s">
        <v>30</v>
      </c>
      <c r="H1096" t="s">
        <v>64</v>
      </c>
      <c r="I1096" t="s">
        <v>47</v>
      </c>
      <c r="J1096" s="1">
        <v>45308</v>
      </c>
      <c r="K1096" t="s">
        <v>42</v>
      </c>
      <c r="L1096" t="s">
        <v>43</v>
      </c>
      <c r="M1096" t="s">
        <v>1478</v>
      </c>
      <c r="N1096">
        <v>2024</v>
      </c>
    </row>
    <row r="1097" spans="1:14" x14ac:dyDescent="0.25">
      <c r="A1097" t="s">
        <v>1307</v>
      </c>
      <c r="B1097" t="s">
        <v>1308</v>
      </c>
      <c r="C1097">
        <v>8104</v>
      </c>
      <c r="D1097">
        <v>1039</v>
      </c>
      <c r="E1097" s="5">
        <v>0.128208292201382</v>
      </c>
      <c r="F1097">
        <v>6</v>
      </c>
      <c r="G1097" t="s">
        <v>30</v>
      </c>
      <c r="H1097" t="s">
        <v>57</v>
      </c>
      <c r="I1097" t="s">
        <v>65</v>
      </c>
      <c r="J1097" s="1">
        <v>44524</v>
      </c>
      <c r="K1097" t="s">
        <v>17</v>
      </c>
      <c r="L1097" t="s">
        <v>34</v>
      </c>
      <c r="M1097" t="s">
        <v>1475</v>
      </c>
      <c r="N1097">
        <v>2021</v>
      </c>
    </row>
    <row r="1098" spans="1:14" x14ac:dyDescent="0.25">
      <c r="A1098" t="s">
        <v>1307</v>
      </c>
      <c r="B1098" t="s">
        <v>1309</v>
      </c>
      <c r="C1098">
        <v>8104</v>
      </c>
      <c r="D1098">
        <v>1039</v>
      </c>
      <c r="E1098" s="5">
        <v>0.128208292201382</v>
      </c>
      <c r="F1098">
        <v>6</v>
      </c>
      <c r="G1098" t="s">
        <v>30</v>
      </c>
      <c r="H1098" t="s">
        <v>57</v>
      </c>
      <c r="I1098" t="s">
        <v>65</v>
      </c>
      <c r="J1098" s="1">
        <v>44475</v>
      </c>
      <c r="K1098" t="s">
        <v>17</v>
      </c>
      <c r="L1098" t="s">
        <v>18</v>
      </c>
      <c r="M1098" t="s">
        <v>1474</v>
      </c>
      <c r="N1098">
        <v>2021</v>
      </c>
    </row>
    <row r="1099" spans="1:14" x14ac:dyDescent="0.25">
      <c r="A1099" t="s">
        <v>1307</v>
      </c>
      <c r="B1099" t="s">
        <v>1310</v>
      </c>
      <c r="C1099">
        <v>8104</v>
      </c>
      <c r="D1099">
        <v>1039</v>
      </c>
      <c r="E1099" s="5">
        <v>0.128208292201382</v>
      </c>
      <c r="F1099">
        <v>6</v>
      </c>
      <c r="G1099" t="s">
        <v>30</v>
      </c>
      <c r="H1099" t="s">
        <v>57</v>
      </c>
      <c r="I1099" t="s">
        <v>65</v>
      </c>
      <c r="J1099" s="1">
        <v>45684</v>
      </c>
      <c r="K1099" t="s">
        <v>42</v>
      </c>
      <c r="L1099" t="s">
        <v>92</v>
      </c>
      <c r="M1099" t="s">
        <v>1478</v>
      </c>
      <c r="N1099">
        <v>2025</v>
      </c>
    </row>
    <row r="1100" spans="1:14" x14ac:dyDescent="0.25">
      <c r="A1100" t="s">
        <v>1311</v>
      </c>
      <c r="B1100" t="s">
        <v>1312</v>
      </c>
      <c r="C1100">
        <v>847</v>
      </c>
      <c r="D1100">
        <v>355</v>
      </c>
      <c r="E1100" s="5">
        <v>0.419126328217237</v>
      </c>
      <c r="F1100">
        <v>17</v>
      </c>
      <c r="G1100" t="s">
        <v>45</v>
      </c>
      <c r="H1100" t="s">
        <v>46</v>
      </c>
      <c r="I1100" t="s">
        <v>65</v>
      </c>
      <c r="J1100" s="1">
        <v>44704</v>
      </c>
      <c r="K1100" t="s">
        <v>25</v>
      </c>
      <c r="L1100" t="s">
        <v>26</v>
      </c>
      <c r="M1100" t="s">
        <v>1473</v>
      </c>
      <c r="N1100">
        <v>2022</v>
      </c>
    </row>
    <row r="1101" spans="1:14" x14ac:dyDescent="0.25">
      <c r="A1101" t="s">
        <v>1311</v>
      </c>
      <c r="B1101" t="s">
        <v>1313</v>
      </c>
      <c r="C1101">
        <v>847</v>
      </c>
      <c r="D1101">
        <v>355</v>
      </c>
      <c r="E1101" s="5">
        <v>0.419126328217237</v>
      </c>
      <c r="F1101">
        <v>17</v>
      </c>
      <c r="G1101" t="s">
        <v>45</v>
      </c>
      <c r="H1101" t="s">
        <v>46</v>
      </c>
      <c r="I1101" t="s">
        <v>65</v>
      </c>
      <c r="J1101" s="1">
        <v>45258</v>
      </c>
      <c r="K1101" t="s">
        <v>71</v>
      </c>
      <c r="L1101" t="s">
        <v>86</v>
      </c>
      <c r="M1101" t="s">
        <v>1475</v>
      </c>
      <c r="N1101">
        <v>2023</v>
      </c>
    </row>
    <row r="1102" spans="1:14" x14ac:dyDescent="0.25">
      <c r="A1102" t="s">
        <v>1311</v>
      </c>
      <c r="B1102" t="s">
        <v>1314</v>
      </c>
      <c r="C1102">
        <v>847</v>
      </c>
      <c r="D1102">
        <v>355</v>
      </c>
      <c r="E1102" s="5">
        <v>0.419126328217237</v>
      </c>
      <c r="F1102">
        <v>17</v>
      </c>
      <c r="G1102" t="s">
        <v>45</v>
      </c>
      <c r="H1102" t="s">
        <v>46</v>
      </c>
      <c r="I1102" t="s">
        <v>65</v>
      </c>
      <c r="J1102" s="1">
        <v>44944</v>
      </c>
      <c r="K1102" t="s">
        <v>42</v>
      </c>
      <c r="L1102" t="s">
        <v>92</v>
      </c>
      <c r="M1102" t="s">
        <v>1478</v>
      </c>
      <c r="N1102">
        <v>2023</v>
      </c>
    </row>
    <row r="1103" spans="1:14" x14ac:dyDescent="0.25">
      <c r="A1103" t="s">
        <v>1315</v>
      </c>
      <c r="B1103" t="s">
        <v>1316</v>
      </c>
      <c r="C1103">
        <v>3129</v>
      </c>
      <c r="D1103">
        <v>55</v>
      </c>
      <c r="E1103" s="5">
        <v>1.75775007989773E-2</v>
      </c>
      <c r="F1103">
        <v>9</v>
      </c>
      <c r="G1103" t="s">
        <v>45</v>
      </c>
      <c r="H1103" t="s">
        <v>109</v>
      </c>
      <c r="I1103" t="s">
        <v>32</v>
      </c>
      <c r="J1103" s="1">
        <v>44445</v>
      </c>
      <c r="K1103" t="s">
        <v>21</v>
      </c>
      <c r="L1103" t="s">
        <v>172</v>
      </c>
      <c r="M1103" t="s">
        <v>1480</v>
      </c>
      <c r="N1103">
        <v>2021</v>
      </c>
    </row>
    <row r="1104" spans="1:14" x14ac:dyDescent="0.25">
      <c r="A1104" t="s">
        <v>1315</v>
      </c>
      <c r="B1104" t="s">
        <v>1316</v>
      </c>
      <c r="C1104">
        <v>7821</v>
      </c>
      <c r="D1104">
        <v>3821</v>
      </c>
      <c r="E1104" s="5">
        <v>0.488556450581767</v>
      </c>
      <c r="F1104">
        <v>13</v>
      </c>
      <c r="G1104" t="s">
        <v>13</v>
      </c>
      <c r="H1104" t="s">
        <v>39</v>
      </c>
      <c r="I1104" t="s">
        <v>40</v>
      </c>
      <c r="J1104" s="1">
        <v>44445</v>
      </c>
      <c r="K1104" t="s">
        <v>21</v>
      </c>
      <c r="L1104" t="s">
        <v>172</v>
      </c>
      <c r="M1104" t="s">
        <v>1480</v>
      </c>
      <c r="N1104">
        <v>2021</v>
      </c>
    </row>
    <row r="1105" spans="1:14" x14ac:dyDescent="0.25">
      <c r="A1105" t="s">
        <v>1317</v>
      </c>
      <c r="B1105" t="s">
        <v>1318</v>
      </c>
      <c r="C1105">
        <v>9498</v>
      </c>
      <c r="D1105">
        <v>256</v>
      </c>
      <c r="E1105" s="5">
        <v>2.6953042745841201E-2</v>
      </c>
      <c r="F1105">
        <v>12</v>
      </c>
      <c r="G1105" t="s">
        <v>13</v>
      </c>
      <c r="H1105" t="s">
        <v>82</v>
      </c>
      <c r="I1105" t="s">
        <v>65</v>
      </c>
      <c r="J1105" s="1">
        <v>44249</v>
      </c>
      <c r="K1105" t="s">
        <v>21</v>
      </c>
      <c r="L1105" t="s">
        <v>172</v>
      </c>
      <c r="M1105" t="s">
        <v>1477</v>
      </c>
      <c r="N1105">
        <v>2021</v>
      </c>
    </row>
    <row r="1106" spans="1:14" x14ac:dyDescent="0.25">
      <c r="A1106" t="s">
        <v>1317</v>
      </c>
      <c r="B1106" t="s">
        <v>1319</v>
      </c>
      <c r="C1106">
        <v>9498</v>
      </c>
      <c r="D1106">
        <v>256</v>
      </c>
      <c r="E1106" s="5">
        <v>2.6953042745841201E-2</v>
      </c>
      <c r="F1106">
        <v>12</v>
      </c>
      <c r="G1106" t="s">
        <v>13</v>
      </c>
      <c r="H1106" t="s">
        <v>82</v>
      </c>
      <c r="I1106" t="s">
        <v>65</v>
      </c>
      <c r="J1106" s="1">
        <v>44475</v>
      </c>
      <c r="K1106" t="s">
        <v>25</v>
      </c>
      <c r="L1106" t="s">
        <v>51</v>
      </c>
      <c r="M1106" t="s">
        <v>1474</v>
      </c>
      <c r="N1106">
        <v>2021</v>
      </c>
    </row>
    <row r="1107" spans="1:14" x14ac:dyDescent="0.25">
      <c r="A1107" t="s">
        <v>1320</v>
      </c>
      <c r="B1107" t="s">
        <v>1321</v>
      </c>
      <c r="C1107">
        <v>5461</v>
      </c>
      <c r="D1107">
        <v>1214</v>
      </c>
      <c r="E1107" s="5">
        <v>0.222303607397912</v>
      </c>
      <c r="F1107">
        <v>7</v>
      </c>
      <c r="G1107" t="s">
        <v>45</v>
      </c>
      <c r="H1107" t="s">
        <v>60</v>
      </c>
      <c r="I1107" t="s">
        <v>47</v>
      </c>
      <c r="J1107" s="1">
        <v>43989</v>
      </c>
      <c r="K1107" t="s">
        <v>25</v>
      </c>
      <c r="L1107" t="s">
        <v>68</v>
      </c>
      <c r="M1107" t="s">
        <v>1470</v>
      </c>
      <c r="N1107">
        <v>2020</v>
      </c>
    </row>
    <row r="1108" spans="1:14" x14ac:dyDescent="0.25">
      <c r="A1108" t="s">
        <v>1322</v>
      </c>
      <c r="B1108" t="s">
        <v>1323</v>
      </c>
      <c r="C1108">
        <v>3084</v>
      </c>
      <c r="D1108">
        <v>611</v>
      </c>
      <c r="E1108" s="5">
        <v>0.19811932555123199</v>
      </c>
      <c r="F1108">
        <v>19</v>
      </c>
      <c r="G1108" t="s">
        <v>45</v>
      </c>
      <c r="H1108" t="s">
        <v>109</v>
      </c>
      <c r="I1108" t="s">
        <v>15</v>
      </c>
      <c r="J1108" s="1">
        <v>45433</v>
      </c>
      <c r="K1108" t="s">
        <v>71</v>
      </c>
      <c r="L1108" t="s">
        <v>72</v>
      </c>
      <c r="M1108" t="s">
        <v>1473</v>
      </c>
      <c r="N1108">
        <v>2024</v>
      </c>
    </row>
    <row r="1109" spans="1:14" x14ac:dyDescent="0.25">
      <c r="A1109" t="s">
        <v>1324</v>
      </c>
      <c r="B1109" t="s">
        <v>1325</v>
      </c>
      <c r="C1109">
        <v>6087</v>
      </c>
      <c r="D1109">
        <v>3043</v>
      </c>
      <c r="E1109" s="5">
        <v>0.49991785772958802</v>
      </c>
      <c r="F1109">
        <v>1</v>
      </c>
      <c r="G1109" t="s">
        <v>45</v>
      </c>
      <c r="H1109" t="s">
        <v>60</v>
      </c>
      <c r="I1109" t="s">
        <v>65</v>
      </c>
      <c r="J1109" s="1">
        <v>44048</v>
      </c>
      <c r="K1109" t="s">
        <v>25</v>
      </c>
      <c r="L1109" t="s">
        <v>26</v>
      </c>
      <c r="M1109" t="s">
        <v>1479</v>
      </c>
      <c r="N1109">
        <v>2020</v>
      </c>
    </row>
    <row r="1110" spans="1:14" x14ac:dyDescent="0.25">
      <c r="A1110" t="s">
        <v>1326</v>
      </c>
      <c r="B1110" t="s">
        <v>1327</v>
      </c>
      <c r="C1110">
        <v>611</v>
      </c>
      <c r="D1110">
        <v>300</v>
      </c>
      <c r="E1110" s="5">
        <v>0.49099836333878899</v>
      </c>
      <c r="F1110">
        <v>3</v>
      </c>
      <c r="G1110" t="s">
        <v>45</v>
      </c>
      <c r="H1110" t="s">
        <v>109</v>
      </c>
      <c r="I1110" t="s">
        <v>47</v>
      </c>
      <c r="J1110" s="1">
        <v>44119</v>
      </c>
      <c r="K1110" t="s">
        <v>21</v>
      </c>
      <c r="L1110" t="s">
        <v>172</v>
      </c>
      <c r="M1110" t="s">
        <v>1474</v>
      </c>
      <c r="N1110">
        <v>2020</v>
      </c>
    </row>
    <row r="1111" spans="1:14" x14ac:dyDescent="0.25">
      <c r="A1111" t="s">
        <v>1328</v>
      </c>
      <c r="B1111" t="s">
        <v>1329</v>
      </c>
      <c r="C1111">
        <v>9909</v>
      </c>
      <c r="D1111">
        <v>2999</v>
      </c>
      <c r="E1111" s="5">
        <v>0.30265415279039298</v>
      </c>
      <c r="F1111">
        <v>18</v>
      </c>
      <c r="G1111" t="s">
        <v>30</v>
      </c>
      <c r="H1111" t="s">
        <v>57</v>
      </c>
      <c r="I1111" t="s">
        <v>65</v>
      </c>
      <c r="J1111" s="1">
        <v>44331</v>
      </c>
      <c r="K1111" t="s">
        <v>98</v>
      </c>
      <c r="L1111" t="s">
        <v>117</v>
      </c>
      <c r="M1111" t="s">
        <v>1473</v>
      </c>
      <c r="N1111">
        <v>2021</v>
      </c>
    </row>
    <row r="1112" spans="1:14" x14ac:dyDescent="0.25">
      <c r="A1112" t="s">
        <v>1328</v>
      </c>
      <c r="B1112" t="s">
        <v>1330</v>
      </c>
      <c r="C1112">
        <v>9909</v>
      </c>
      <c r="D1112">
        <v>2999</v>
      </c>
      <c r="E1112" s="5">
        <v>0.30265415279039298</v>
      </c>
      <c r="F1112">
        <v>18</v>
      </c>
      <c r="G1112" t="s">
        <v>30</v>
      </c>
      <c r="H1112" t="s">
        <v>57</v>
      </c>
      <c r="I1112" t="s">
        <v>65</v>
      </c>
      <c r="J1112" s="1">
        <v>44574</v>
      </c>
      <c r="K1112" t="s">
        <v>71</v>
      </c>
      <c r="L1112" t="s">
        <v>86</v>
      </c>
      <c r="M1112" t="s">
        <v>1478</v>
      </c>
      <c r="N1112">
        <v>2022</v>
      </c>
    </row>
    <row r="1113" spans="1:14" x14ac:dyDescent="0.25">
      <c r="A1113" t="s">
        <v>1331</v>
      </c>
      <c r="B1113" t="s">
        <v>1332</v>
      </c>
      <c r="C1113">
        <v>6485</v>
      </c>
      <c r="D1113">
        <v>3178</v>
      </c>
      <c r="E1113" s="5">
        <v>0.49005397070161899</v>
      </c>
      <c r="F1113">
        <v>18</v>
      </c>
      <c r="G1113" t="s">
        <v>45</v>
      </c>
      <c r="H1113" t="s">
        <v>60</v>
      </c>
      <c r="I1113" t="s">
        <v>15</v>
      </c>
      <c r="J1113" s="1">
        <v>45125</v>
      </c>
      <c r="K1113" t="s">
        <v>98</v>
      </c>
      <c r="L1113" t="s">
        <v>99</v>
      </c>
      <c r="M1113" t="s">
        <v>1472</v>
      </c>
      <c r="N1113">
        <v>2023</v>
      </c>
    </row>
    <row r="1114" spans="1:14" x14ac:dyDescent="0.25">
      <c r="A1114" t="s">
        <v>1333</v>
      </c>
      <c r="B1114" t="s">
        <v>1334</v>
      </c>
      <c r="C1114">
        <v>7259</v>
      </c>
      <c r="D1114">
        <v>1969</v>
      </c>
      <c r="E1114" s="5">
        <v>0.271249483399917</v>
      </c>
      <c r="F1114">
        <v>10</v>
      </c>
      <c r="G1114" t="s">
        <v>13</v>
      </c>
      <c r="H1114" t="s">
        <v>39</v>
      </c>
      <c r="I1114" t="s">
        <v>47</v>
      </c>
      <c r="J1114" s="1">
        <v>44903</v>
      </c>
      <c r="K1114" t="s">
        <v>21</v>
      </c>
      <c r="L1114" t="s">
        <v>63</v>
      </c>
      <c r="M1114" t="s">
        <v>1471</v>
      </c>
      <c r="N1114">
        <v>2022</v>
      </c>
    </row>
    <row r="1115" spans="1:14" x14ac:dyDescent="0.25">
      <c r="A1115" t="s">
        <v>1335</v>
      </c>
      <c r="B1115" t="s">
        <v>1336</v>
      </c>
      <c r="C1115">
        <v>3333</v>
      </c>
      <c r="D1115">
        <v>700</v>
      </c>
      <c r="E1115" s="5">
        <v>0.21002100210020999</v>
      </c>
      <c r="F1115">
        <v>18</v>
      </c>
      <c r="G1115" t="s">
        <v>13</v>
      </c>
      <c r="H1115" t="s">
        <v>28</v>
      </c>
      <c r="I1115" t="s">
        <v>65</v>
      </c>
      <c r="J1115" s="1">
        <v>45033</v>
      </c>
      <c r="K1115" t="s">
        <v>17</v>
      </c>
      <c r="L1115" t="s">
        <v>18</v>
      </c>
      <c r="M1115" t="s">
        <v>1481</v>
      </c>
      <c r="N1115">
        <v>2023</v>
      </c>
    </row>
    <row r="1116" spans="1:14" x14ac:dyDescent="0.25">
      <c r="A1116" t="s">
        <v>1337</v>
      </c>
      <c r="B1116" t="s">
        <v>1338</v>
      </c>
      <c r="C1116">
        <v>7786</v>
      </c>
      <c r="D1116">
        <v>1202</v>
      </c>
      <c r="E1116" s="5">
        <v>0.154379655792448</v>
      </c>
      <c r="F1116">
        <v>4</v>
      </c>
      <c r="G1116" t="s">
        <v>45</v>
      </c>
      <c r="H1116" t="s">
        <v>60</v>
      </c>
      <c r="I1116" t="s">
        <v>40</v>
      </c>
      <c r="J1116" s="1">
        <v>44005</v>
      </c>
      <c r="K1116" t="s">
        <v>21</v>
      </c>
      <c r="L1116" t="s">
        <v>172</v>
      </c>
      <c r="M1116" t="s">
        <v>1470</v>
      </c>
      <c r="N1116">
        <v>2020</v>
      </c>
    </row>
    <row r="1117" spans="1:14" x14ac:dyDescent="0.25">
      <c r="A1117" t="s">
        <v>1339</v>
      </c>
      <c r="B1117" t="s">
        <v>1340</v>
      </c>
      <c r="C1117">
        <v>7644</v>
      </c>
      <c r="D1117">
        <v>2428</v>
      </c>
      <c r="E1117" s="5">
        <v>0.31763474620617499</v>
      </c>
      <c r="F1117">
        <v>6</v>
      </c>
      <c r="G1117" t="s">
        <v>13</v>
      </c>
      <c r="H1117" t="s">
        <v>82</v>
      </c>
      <c r="I1117" t="s">
        <v>32</v>
      </c>
      <c r="J1117" s="1">
        <v>44581</v>
      </c>
      <c r="K1117" t="s">
        <v>21</v>
      </c>
      <c r="L1117" t="s">
        <v>63</v>
      </c>
      <c r="M1117" t="s">
        <v>1478</v>
      </c>
      <c r="N1117">
        <v>2022</v>
      </c>
    </row>
    <row r="1118" spans="1:14" x14ac:dyDescent="0.25">
      <c r="A1118" t="s">
        <v>1341</v>
      </c>
      <c r="B1118" t="s">
        <v>1342</v>
      </c>
      <c r="C1118">
        <v>1476</v>
      </c>
      <c r="D1118">
        <v>247</v>
      </c>
      <c r="E1118" s="5">
        <v>0.167344173441734</v>
      </c>
      <c r="F1118">
        <v>5</v>
      </c>
      <c r="G1118" t="s">
        <v>45</v>
      </c>
      <c r="H1118" t="s">
        <v>109</v>
      </c>
      <c r="I1118" t="s">
        <v>65</v>
      </c>
      <c r="J1118" s="1">
        <v>45248</v>
      </c>
      <c r="K1118" t="s">
        <v>42</v>
      </c>
      <c r="L1118" t="s">
        <v>43</v>
      </c>
      <c r="M1118" t="s">
        <v>1475</v>
      </c>
      <c r="N1118">
        <v>2023</v>
      </c>
    </row>
    <row r="1119" spans="1:14" x14ac:dyDescent="0.25">
      <c r="A1119" t="s">
        <v>1341</v>
      </c>
      <c r="B1119" t="s">
        <v>1343</v>
      </c>
      <c r="C1119">
        <v>1476</v>
      </c>
      <c r="D1119">
        <v>247</v>
      </c>
      <c r="E1119" s="5">
        <v>0.167344173441734</v>
      </c>
      <c r="F1119">
        <v>5</v>
      </c>
      <c r="G1119" t="s">
        <v>45</v>
      </c>
      <c r="H1119" t="s">
        <v>109</v>
      </c>
      <c r="I1119" t="s">
        <v>65</v>
      </c>
      <c r="J1119" s="1">
        <v>44580</v>
      </c>
      <c r="K1119" t="s">
        <v>42</v>
      </c>
      <c r="L1119" t="s">
        <v>75</v>
      </c>
      <c r="M1119" t="s">
        <v>1478</v>
      </c>
      <c r="N1119">
        <v>2022</v>
      </c>
    </row>
    <row r="1120" spans="1:14" x14ac:dyDescent="0.25">
      <c r="A1120" t="s">
        <v>1344</v>
      </c>
      <c r="B1120" t="s">
        <v>1345</v>
      </c>
      <c r="C1120">
        <v>3445</v>
      </c>
      <c r="D1120">
        <v>1405</v>
      </c>
      <c r="E1120" s="5">
        <v>0.40783744557329499</v>
      </c>
      <c r="F1120">
        <v>16</v>
      </c>
      <c r="G1120" t="s">
        <v>45</v>
      </c>
      <c r="H1120" t="s">
        <v>60</v>
      </c>
      <c r="I1120" t="s">
        <v>40</v>
      </c>
      <c r="J1120" s="1">
        <v>44095</v>
      </c>
      <c r="K1120" t="s">
        <v>42</v>
      </c>
      <c r="L1120" t="s">
        <v>92</v>
      </c>
      <c r="M1120" t="s">
        <v>1480</v>
      </c>
      <c r="N1120">
        <v>2020</v>
      </c>
    </row>
    <row r="1121" spans="1:14" x14ac:dyDescent="0.25">
      <c r="A1121" t="s">
        <v>1344</v>
      </c>
      <c r="B1121" t="s">
        <v>1345</v>
      </c>
      <c r="C1121">
        <v>9837</v>
      </c>
      <c r="D1121">
        <v>384</v>
      </c>
      <c r="E1121" s="5">
        <v>3.9036291552302503E-2</v>
      </c>
      <c r="F1121">
        <v>1</v>
      </c>
      <c r="G1121" t="s">
        <v>13</v>
      </c>
      <c r="H1121" t="s">
        <v>39</v>
      </c>
      <c r="I1121" t="s">
        <v>15</v>
      </c>
      <c r="J1121" s="1">
        <v>44095</v>
      </c>
      <c r="K1121" t="s">
        <v>42</v>
      </c>
      <c r="L1121" t="s">
        <v>92</v>
      </c>
      <c r="M1121" t="s">
        <v>1480</v>
      </c>
      <c r="N1121">
        <v>2020</v>
      </c>
    </row>
    <row r="1122" spans="1:14" x14ac:dyDescent="0.25">
      <c r="A1122" t="s">
        <v>1346</v>
      </c>
      <c r="B1122" t="s">
        <v>1347</v>
      </c>
      <c r="C1122">
        <v>1314</v>
      </c>
      <c r="D1122">
        <v>457</v>
      </c>
      <c r="E1122" s="5">
        <v>0.34779299847792999</v>
      </c>
      <c r="F1122">
        <v>8</v>
      </c>
      <c r="G1122" t="s">
        <v>45</v>
      </c>
      <c r="H1122" t="s">
        <v>60</v>
      </c>
      <c r="I1122" t="s">
        <v>40</v>
      </c>
      <c r="J1122" s="1">
        <v>44358</v>
      </c>
      <c r="K1122" t="s">
        <v>42</v>
      </c>
      <c r="L1122" t="s">
        <v>75</v>
      </c>
      <c r="M1122" t="s">
        <v>1470</v>
      </c>
      <c r="N1122">
        <v>2021</v>
      </c>
    </row>
    <row r="1123" spans="1:14" x14ac:dyDescent="0.25">
      <c r="A1123" t="s">
        <v>1348</v>
      </c>
      <c r="B1123" t="s">
        <v>1349</v>
      </c>
      <c r="C1123">
        <v>5951</v>
      </c>
      <c r="D1123">
        <v>936</v>
      </c>
      <c r="E1123" s="5">
        <v>0.15728449000167999</v>
      </c>
      <c r="F1123">
        <v>6</v>
      </c>
      <c r="G1123" t="s">
        <v>13</v>
      </c>
      <c r="H1123" t="s">
        <v>39</v>
      </c>
      <c r="I1123" t="s">
        <v>32</v>
      </c>
      <c r="J1123" s="1">
        <v>45511</v>
      </c>
      <c r="K1123" t="s">
        <v>71</v>
      </c>
      <c r="L1123" t="s">
        <v>72</v>
      </c>
      <c r="M1123" t="s">
        <v>1479</v>
      </c>
      <c r="N1123">
        <v>2024</v>
      </c>
    </row>
    <row r="1124" spans="1:14" x14ac:dyDescent="0.25">
      <c r="A1124" t="s">
        <v>1348</v>
      </c>
      <c r="B1124" t="s">
        <v>1350</v>
      </c>
      <c r="C1124">
        <v>5951</v>
      </c>
      <c r="D1124">
        <v>936</v>
      </c>
      <c r="E1124" s="5">
        <v>0.15728449000167999</v>
      </c>
      <c r="F1124">
        <v>6</v>
      </c>
      <c r="G1124" t="s">
        <v>13</v>
      </c>
      <c r="H1124" t="s">
        <v>39</v>
      </c>
      <c r="I1124" t="s">
        <v>32</v>
      </c>
      <c r="J1124" s="1">
        <v>44768</v>
      </c>
      <c r="K1124" t="s">
        <v>98</v>
      </c>
      <c r="L1124" t="s">
        <v>99</v>
      </c>
      <c r="M1124" t="s">
        <v>1472</v>
      </c>
      <c r="N1124">
        <v>2022</v>
      </c>
    </row>
    <row r="1125" spans="1:14" x14ac:dyDescent="0.25">
      <c r="A1125" t="s">
        <v>1351</v>
      </c>
      <c r="B1125" t="s">
        <v>1352</v>
      </c>
      <c r="C1125">
        <v>992</v>
      </c>
      <c r="D1125">
        <v>177</v>
      </c>
      <c r="E1125" s="5">
        <v>0.178427419354839</v>
      </c>
      <c r="F1125">
        <v>6</v>
      </c>
      <c r="G1125" t="s">
        <v>13</v>
      </c>
      <c r="H1125" t="s">
        <v>82</v>
      </c>
      <c r="I1125" t="s">
        <v>15</v>
      </c>
      <c r="J1125" s="1">
        <v>45304</v>
      </c>
      <c r="K1125" t="s">
        <v>42</v>
      </c>
      <c r="L1125" t="s">
        <v>43</v>
      </c>
      <c r="M1125" t="s">
        <v>1478</v>
      </c>
      <c r="N1125">
        <v>2024</v>
      </c>
    </row>
    <row r="1126" spans="1:14" x14ac:dyDescent="0.25">
      <c r="A1126" t="s">
        <v>1351</v>
      </c>
      <c r="B1126" t="s">
        <v>1352</v>
      </c>
      <c r="C1126">
        <v>4699</v>
      </c>
      <c r="D1126">
        <v>625</v>
      </c>
      <c r="E1126" s="5">
        <v>0.13300702277080201</v>
      </c>
      <c r="F1126">
        <v>18</v>
      </c>
      <c r="G1126" t="s">
        <v>30</v>
      </c>
      <c r="H1126" t="s">
        <v>57</v>
      </c>
      <c r="I1126" t="s">
        <v>40</v>
      </c>
      <c r="J1126" s="1">
        <v>45304</v>
      </c>
      <c r="K1126" t="s">
        <v>42</v>
      </c>
      <c r="L1126" t="s">
        <v>43</v>
      </c>
      <c r="M1126" t="s">
        <v>1478</v>
      </c>
      <c r="N1126">
        <v>2024</v>
      </c>
    </row>
    <row r="1127" spans="1:14" x14ac:dyDescent="0.25">
      <c r="A1127" t="s">
        <v>1353</v>
      </c>
      <c r="B1127" t="s">
        <v>1354</v>
      </c>
      <c r="C1127">
        <v>5557</v>
      </c>
      <c r="D1127">
        <v>2114</v>
      </c>
      <c r="E1127" s="5">
        <v>0.380421090516466</v>
      </c>
      <c r="F1127">
        <v>17</v>
      </c>
      <c r="G1127" t="s">
        <v>13</v>
      </c>
      <c r="H1127" t="s">
        <v>39</v>
      </c>
      <c r="I1127" t="s">
        <v>40</v>
      </c>
      <c r="J1127" s="1">
        <v>44344</v>
      </c>
      <c r="K1127" t="s">
        <v>98</v>
      </c>
      <c r="L1127" t="s">
        <v>117</v>
      </c>
      <c r="M1127" t="s">
        <v>1473</v>
      </c>
      <c r="N1127">
        <v>2021</v>
      </c>
    </row>
    <row r="1128" spans="1:14" x14ac:dyDescent="0.25">
      <c r="A1128" t="s">
        <v>1355</v>
      </c>
      <c r="B1128" t="s">
        <v>1356</v>
      </c>
      <c r="C1128">
        <v>3436</v>
      </c>
      <c r="D1128">
        <v>933</v>
      </c>
      <c r="E1128" s="5">
        <v>0.27153667054714797</v>
      </c>
      <c r="F1128">
        <v>3</v>
      </c>
      <c r="G1128" t="s">
        <v>13</v>
      </c>
      <c r="H1128" t="s">
        <v>14</v>
      </c>
      <c r="I1128" t="s">
        <v>47</v>
      </c>
      <c r="J1128" s="1">
        <v>44360</v>
      </c>
      <c r="K1128" t="s">
        <v>71</v>
      </c>
      <c r="L1128" t="s">
        <v>72</v>
      </c>
      <c r="M1128" t="s">
        <v>1470</v>
      </c>
      <c r="N1128">
        <v>2021</v>
      </c>
    </row>
    <row r="1129" spans="1:14" x14ac:dyDescent="0.25">
      <c r="A1129" t="s">
        <v>1357</v>
      </c>
      <c r="B1129" t="s">
        <v>1358</v>
      </c>
      <c r="C1129">
        <v>9840</v>
      </c>
      <c r="D1129">
        <v>3870</v>
      </c>
      <c r="E1129" s="5">
        <v>0.39329268292682901</v>
      </c>
      <c r="F1129">
        <v>11</v>
      </c>
      <c r="G1129" t="s">
        <v>13</v>
      </c>
      <c r="H1129" t="s">
        <v>28</v>
      </c>
      <c r="I1129" t="s">
        <v>32</v>
      </c>
      <c r="J1129" s="1">
        <v>45041</v>
      </c>
      <c r="K1129" t="s">
        <v>71</v>
      </c>
      <c r="L1129" t="s">
        <v>86</v>
      </c>
      <c r="M1129" t="s">
        <v>1481</v>
      </c>
      <c r="N1129">
        <v>2023</v>
      </c>
    </row>
    <row r="1130" spans="1:14" x14ac:dyDescent="0.25">
      <c r="A1130" t="s">
        <v>1359</v>
      </c>
      <c r="B1130" t="s">
        <v>1360</v>
      </c>
      <c r="C1130">
        <v>7620</v>
      </c>
      <c r="D1130">
        <v>125</v>
      </c>
      <c r="E1130" s="5">
        <v>1.6404199475065599E-2</v>
      </c>
      <c r="F1130">
        <v>4</v>
      </c>
      <c r="G1130" t="s">
        <v>30</v>
      </c>
      <c r="H1130" t="s">
        <v>64</v>
      </c>
      <c r="I1130" t="s">
        <v>40</v>
      </c>
      <c r="J1130" s="1">
        <v>44382</v>
      </c>
      <c r="K1130" t="s">
        <v>42</v>
      </c>
      <c r="L1130" t="s">
        <v>92</v>
      </c>
      <c r="M1130" t="s">
        <v>1472</v>
      </c>
      <c r="N1130">
        <v>2021</v>
      </c>
    </row>
    <row r="1131" spans="1:14" x14ac:dyDescent="0.25">
      <c r="A1131" t="s">
        <v>1359</v>
      </c>
      <c r="B1131" t="s">
        <v>1361</v>
      </c>
      <c r="C1131">
        <v>7620</v>
      </c>
      <c r="D1131">
        <v>125</v>
      </c>
      <c r="E1131" s="5">
        <v>1.6404199475065599E-2</v>
      </c>
      <c r="F1131">
        <v>4</v>
      </c>
      <c r="G1131" t="s">
        <v>30</v>
      </c>
      <c r="H1131" t="s">
        <v>64</v>
      </c>
      <c r="I1131" t="s">
        <v>40</v>
      </c>
      <c r="J1131" s="1">
        <v>45577</v>
      </c>
      <c r="K1131" t="s">
        <v>42</v>
      </c>
      <c r="L1131" t="s">
        <v>92</v>
      </c>
      <c r="M1131" t="s">
        <v>1474</v>
      </c>
      <c r="N1131">
        <v>2024</v>
      </c>
    </row>
    <row r="1132" spans="1:14" x14ac:dyDescent="0.25">
      <c r="A1132" t="s">
        <v>1362</v>
      </c>
      <c r="B1132" t="s">
        <v>1363</v>
      </c>
      <c r="C1132">
        <v>4314</v>
      </c>
      <c r="D1132">
        <v>1591</v>
      </c>
      <c r="E1132" s="5">
        <v>0.36879925822902199</v>
      </c>
      <c r="F1132">
        <v>5</v>
      </c>
      <c r="G1132" t="s">
        <v>45</v>
      </c>
      <c r="H1132" t="s">
        <v>46</v>
      </c>
      <c r="I1132" t="s">
        <v>32</v>
      </c>
      <c r="J1132" s="1">
        <v>44473</v>
      </c>
      <c r="K1132" t="s">
        <v>25</v>
      </c>
      <c r="L1132" t="s">
        <v>26</v>
      </c>
      <c r="M1132" t="s">
        <v>1474</v>
      </c>
      <c r="N1132">
        <v>2021</v>
      </c>
    </row>
    <row r="1133" spans="1:14" x14ac:dyDescent="0.25">
      <c r="A1133" t="s">
        <v>1364</v>
      </c>
      <c r="B1133" t="s">
        <v>1365</v>
      </c>
      <c r="C1133">
        <v>8851</v>
      </c>
      <c r="D1133">
        <v>999</v>
      </c>
      <c r="E1133" s="5">
        <v>0.112868602417806</v>
      </c>
      <c r="F1133">
        <v>12</v>
      </c>
      <c r="G1133" t="s">
        <v>13</v>
      </c>
      <c r="H1133" t="s">
        <v>39</v>
      </c>
      <c r="I1133" t="s">
        <v>15</v>
      </c>
      <c r="J1133" s="1">
        <v>45329</v>
      </c>
      <c r="K1133" t="s">
        <v>98</v>
      </c>
      <c r="L1133" t="s">
        <v>107</v>
      </c>
      <c r="M1133" t="s">
        <v>1477</v>
      </c>
      <c r="N1133">
        <v>2024</v>
      </c>
    </row>
    <row r="1134" spans="1:14" x14ac:dyDescent="0.25">
      <c r="A1134" t="s">
        <v>1366</v>
      </c>
      <c r="B1134" t="s">
        <v>1367</v>
      </c>
      <c r="C1134">
        <v>544</v>
      </c>
      <c r="D1134">
        <v>272</v>
      </c>
      <c r="E1134" s="5">
        <v>0.5</v>
      </c>
      <c r="F1134">
        <v>2</v>
      </c>
      <c r="G1134" t="s">
        <v>13</v>
      </c>
      <c r="H1134" t="s">
        <v>39</v>
      </c>
      <c r="I1134" t="s">
        <v>32</v>
      </c>
      <c r="J1134" s="1">
        <v>44260</v>
      </c>
      <c r="K1134" t="s">
        <v>71</v>
      </c>
      <c r="L1134" t="s">
        <v>138</v>
      </c>
      <c r="M1134" t="s">
        <v>1476</v>
      </c>
      <c r="N1134">
        <v>2021</v>
      </c>
    </row>
    <row r="1135" spans="1:14" x14ac:dyDescent="0.25">
      <c r="A1135" t="s">
        <v>1366</v>
      </c>
      <c r="B1135" t="s">
        <v>1368</v>
      </c>
      <c r="C1135">
        <v>544</v>
      </c>
      <c r="D1135">
        <v>272</v>
      </c>
      <c r="E1135" s="5">
        <v>0.5</v>
      </c>
      <c r="F1135">
        <v>2</v>
      </c>
      <c r="G1135" t="s">
        <v>13</v>
      </c>
      <c r="H1135" t="s">
        <v>39</v>
      </c>
      <c r="I1135" t="s">
        <v>32</v>
      </c>
      <c r="J1135" s="1">
        <v>45102</v>
      </c>
      <c r="K1135" t="s">
        <v>25</v>
      </c>
      <c r="L1135" t="s">
        <v>26</v>
      </c>
      <c r="M1135" t="s">
        <v>1470</v>
      </c>
      <c r="N1135">
        <v>2023</v>
      </c>
    </row>
    <row r="1136" spans="1:14" x14ac:dyDescent="0.25">
      <c r="A1136" t="s">
        <v>1369</v>
      </c>
      <c r="B1136" t="s">
        <v>1370</v>
      </c>
      <c r="C1136">
        <v>537</v>
      </c>
      <c r="D1136">
        <v>142</v>
      </c>
      <c r="E1136" s="5">
        <v>0.26443202979515801</v>
      </c>
      <c r="F1136">
        <v>20</v>
      </c>
      <c r="G1136" t="s">
        <v>30</v>
      </c>
      <c r="H1136" t="s">
        <v>57</v>
      </c>
      <c r="I1136" t="s">
        <v>40</v>
      </c>
      <c r="J1136" s="1">
        <v>44410</v>
      </c>
      <c r="K1136" t="s">
        <v>21</v>
      </c>
      <c r="L1136" t="s">
        <v>172</v>
      </c>
      <c r="M1136" t="s">
        <v>1479</v>
      </c>
      <c r="N1136">
        <v>2021</v>
      </c>
    </row>
    <row r="1137" spans="1:14" x14ac:dyDescent="0.25">
      <c r="A1137" t="s">
        <v>1371</v>
      </c>
      <c r="B1137" t="s">
        <v>1372</v>
      </c>
      <c r="C1137">
        <v>5944</v>
      </c>
      <c r="D1137">
        <v>2661</v>
      </c>
      <c r="E1137" s="5">
        <v>0.44767833109017502</v>
      </c>
      <c r="F1137">
        <v>7</v>
      </c>
      <c r="G1137" t="s">
        <v>13</v>
      </c>
      <c r="H1137" t="s">
        <v>39</v>
      </c>
      <c r="I1137" t="s">
        <v>40</v>
      </c>
      <c r="J1137" s="1">
        <v>44637</v>
      </c>
      <c r="K1137" t="s">
        <v>71</v>
      </c>
      <c r="L1137" t="s">
        <v>86</v>
      </c>
      <c r="M1137" t="s">
        <v>1476</v>
      </c>
      <c r="N1137">
        <v>2022</v>
      </c>
    </row>
    <row r="1138" spans="1:14" x14ac:dyDescent="0.25">
      <c r="A1138" t="s">
        <v>1373</v>
      </c>
      <c r="B1138" t="s">
        <v>1374</v>
      </c>
      <c r="C1138">
        <v>2258</v>
      </c>
      <c r="D1138">
        <v>135</v>
      </c>
      <c r="E1138" s="5">
        <v>5.9787422497785597E-2</v>
      </c>
      <c r="F1138">
        <v>18</v>
      </c>
      <c r="G1138" t="s">
        <v>13</v>
      </c>
      <c r="H1138" t="s">
        <v>28</v>
      </c>
      <c r="I1138" t="s">
        <v>47</v>
      </c>
      <c r="J1138" s="1">
        <v>45329</v>
      </c>
      <c r="K1138" t="s">
        <v>17</v>
      </c>
      <c r="L1138" t="s">
        <v>18</v>
      </c>
      <c r="M1138" t="s">
        <v>1477</v>
      </c>
      <c r="N1138">
        <v>2024</v>
      </c>
    </row>
    <row r="1139" spans="1:14" x14ac:dyDescent="0.25">
      <c r="A1139" t="s">
        <v>1373</v>
      </c>
      <c r="B1139" t="s">
        <v>1375</v>
      </c>
      <c r="C1139">
        <v>2258</v>
      </c>
      <c r="D1139">
        <v>135</v>
      </c>
      <c r="E1139" s="5">
        <v>5.9787422497785597E-2</v>
      </c>
      <c r="F1139">
        <v>18</v>
      </c>
      <c r="G1139" t="s">
        <v>13</v>
      </c>
      <c r="H1139" t="s">
        <v>28</v>
      </c>
      <c r="I1139" t="s">
        <v>47</v>
      </c>
      <c r="J1139" s="1">
        <v>44792</v>
      </c>
      <c r="K1139" t="s">
        <v>42</v>
      </c>
      <c r="L1139" t="s">
        <v>75</v>
      </c>
      <c r="M1139" t="s">
        <v>1479</v>
      </c>
      <c r="N1139">
        <v>2022</v>
      </c>
    </row>
    <row r="1140" spans="1:14" x14ac:dyDescent="0.25">
      <c r="A1140" t="s">
        <v>1376</v>
      </c>
      <c r="B1140" t="s">
        <v>1377</v>
      </c>
      <c r="C1140">
        <v>9609</v>
      </c>
      <c r="D1140">
        <v>4339</v>
      </c>
      <c r="E1140" s="5">
        <v>0.45155583307316099</v>
      </c>
      <c r="F1140">
        <v>3</v>
      </c>
      <c r="G1140" t="s">
        <v>45</v>
      </c>
      <c r="H1140" t="s">
        <v>60</v>
      </c>
      <c r="I1140" t="s">
        <v>32</v>
      </c>
      <c r="J1140" s="1">
        <v>45554</v>
      </c>
      <c r="K1140" t="s">
        <v>71</v>
      </c>
      <c r="L1140" t="s">
        <v>138</v>
      </c>
      <c r="M1140" t="s">
        <v>1480</v>
      </c>
      <c r="N1140">
        <v>2024</v>
      </c>
    </row>
    <row r="1141" spans="1:14" x14ac:dyDescent="0.25">
      <c r="A1141" t="s">
        <v>1376</v>
      </c>
      <c r="B1141" t="s">
        <v>1378</v>
      </c>
      <c r="C1141">
        <v>9609</v>
      </c>
      <c r="D1141">
        <v>4339</v>
      </c>
      <c r="E1141" s="5">
        <v>0.45155583307316099</v>
      </c>
      <c r="F1141">
        <v>3</v>
      </c>
      <c r="G1141" t="s">
        <v>45</v>
      </c>
      <c r="H1141" t="s">
        <v>60</v>
      </c>
      <c r="I1141" t="s">
        <v>32</v>
      </c>
      <c r="J1141" s="1">
        <v>43926</v>
      </c>
      <c r="K1141" t="s">
        <v>98</v>
      </c>
      <c r="L1141" t="s">
        <v>107</v>
      </c>
      <c r="M1141" t="s">
        <v>1481</v>
      </c>
      <c r="N1141">
        <v>2020</v>
      </c>
    </row>
    <row r="1142" spans="1:14" x14ac:dyDescent="0.25">
      <c r="A1142" t="s">
        <v>1379</v>
      </c>
      <c r="B1142" t="s">
        <v>1380</v>
      </c>
      <c r="C1142">
        <v>9952</v>
      </c>
      <c r="D1142">
        <v>3301</v>
      </c>
      <c r="E1142" s="5">
        <v>0.33169212218649502</v>
      </c>
      <c r="F1142">
        <v>15</v>
      </c>
      <c r="G1142" t="s">
        <v>13</v>
      </c>
      <c r="H1142" t="s">
        <v>14</v>
      </c>
      <c r="I1142" t="s">
        <v>32</v>
      </c>
      <c r="J1142" s="1">
        <v>44995</v>
      </c>
      <c r="K1142" t="s">
        <v>71</v>
      </c>
      <c r="L1142" t="s">
        <v>72</v>
      </c>
      <c r="M1142" t="s">
        <v>1476</v>
      </c>
      <c r="N1142">
        <v>2023</v>
      </c>
    </row>
    <row r="1143" spans="1:14" x14ac:dyDescent="0.25">
      <c r="A1143" t="s">
        <v>1381</v>
      </c>
      <c r="B1143" t="s">
        <v>1382</v>
      </c>
      <c r="C1143">
        <v>9873</v>
      </c>
      <c r="D1143">
        <v>4585</v>
      </c>
      <c r="E1143" s="5">
        <v>0.46439785272966699</v>
      </c>
      <c r="F1143">
        <v>7</v>
      </c>
      <c r="G1143" t="s">
        <v>30</v>
      </c>
      <c r="H1143" t="s">
        <v>64</v>
      </c>
      <c r="I1143" t="s">
        <v>47</v>
      </c>
      <c r="J1143" s="1">
        <v>44053</v>
      </c>
      <c r="K1143" t="s">
        <v>98</v>
      </c>
      <c r="L1143" t="s">
        <v>99</v>
      </c>
      <c r="M1143" t="s">
        <v>1479</v>
      </c>
      <c r="N1143">
        <v>2020</v>
      </c>
    </row>
    <row r="1144" spans="1:14" x14ac:dyDescent="0.25">
      <c r="A1144" t="s">
        <v>1383</v>
      </c>
      <c r="B1144" t="s">
        <v>1384</v>
      </c>
      <c r="C1144">
        <v>3560</v>
      </c>
      <c r="D1144">
        <v>1335</v>
      </c>
      <c r="E1144" s="5">
        <v>0.375</v>
      </c>
      <c r="F1144">
        <v>15</v>
      </c>
      <c r="G1144" t="s">
        <v>13</v>
      </c>
      <c r="H1144" t="s">
        <v>14</v>
      </c>
      <c r="I1144" t="s">
        <v>65</v>
      </c>
      <c r="J1144" s="1">
        <v>43950</v>
      </c>
      <c r="K1144" t="s">
        <v>25</v>
      </c>
      <c r="L1144" t="s">
        <v>51</v>
      </c>
      <c r="M1144" t="s">
        <v>1481</v>
      </c>
      <c r="N1144">
        <v>2020</v>
      </c>
    </row>
    <row r="1145" spans="1:14" x14ac:dyDescent="0.25">
      <c r="A1145" t="s">
        <v>1383</v>
      </c>
      <c r="B1145" t="s">
        <v>1385</v>
      </c>
      <c r="C1145">
        <v>3560</v>
      </c>
      <c r="D1145">
        <v>1335</v>
      </c>
      <c r="E1145" s="5">
        <v>0.375</v>
      </c>
      <c r="F1145">
        <v>15</v>
      </c>
      <c r="G1145" t="s">
        <v>13</v>
      </c>
      <c r="H1145" t="s">
        <v>14</v>
      </c>
      <c r="I1145" t="s">
        <v>65</v>
      </c>
      <c r="J1145" s="1">
        <v>45001</v>
      </c>
      <c r="K1145" t="s">
        <v>21</v>
      </c>
      <c r="L1145" t="s">
        <v>63</v>
      </c>
      <c r="M1145" t="s">
        <v>1476</v>
      </c>
      <c r="N1145">
        <v>2023</v>
      </c>
    </row>
    <row r="1146" spans="1:14" x14ac:dyDescent="0.25">
      <c r="A1146" t="s">
        <v>1386</v>
      </c>
      <c r="B1146" t="s">
        <v>1387</v>
      </c>
      <c r="C1146">
        <v>6528</v>
      </c>
      <c r="D1146">
        <v>76</v>
      </c>
      <c r="E1146" s="5">
        <v>1.16421568627451E-2</v>
      </c>
      <c r="F1146">
        <v>9</v>
      </c>
      <c r="G1146" t="s">
        <v>13</v>
      </c>
      <c r="H1146" t="s">
        <v>82</v>
      </c>
      <c r="I1146" t="s">
        <v>32</v>
      </c>
      <c r="J1146" s="1">
        <v>43955</v>
      </c>
      <c r="K1146" t="s">
        <v>25</v>
      </c>
      <c r="L1146" t="s">
        <v>26</v>
      </c>
      <c r="M1146" t="s">
        <v>1473</v>
      </c>
      <c r="N1146">
        <v>2020</v>
      </c>
    </row>
    <row r="1147" spans="1:14" x14ac:dyDescent="0.25">
      <c r="A1147" t="s">
        <v>1386</v>
      </c>
      <c r="B1147" t="s">
        <v>1387</v>
      </c>
      <c r="C1147">
        <v>8930</v>
      </c>
      <c r="D1147">
        <v>3374</v>
      </c>
      <c r="E1147" s="5">
        <v>0.37782754759238502</v>
      </c>
      <c r="F1147">
        <v>12</v>
      </c>
      <c r="G1147" t="s">
        <v>45</v>
      </c>
      <c r="H1147" t="s">
        <v>60</v>
      </c>
      <c r="I1147" t="s">
        <v>32</v>
      </c>
      <c r="J1147" s="1">
        <v>43955</v>
      </c>
      <c r="K1147" t="s">
        <v>25</v>
      </c>
      <c r="L1147" t="s">
        <v>26</v>
      </c>
      <c r="M1147" t="s">
        <v>1473</v>
      </c>
      <c r="N1147">
        <v>2020</v>
      </c>
    </row>
    <row r="1148" spans="1:14" x14ac:dyDescent="0.25">
      <c r="A1148" t="s">
        <v>1388</v>
      </c>
      <c r="B1148" t="s">
        <v>1389</v>
      </c>
      <c r="C1148">
        <v>4521</v>
      </c>
      <c r="D1148">
        <v>1778</v>
      </c>
      <c r="E1148" s="5">
        <v>0.39327582393275801</v>
      </c>
      <c r="F1148">
        <v>9</v>
      </c>
      <c r="G1148" t="s">
        <v>30</v>
      </c>
      <c r="H1148" t="s">
        <v>64</v>
      </c>
      <c r="I1148" t="s">
        <v>32</v>
      </c>
      <c r="J1148" s="1">
        <v>45580</v>
      </c>
      <c r="K1148" t="s">
        <v>17</v>
      </c>
      <c r="L1148" t="s">
        <v>150</v>
      </c>
      <c r="M1148" t="s">
        <v>1474</v>
      </c>
      <c r="N1148">
        <v>2024</v>
      </c>
    </row>
    <row r="1149" spans="1:14" x14ac:dyDescent="0.25">
      <c r="A1149" t="s">
        <v>1390</v>
      </c>
      <c r="B1149" t="s">
        <v>1391</v>
      </c>
      <c r="C1149">
        <v>7091</v>
      </c>
      <c r="D1149">
        <v>2317</v>
      </c>
      <c r="E1149" s="5">
        <v>0.32675222112537</v>
      </c>
      <c r="F1149">
        <v>10</v>
      </c>
      <c r="G1149" t="s">
        <v>45</v>
      </c>
      <c r="H1149" t="s">
        <v>60</v>
      </c>
      <c r="I1149" t="s">
        <v>47</v>
      </c>
      <c r="J1149" s="1">
        <v>44721</v>
      </c>
      <c r="K1149" t="s">
        <v>42</v>
      </c>
      <c r="L1149" t="s">
        <v>75</v>
      </c>
      <c r="M1149" t="s">
        <v>1470</v>
      </c>
      <c r="N1149">
        <v>2022</v>
      </c>
    </row>
    <row r="1150" spans="1:14" x14ac:dyDescent="0.25">
      <c r="A1150" t="s">
        <v>1392</v>
      </c>
      <c r="B1150" t="s">
        <v>703</v>
      </c>
      <c r="C1150">
        <v>2101</v>
      </c>
      <c r="D1150">
        <v>287</v>
      </c>
      <c r="E1150" s="5">
        <v>0.13660161827701101</v>
      </c>
      <c r="F1150">
        <v>8</v>
      </c>
      <c r="G1150" t="s">
        <v>30</v>
      </c>
      <c r="H1150" t="s">
        <v>31</v>
      </c>
      <c r="I1150" t="s">
        <v>65</v>
      </c>
      <c r="J1150" s="1">
        <v>44016</v>
      </c>
      <c r="K1150" t="s">
        <v>98</v>
      </c>
      <c r="L1150" t="s">
        <v>117</v>
      </c>
      <c r="M1150" t="s">
        <v>1472</v>
      </c>
      <c r="N1150">
        <v>2020</v>
      </c>
    </row>
    <row r="1151" spans="1:14" x14ac:dyDescent="0.25">
      <c r="A1151" t="s">
        <v>1392</v>
      </c>
      <c r="B1151" t="s">
        <v>1393</v>
      </c>
      <c r="C1151">
        <v>2101</v>
      </c>
      <c r="D1151">
        <v>287</v>
      </c>
      <c r="E1151" s="5">
        <v>0.13660161827701101</v>
      </c>
      <c r="F1151">
        <v>8</v>
      </c>
      <c r="G1151" t="s">
        <v>30</v>
      </c>
      <c r="H1151" t="s">
        <v>31</v>
      </c>
      <c r="I1151" t="s">
        <v>65</v>
      </c>
      <c r="J1151" s="1">
        <v>45025</v>
      </c>
      <c r="K1151" t="s">
        <v>21</v>
      </c>
      <c r="L1151" t="s">
        <v>22</v>
      </c>
      <c r="M1151" t="s">
        <v>1481</v>
      </c>
      <c r="N1151">
        <v>2023</v>
      </c>
    </row>
    <row r="1152" spans="1:14" x14ac:dyDescent="0.25">
      <c r="A1152" t="s">
        <v>1394</v>
      </c>
      <c r="B1152" t="s">
        <v>1395</v>
      </c>
      <c r="C1152">
        <v>8644</v>
      </c>
      <c r="D1152">
        <v>1968</v>
      </c>
      <c r="E1152" s="5">
        <v>0.227672373900972</v>
      </c>
      <c r="F1152">
        <v>9</v>
      </c>
      <c r="G1152" t="s">
        <v>30</v>
      </c>
      <c r="H1152" t="s">
        <v>64</v>
      </c>
      <c r="I1152" t="s">
        <v>32</v>
      </c>
      <c r="J1152" s="1">
        <v>45254</v>
      </c>
      <c r="K1152" t="s">
        <v>21</v>
      </c>
      <c r="L1152" t="s">
        <v>22</v>
      </c>
      <c r="M1152" t="s">
        <v>1475</v>
      </c>
      <c r="N1152">
        <v>2023</v>
      </c>
    </row>
    <row r="1153" spans="1:14" x14ac:dyDescent="0.25">
      <c r="A1153" t="s">
        <v>1396</v>
      </c>
      <c r="B1153" t="s">
        <v>1397</v>
      </c>
      <c r="C1153">
        <v>6672</v>
      </c>
      <c r="D1153">
        <v>3319</v>
      </c>
      <c r="E1153" s="5">
        <v>0.49745203836930502</v>
      </c>
      <c r="F1153">
        <v>4</v>
      </c>
      <c r="G1153" t="s">
        <v>45</v>
      </c>
      <c r="H1153" t="s">
        <v>46</v>
      </c>
      <c r="I1153" t="s">
        <v>15</v>
      </c>
      <c r="J1153" s="1">
        <v>45259</v>
      </c>
      <c r="K1153" t="s">
        <v>71</v>
      </c>
      <c r="L1153" t="s">
        <v>72</v>
      </c>
      <c r="M1153" t="s">
        <v>1475</v>
      </c>
      <c r="N1153">
        <v>2023</v>
      </c>
    </row>
    <row r="1154" spans="1:14" x14ac:dyDescent="0.25">
      <c r="A1154" t="s">
        <v>1396</v>
      </c>
      <c r="B1154" t="s">
        <v>1398</v>
      </c>
      <c r="C1154">
        <v>6672</v>
      </c>
      <c r="D1154">
        <v>3319</v>
      </c>
      <c r="E1154" s="5">
        <v>0.49745203836930502</v>
      </c>
      <c r="F1154">
        <v>4</v>
      </c>
      <c r="G1154" t="s">
        <v>45</v>
      </c>
      <c r="H1154" t="s">
        <v>46</v>
      </c>
      <c r="I1154" t="s">
        <v>15</v>
      </c>
      <c r="J1154" s="1">
        <v>45432</v>
      </c>
      <c r="K1154" t="s">
        <v>42</v>
      </c>
      <c r="L1154" t="s">
        <v>75</v>
      </c>
      <c r="M1154" t="s">
        <v>1473</v>
      </c>
      <c r="N1154">
        <v>2024</v>
      </c>
    </row>
    <row r="1155" spans="1:14" x14ac:dyDescent="0.25">
      <c r="A1155" t="s">
        <v>1399</v>
      </c>
      <c r="B1155" t="s">
        <v>1400</v>
      </c>
      <c r="C1155">
        <v>4699</v>
      </c>
      <c r="D1155">
        <v>103</v>
      </c>
      <c r="E1155" s="5">
        <v>2.19195573526282E-2</v>
      </c>
      <c r="F1155">
        <v>12</v>
      </c>
      <c r="G1155" t="s">
        <v>30</v>
      </c>
      <c r="H1155" t="s">
        <v>78</v>
      </c>
      <c r="I1155" t="s">
        <v>15</v>
      </c>
      <c r="J1155" s="1">
        <v>45433</v>
      </c>
      <c r="K1155" t="s">
        <v>98</v>
      </c>
      <c r="L1155" t="s">
        <v>107</v>
      </c>
      <c r="M1155" t="s">
        <v>1473</v>
      </c>
      <c r="N1155">
        <v>2024</v>
      </c>
    </row>
    <row r="1156" spans="1:14" x14ac:dyDescent="0.25">
      <c r="A1156" t="s">
        <v>1401</v>
      </c>
      <c r="B1156" t="s">
        <v>1402</v>
      </c>
      <c r="C1156">
        <v>4897</v>
      </c>
      <c r="D1156">
        <v>1001</v>
      </c>
      <c r="E1156" s="5">
        <v>0.20441086379416001</v>
      </c>
      <c r="F1156">
        <v>14</v>
      </c>
      <c r="G1156" t="s">
        <v>45</v>
      </c>
      <c r="H1156" t="s">
        <v>60</v>
      </c>
      <c r="I1156" t="s">
        <v>32</v>
      </c>
      <c r="J1156" s="1">
        <v>44537</v>
      </c>
      <c r="K1156" t="s">
        <v>71</v>
      </c>
      <c r="L1156" t="s">
        <v>138</v>
      </c>
      <c r="M1156" t="s">
        <v>1471</v>
      </c>
      <c r="N1156">
        <v>2021</v>
      </c>
    </row>
    <row r="1157" spans="1:14" x14ac:dyDescent="0.25">
      <c r="A1157" t="s">
        <v>1401</v>
      </c>
      <c r="B1157" t="s">
        <v>1403</v>
      </c>
      <c r="C1157">
        <v>4897</v>
      </c>
      <c r="D1157">
        <v>1001</v>
      </c>
      <c r="E1157" s="5">
        <v>0.20441086379416001</v>
      </c>
      <c r="F1157">
        <v>14</v>
      </c>
      <c r="G1157" t="s">
        <v>45</v>
      </c>
      <c r="H1157" t="s">
        <v>60</v>
      </c>
      <c r="I1157" t="s">
        <v>32</v>
      </c>
      <c r="J1157" s="1">
        <v>45663</v>
      </c>
      <c r="K1157" t="s">
        <v>98</v>
      </c>
      <c r="L1157" t="s">
        <v>107</v>
      </c>
      <c r="M1157" t="s">
        <v>1478</v>
      </c>
      <c r="N1157">
        <v>2025</v>
      </c>
    </row>
    <row r="1158" spans="1:14" x14ac:dyDescent="0.25">
      <c r="A1158" t="s">
        <v>1404</v>
      </c>
      <c r="B1158" t="s">
        <v>1405</v>
      </c>
      <c r="C1158">
        <v>5460</v>
      </c>
      <c r="D1158">
        <v>2088</v>
      </c>
      <c r="E1158" s="5">
        <v>0.382417582417582</v>
      </c>
      <c r="F1158">
        <v>14</v>
      </c>
      <c r="G1158" t="s">
        <v>45</v>
      </c>
      <c r="H1158" t="s">
        <v>46</v>
      </c>
      <c r="I1158" t="s">
        <v>32</v>
      </c>
      <c r="J1158" s="1">
        <v>44755</v>
      </c>
      <c r="K1158" t="s">
        <v>25</v>
      </c>
      <c r="L1158" t="s">
        <v>26</v>
      </c>
      <c r="M1158" t="s">
        <v>1472</v>
      </c>
      <c r="N1158">
        <v>2022</v>
      </c>
    </row>
    <row r="1159" spans="1:14" x14ac:dyDescent="0.25">
      <c r="A1159" t="s">
        <v>1404</v>
      </c>
      <c r="B1159" t="s">
        <v>1406</v>
      </c>
      <c r="C1159">
        <v>5460</v>
      </c>
      <c r="D1159">
        <v>2088</v>
      </c>
      <c r="E1159" s="5">
        <v>0.382417582417582</v>
      </c>
      <c r="F1159">
        <v>14</v>
      </c>
      <c r="G1159" t="s">
        <v>45</v>
      </c>
      <c r="H1159" t="s">
        <v>46</v>
      </c>
      <c r="I1159" t="s">
        <v>32</v>
      </c>
      <c r="J1159" s="1">
        <v>43940</v>
      </c>
      <c r="K1159" t="s">
        <v>98</v>
      </c>
      <c r="L1159" t="s">
        <v>107</v>
      </c>
      <c r="M1159" t="s">
        <v>1481</v>
      </c>
      <c r="N1159">
        <v>2020</v>
      </c>
    </row>
    <row r="1160" spans="1:14" x14ac:dyDescent="0.25">
      <c r="A1160" t="s">
        <v>1407</v>
      </c>
      <c r="B1160" t="s">
        <v>1408</v>
      </c>
      <c r="C1160">
        <v>9272</v>
      </c>
      <c r="D1160">
        <v>1771</v>
      </c>
      <c r="E1160" s="5">
        <v>0.191005176876618</v>
      </c>
      <c r="F1160">
        <v>19</v>
      </c>
      <c r="G1160" t="s">
        <v>30</v>
      </c>
      <c r="H1160" t="s">
        <v>57</v>
      </c>
      <c r="I1160" t="s">
        <v>15</v>
      </c>
      <c r="J1160" s="1">
        <v>45610</v>
      </c>
      <c r="K1160" t="s">
        <v>21</v>
      </c>
      <c r="L1160" t="s">
        <v>63</v>
      </c>
      <c r="M1160" t="s">
        <v>1475</v>
      </c>
      <c r="N1160">
        <v>2024</v>
      </c>
    </row>
    <row r="1161" spans="1:14" x14ac:dyDescent="0.25">
      <c r="A1161" t="s">
        <v>1407</v>
      </c>
      <c r="B1161" t="s">
        <v>1409</v>
      </c>
      <c r="C1161">
        <v>9272</v>
      </c>
      <c r="D1161">
        <v>1771</v>
      </c>
      <c r="E1161" s="5">
        <v>0.191005176876618</v>
      </c>
      <c r="F1161">
        <v>19</v>
      </c>
      <c r="G1161" t="s">
        <v>30</v>
      </c>
      <c r="H1161" t="s">
        <v>57</v>
      </c>
      <c r="I1161" t="s">
        <v>15</v>
      </c>
      <c r="J1161" s="1">
        <v>43939</v>
      </c>
      <c r="K1161" t="s">
        <v>71</v>
      </c>
      <c r="L1161" t="s">
        <v>72</v>
      </c>
      <c r="M1161" t="s">
        <v>1481</v>
      </c>
      <c r="N1161">
        <v>2020</v>
      </c>
    </row>
    <row r="1162" spans="1:14" x14ac:dyDescent="0.25">
      <c r="A1162" t="s">
        <v>1410</v>
      </c>
      <c r="B1162" t="s">
        <v>1411</v>
      </c>
      <c r="C1162">
        <v>7870</v>
      </c>
      <c r="D1162">
        <v>1057</v>
      </c>
      <c r="E1162" s="5">
        <v>0.13430749682338</v>
      </c>
      <c r="F1162">
        <v>15</v>
      </c>
      <c r="G1162" t="s">
        <v>30</v>
      </c>
      <c r="H1162" t="s">
        <v>31</v>
      </c>
      <c r="I1162" t="s">
        <v>47</v>
      </c>
      <c r="J1162" s="1">
        <v>45217</v>
      </c>
      <c r="K1162" t="s">
        <v>71</v>
      </c>
      <c r="L1162" t="s">
        <v>138</v>
      </c>
      <c r="M1162" t="s">
        <v>1474</v>
      </c>
      <c r="N1162">
        <v>2023</v>
      </c>
    </row>
    <row r="1163" spans="1:14" x14ac:dyDescent="0.25">
      <c r="A1163" t="s">
        <v>1410</v>
      </c>
      <c r="B1163" t="s">
        <v>1412</v>
      </c>
      <c r="C1163">
        <v>7870</v>
      </c>
      <c r="D1163">
        <v>1057</v>
      </c>
      <c r="E1163" s="5">
        <v>0.13430749682338</v>
      </c>
      <c r="F1163">
        <v>15</v>
      </c>
      <c r="G1163" t="s">
        <v>30</v>
      </c>
      <c r="H1163" t="s">
        <v>31</v>
      </c>
      <c r="I1163" t="s">
        <v>47</v>
      </c>
      <c r="J1163" s="1">
        <v>44276</v>
      </c>
      <c r="K1163" t="s">
        <v>98</v>
      </c>
      <c r="L1163" t="s">
        <v>117</v>
      </c>
      <c r="M1163" t="s">
        <v>1476</v>
      </c>
      <c r="N1163">
        <v>2021</v>
      </c>
    </row>
    <row r="1164" spans="1:14" x14ac:dyDescent="0.25">
      <c r="A1164" t="s">
        <v>1413</v>
      </c>
      <c r="B1164" t="s">
        <v>1414</v>
      </c>
      <c r="C1164">
        <v>7992</v>
      </c>
      <c r="D1164">
        <v>893</v>
      </c>
      <c r="E1164" s="5">
        <v>0.11173673673673699</v>
      </c>
      <c r="F1164">
        <v>12</v>
      </c>
      <c r="G1164" t="s">
        <v>13</v>
      </c>
      <c r="H1164" t="s">
        <v>39</v>
      </c>
      <c r="I1164" t="s">
        <v>47</v>
      </c>
      <c r="J1164" s="1">
        <v>45548</v>
      </c>
      <c r="K1164" t="s">
        <v>98</v>
      </c>
      <c r="L1164" t="s">
        <v>117</v>
      </c>
      <c r="M1164" t="s">
        <v>1480</v>
      </c>
      <c r="N1164">
        <v>2024</v>
      </c>
    </row>
    <row r="1165" spans="1:14" x14ac:dyDescent="0.25">
      <c r="A1165" t="s">
        <v>1413</v>
      </c>
      <c r="B1165" t="s">
        <v>1415</v>
      </c>
      <c r="C1165">
        <v>7992</v>
      </c>
      <c r="D1165">
        <v>893</v>
      </c>
      <c r="E1165" s="5">
        <v>0.11173673673673699</v>
      </c>
      <c r="F1165">
        <v>12</v>
      </c>
      <c r="G1165" t="s">
        <v>13</v>
      </c>
      <c r="H1165" t="s">
        <v>39</v>
      </c>
      <c r="I1165" t="s">
        <v>47</v>
      </c>
      <c r="J1165" s="1">
        <v>45050</v>
      </c>
      <c r="K1165" t="s">
        <v>25</v>
      </c>
      <c r="L1165" t="s">
        <v>51</v>
      </c>
      <c r="M1165" t="s">
        <v>1473</v>
      </c>
      <c r="N1165">
        <v>2023</v>
      </c>
    </row>
    <row r="1166" spans="1:14" x14ac:dyDescent="0.25">
      <c r="A1166" t="s">
        <v>1413</v>
      </c>
      <c r="B1166" t="s">
        <v>1416</v>
      </c>
      <c r="C1166">
        <v>7992</v>
      </c>
      <c r="D1166">
        <v>893</v>
      </c>
      <c r="E1166" s="5">
        <v>0.11173673673673699</v>
      </c>
      <c r="F1166">
        <v>12</v>
      </c>
      <c r="G1166" t="s">
        <v>13</v>
      </c>
      <c r="H1166" t="s">
        <v>39</v>
      </c>
      <c r="I1166" t="s">
        <v>47</v>
      </c>
      <c r="J1166" s="1">
        <v>45077</v>
      </c>
      <c r="K1166" t="s">
        <v>21</v>
      </c>
      <c r="L1166" t="s">
        <v>22</v>
      </c>
      <c r="M1166" t="s">
        <v>1473</v>
      </c>
      <c r="N1166">
        <v>2023</v>
      </c>
    </row>
    <row r="1167" spans="1:14" x14ac:dyDescent="0.25">
      <c r="A1167" t="s">
        <v>1417</v>
      </c>
      <c r="B1167" t="s">
        <v>1418</v>
      </c>
      <c r="C1167">
        <v>6499</v>
      </c>
      <c r="D1167">
        <v>2189</v>
      </c>
      <c r="E1167" s="5">
        <v>0.33682104939221402</v>
      </c>
      <c r="F1167">
        <v>18</v>
      </c>
      <c r="G1167" t="s">
        <v>13</v>
      </c>
      <c r="H1167" t="s">
        <v>14</v>
      </c>
      <c r="I1167" t="s">
        <v>40</v>
      </c>
      <c r="J1167" s="1">
        <v>45458</v>
      </c>
      <c r="K1167" t="s">
        <v>25</v>
      </c>
      <c r="L1167" t="s">
        <v>51</v>
      </c>
      <c r="M1167" t="s">
        <v>1470</v>
      </c>
      <c r="N1167">
        <v>2024</v>
      </c>
    </row>
    <row r="1168" spans="1:14" x14ac:dyDescent="0.25">
      <c r="A1168" t="s">
        <v>1417</v>
      </c>
      <c r="B1168" t="s">
        <v>1419</v>
      </c>
      <c r="C1168">
        <v>6499</v>
      </c>
      <c r="D1168">
        <v>2189</v>
      </c>
      <c r="E1168" s="5">
        <v>0.33682104939221402</v>
      </c>
      <c r="F1168">
        <v>18</v>
      </c>
      <c r="G1168" t="s">
        <v>13</v>
      </c>
      <c r="H1168" t="s">
        <v>14</v>
      </c>
      <c r="I1168" t="s">
        <v>40</v>
      </c>
      <c r="J1168" s="1">
        <v>44289</v>
      </c>
      <c r="K1168" t="s">
        <v>17</v>
      </c>
      <c r="L1168" t="s">
        <v>34</v>
      </c>
      <c r="M1168" t="s">
        <v>1481</v>
      </c>
      <c r="N1168">
        <v>2021</v>
      </c>
    </row>
    <row r="1169" spans="1:14" x14ac:dyDescent="0.25">
      <c r="A1169" t="s">
        <v>1420</v>
      </c>
      <c r="B1169" t="s">
        <v>1421</v>
      </c>
      <c r="C1169">
        <v>8848</v>
      </c>
      <c r="D1169">
        <v>2090</v>
      </c>
      <c r="E1169" s="5">
        <v>0.23621157323688999</v>
      </c>
      <c r="F1169">
        <v>9</v>
      </c>
      <c r="G1169" t="s">
        <v>30</v>
      </c>
      <c r="H1169" t="s">
        <v>31</v>
      </c>
      <c r="I1169" t="s">
        <v>32</v>
      </c>
      <c r="J1169" s="1">
        <v>45671</v>
      </c>
      <c r="K1169" t="s">
        <v>42</v>
      </c>
      <c r="L1169" t="s">
        <v>75</v>
      </c>
      <c r="M1169" t="s">
        <v>1478</v>
      </c>
      <c r="N1169">
        <v>2025</v>
      </c>
    </row>
    <row r="1170" spans="1:14" x14ac:dyDescent="0.25">
      <c r="A1170" t="s">
        <v>1422</v>
      </c>
      <c r="B1170" t="s">
        <v>1423</v>
      </c>
      <c r="C1170">
        <v>8044</v>
      </c>
      <c r="D1170">
        <v>3634</v>
      </c>
      <c r="E1170" s="5">
        <v>0.45176529090005002</v>
      </c>
      <c r="F1170">
        <v>3</v>
      </c>
      <c r="G1170" t="s">
        <v>30</v>
      </c>
      <c r="H1170" t="s">
        <v>57</v>
      </c>
      <c r="I1170" t="s">
        <v>65</v>
      </c>
      <c r="J1170" s="1">
        <v>44189</v>
      </c>
      <c r="K1170" t="s">
        <v>17</v>
      </c>
      <c r="L1170" t="s">
        <v>34</v>
      </c>
      <c r="M1170" t="s">
        <v>1471</v>
      </c>
      <c r="N1170">
        <v>2020</v>
      </c>
    </row>
    <row r="1171" spans="1:14" x14ac:dyDescent="0.25">
      <c r="A1171" t="s">
        <v>1422</v>
      </c>
      <c r="B1171" t="s">
        <v>1424</v>
      </c>
      <c r="C1171">
        <v>8044</v>
      </c>
      <c r="D1171">
        <v>3634</v>
      </c>
      <c r="E1171" s="5">
        <v>0.45176529090005002</v>
      </c>
      <c r="F1171">
        <v>3</v>
      </c>
      <c r="G1171" t="s">
        <v>30</v>
      </c>
      <c r="H1171" t="s">
        <v>57</v>
      </c>
      <c r="I1171" t="s">
        <v>65</v>
      </c>
      <c r="J1171" s="1">
        <v>44841</v>
      </c>
      <c r="K1171" t="s">
        <v>42</v>
      </c>
      <c r="L1171" t="s">
        <v>75</v>
      </c>
      <c r="M1171" t="s">
        <v>1474</v>
      </c>
      <c r="N1171">
        <v>2022</v>
      </c>
    </row>
    <row r="1172" spans="1:14" x14ac:dyDescent="0.25">
      <c r="A1172" t="s">
        <v>1425</v>
      </c>
      <c r="B1172" t="s">
        <v>1426</v>
      </c>
      <c r="C1172">
        <v>7417</v>
      </c>
      <c r="D1172">
        <v>1334</v>
      </c>
      <c r="E1172" s="5">
        <v>0.179857085074828</v>
      </c>
      <c r="F1172">
        <v>16</v>
      </c>
      <c r="G1172" t="s">
        <v>45</v>
      </c>
      <c r="H1172" t="s">
        <v>109</v>
      </c>
      <c r="I1172" t="s">
        <v>65</v>
      </c>
      <c r="J1172" s="1">
        <v>44474</v>
      </c>
      <c r="K1172" t="s">
        <v>17</v>
      </c>
      <c r="L1172" t="s">
        <v>150</v>
      </c>
      <c r="M1172" t="s">
        <v>1474</v>
      </c>
      <c r="N1172">
        <v>2021</v>
      </c>
    </row>
    <row r="1173" spans="1:14" x14ac:dyDescent="0.25">
      <c r="A1173" t="s">
        <v>1427</v>
      </c>
      <c r="B1173" t="s">
        <v>1428</v>
      </c>
      <c r="C1173">
        <v>3451</v>
      </c>
      <c r="D1173">
        <v>658</v>
      </c>
      <c r="E1173" s="5">
        <v>0.19066937119675501</v>
      </c>
      <c r="F1173">
        <v>3</v>
      </c>
      <c r="G1173" t="s">
        <v>30</v>
      </c>
      <c r="H1173" t="s">
        <v>57</v>
      </c>
      <c r="I1173" t="s">
        <v>15</v>
      </c>
      <c r="J1173" s="1">
        <v>45654</v>
      </c>
      <c r="K1173" t="s">
        <v>21</v>
      </c>
      <c r="L1173" t="s">
        <v>22</v>
      </c>
      <c r="M1173" t="s">
        <v>1471</v>
      </c>
      <c r="N1173">
        <v>2024</v>
      </c>
    </row>
    <row r="1174" spans="1:14" x14ac:dyDescent="0.25">
      <c r="A1174" t="s">
        <v>1429</v>
      </c>
      <c r="B1174" t="s">
        <v>1430</v>
      </c>
      <c r="C1174">
        <v>8531</v>
      </c>
      <c r="D1174">
        <v>2555</v>
      </c>
      <c r="E1174" s="5">
        <v>0.29949595592544798</v>
      </c>
      <c r="F1174">
        <v>4</v>
      </c>
      <c r="G1174" t="s">
        <v>13</v>
      </c>
      <c r="H1174" t="s">
        <v>39</v>
      </c>
      <c r="I1174" t="s">
        <v>40</v>
      </c>
      <c r="J1174" s="1">
        <v>44695</v>
      </c>
      <c r="K1174" t="s">
        <v>71</v>
      </c>
      <c r="L1174" t="s">
        <v>86</v>
      </c>
      <c r="M1174" t="s">
        <v>1473</v>
      </c>
      <c r="N1174">
        <v>2022</v>
      </c>
    </row>
    <row r="1175" spans="1:14" x14ac:dyDescent="0.25">
      <c r="A1175" t="s">
        <v>1431</v>
      </c>
      <c r="B1175" t="s">
        <v>1432</v>
      </c>
      <c r="C1175">
        <v>6646</v>
      </c>
      <c r="D1175">
        <v>848</v>
      </c>
      <c r="E1175" s="5">
        <v>0.12759554619319899</v>
      </c>
      <c r="F1175">
        <v>15</v>
      </c>
      <c r="G1175" t="s">
        <v>45</v>
      </c>
      <c r="H1175" t="s">
        <v>60</v>
      </c>
      <c r="I1175" t="s">
        <v>32</v>
      </c>
      <c r="J1175" s="1">
        <v>45157</v>
      </c>
      <c r="K1175" t="s">
        <v>25</v>
      </c>
      <c r="L1175" t="s">
        <v>51</v>
      </c>
      <c r="M1175" t="s">
        <v>1479</v>
      </c>
      <c r="N1175">
        <v>2023</v>
      </c>
    </row>
    <row r="1176" spans="1:14" x14ac:dyDescent="0.25">
      <c r="A1176" t="s">
        <v>1431</v>
      </c>
      <c r="B1176" t="s">
        <v>1433</v>
      </c>
      <c r="C1176">
        <v>6646</v>
      </c>
      <c r="D1176">
        <v>848</v>
      </c>
      <c r="E1176" s="5">
        <v>0.12759554619319899</v>
      </c>
      <c r="F1176">
        <v>15</v>
      </c>
      <c r="G1176" t="s">
        <v>45</v>
      </c>
      <c r="H1176" t="s">
        <v>60</v>
      </c>
      <c r="I1176" t="s">
        <v>32</v>
      </c>
      <c r="J1176" s="1">
        <v>45121</v>
      </c>
      <c r="K1176" t="s">
        <v>25</v>
      </c>
      <c r="L1176" t="s">
        <v>26</v>
      </c>
      <c r="M1176" t="s">
        <v>1472</v>
      </c>
      <c r="N1176">
        <v>2023</v>
      </c>
    </row>
    <row r="1177" spans="1:14" x14ac:dyDescent="0.25">
      <c r="A1177" t="s">
        <v>1434</v>
      </c>
      <c r="B1177" t="s">
        <v>1435</v>
      </c>
      <c r="C1177">
        <v>2553</v>
      </c>
      <c r="D1177">
        <v>907</v>
      </c>
      <c r="E1177" s="5">
        <v>0.35526831179005097</v>
      </c>
      <c r="F1177">
        <v>6</v>
      </c>
      <c r="G1177" t="s">
        <v>13</v>
      </c>
      <c r="H1177" t="s">
        <v>39</v>
      </c>
      <c r="I1177" t="s">
        <v>47</v>
      </c>
      <c r="J1177" s="1">
        <v>45099</v>
      </c>
      <c r="K1177" t="s">
        <v>71</v>
      </c>
      <c r="L1177" t="s">
        <v>72</v>
      </c>
      <c r="M1177" t="s">
        <v>1470</v>
      </c>
      <c r="N1177">
        <v>2023</v>
      </c>
    </row>
    <row r="1178" spans="1:14" x14ac:dyDescent="0.25">
      <c r="A1178" t="s">
        <v>1436</v>
      </c>
      <c r="B1178" t="s">
        <v>1437</v>
      </c>
      <c r="C1178">
        <v>8490</v>
      </c>
      <c r="D1178">
        <v>3485</v>
      </c>
      <c r="E1178" s="5">
        <v>0.41048292108362799</v>
      </c>
      <c r="F1178">
        <v>3</v>
      </c>
      <c r="G1178" t="s">
        <v>13</v>
      </c>
      <c r="H1178" t="s">
        <v>82</v>
      </c>
      <c r="I1178" t="s">
        <v>47</v>
      </c>
      <c r="J1178" s="1">
        <v>45006</v>
      </c>
      <c r="K1178" t="s">
        <v>25</v>
      </c>
      <c r="L1178" t="s">
        <v>51</v>
      </c>
      <c r="M1178" t="s">
        <v>1476</v>
      </c>
      <c r="N1178">
        <v>2023</v>
      </c>
    </row>
    <row r="1179" spans="1:14" x14ac:dyDescent="0.25">
      <c r="A1179" t="s">
        <v>1438</v>
      </c>
      <c r="B1179" t="s">
        <v>1439</v>
      </c>
      <c r="C1179">
        <v>2689</v>
      </c>
      <c r="D1179">
        <v>1330</v>
      </c>
      <c r="E1179" s="5">
        <v>0.49460766084046098</v>
      </c>
      <c r="F1179">
        <v>3</v>
      </c>
      <c r="G1179" t="s">
        <v>45</v>
      </c>
      <c r="H1179" t="s">
        <v>46</v>
      </c>
      <c r="I1179" t="s">
        <v>15</v>
      </c>
      <c r="J1179" s="1">
        <v>44178</v>
      </c>
      <c r="K1179" t="s">
        <v>42</v>
      </c>
      <c r="L1179" t="s">
        <v>43</v>
      </c>
      <c r="M1179" t="s">
        <v>1471</v>
      </c>
      <c r="N1179">
        <v>2020</v>
      </c>
    </row>
    <row r="1180" spans="1:14" x14ac:dyDescent="0.25">
      <c r="A1180" t="s">
        <v>1438</v>
      </c>
      <c r="B1180" t="s">
        <v>1440</v>
      </c>
      <c r="C1180">
        <v>2689</v>
      </c>
      <c r="D1180">
        <v>1330</v>
      </c>
      <c r="E1180" s="5">
        <v>0.49460766084046098</v>
      </c>
      <c r="F1180">
        <v>3</v>
      </c>
      <c r="G1180" t="s">
        <v>45</v>
      </c>
      <c r="H1180" t="s">
        <v>46</v>
      </c>
      <c r="I1180" t="s">
        <v>15</v>
      </c>
      <c r="J1180" s="1">
        <v>45441</v>
      </c>
      <c r="K1180" t="s">
        <v>17</v>
      </c>
      <c r="L1180" t="s">
        <v>18</v>
      </c>
      <c r="M1180" t="s">
        <v>1473</v>
      </c>
      <c r="N1180">
        <v>2024</v>
      </c>
    </row>
    <row r="1181" spans="1:14" x14ac:dyDescent="0.25">
      <c r="A1181" t="s">
        <v>1441</v>
      </c>
      <c r="B1181" t="s">
        <v>1442</v>
      </c>
      <c r="C1181">
        <v>815</v>
      </c>
      <c r="D1181">
        <v>54</v>
      </c>
      <c r="E1181" s="5">
        <v>6.6257668711656406E-2</v>
      </c>
      <c r="F1181">
        <v>14</v>
      </c>
      <c r="G1181" t="s">
        <v>45</v>
      </c>
      <c r="H1181" t="s">
        <v>46</v>
      </c>
      <c r="I1181" t="s">
        <v>32</v>
      </c>
      <c r="J1181" s="1">
        <v>44341</v>
      </c>
      <c r="K1181" t="s">
        <v>42</v>
      </c>
      <c r="L1181" t="s">
        <v>92</v>
      </c>
      <c r="M1181" t="s">
        <v>1473</v>
      </c>
      <c r="N1181">
        <v>2021</v>
      </c>
    </row>
    <row r="1182" spans="1:14" x14ac:dyDescent="0.25">
      <c r="A1182" t="s">
        <v>1443</v>
      </c>
      <c r="B1182" t="s">
        <v>1444</v>
      </c>
      <c r="C1182">
        <v>5024</v>
      </c>
      <c r="D1182">
        <v>379</v>
      </c>
      <c r="E1182" s="5">
        <v>7.5437898089172006E-2</v>
      </c>
      <c r="F1182">
        <v>2</v>
      </c>
      <c r="G1182" t="s">
        <v>30</v>
      </c>
      <c r="H1182" t="s">
        <v>64</v>
      </c>
      <c r="I1182" t="s">
        <v>15</v>
      </c>
      <c r="J1182" s="1">
        <v>45384</v>
      </c>
      <c r="K1182" t="s">
        <v>71</v>
      </c>
      <c r="L1182" t="s">
        <v>72</v>
      </c>
      <c r="M1182" t="s">
        <v>1481</v>
      </c>
      <c r="N1182">
        <v>2024</v>
      </c>
    </row>
    <row r="1183" spans="1:14" x14ac:dyDescent="0.25">
      <c r="A1183" t="s">
        <v>1443</v>
      </c>
      <c r="B1183" t="s">
        <v>1445</v>
      </c>
      <c r="C1183">
        <v>5024</v>
      </c>
      <c r="D1183">
        <v>379</v>
      </c>
      <c r="E1183" s="5">
        <v>7.5437898089172006E-2</v>
      </c>
      <c r="F1183">
        <v>2</v>
      </c>
      <c r="G1183" t="s">
        <v>30</v>
      </c>
      <c r="H1183" t="s">
        <v>64</v>
      </c>
      <c r="I1183" t="s">
        <v>15</v>
      </c>
      <c r="J1183" s="1">
        <v>44898</v>
      </c>
      <c r="K1183" t="s">
        <v>21</v>
      </c>
      <c r="L1183" t="s">
        <v>172</v>
      </c>
      <c r="M1183" t="s">
        <v>1471</v>
      </c>
      <c r="N1183">
        <v>2022</v>
      </c>
    </row>
    <row r="1184" spans="1:14" x14ac:dyDescent="0.25">
      <c r="A1184" t="s">
        <v>1446</v>
      </c>
      <c r="B1184" t="s">
        <v>1447</v>
      </c>
      <c r="C1184">
        <v>8962</v>
      </c>
      <c r="D1184">
        <v>2444</v>
      </c>
      <c r="E1184" s="5">
        <v>0.27270698504798002</v>
      </c>
      <c r="F1184">
        <v>18</v>
      </c>
      <c r="G1184" t="s">
        <v>13</v>
      </c>
      <c r="H1184" t="s">
        <v>14</v>
      </c>
      <c r="I1184" t="s">
        <v>32</v>
      </c>
      <c r="J1184" s="1">
        <v>44389</v>
      </c>
      <c r="K1184" t="s">
        <v>98</v>
      </c>
      <c r="L1184" t="s">
        <v>117</v>
      </c>
      <c r="M1184" t="s">
        <v>1472</v>
      </c>
      <c r="N1184">
        <v>2021</v>
      </c>
    </row>
    <row r="1185" spans="1:14" x14ac:dyDescent="0.25">
      <c r="A1185" t="s">
        <v>1446</v>
      </c>
      <c r="B1185" t="s">
        <v>1448</v>
      </c>
      <c r="C1185">
        <v>8962</v>
      </c>
      <c r="D1185">
        <v>2444</v>
      </c>
      <c r="E1185" s="5">
        <v>0.27270698504798002</v>
      </c>
      <c r="F1185">
        <v>18</v>
      </c>
      <c r="G1185" t="s">
        <v>13</v>
      </c>
      <c r="H1185" t="s">
        <v>14</v>
      </c>
      <c r="I1185" t="s">
        <v>32</v>
      </c>
      <c r="J1185" s="1">
        <v>43912</v>
      </c>
      <c r="K1185" t="s">
        <v>21</v>
      </c>
      <c r="L1185" t="s">
        <v>172</v>
      </c>
      <c r="M1185" t="s">
        <v>1476</v>
      </c>
      <c r="N1185">
        <v>2020</v>
      </c>
    </row>
    <row r="1186" spans="1:14" x14ac:dyDescent="0.25">
      <c r="A1186" t="s">
        <v>1449</v>
      </c>
      <c r="B1186" t="s">
        <v>1450</v>
      </c>
      <c r="C1186">
        <v>1961</v>
      </c>
      <c r="D1186">
        <v>59</v>
      </c>
      <c r="E1186" s="5">
        <v>3.0086690464049E-2</v>
      </c>
      <c r="F1186">
        <v>12</v>
      </c>
      <c r="G1186" t="s">
        <v>30</v>
      </c>
      <c r="H1186" t="s">
        <v>78</v>
      </c>
      <c r="I1186" t="s">
        <v>15</v>
      </c>
      <c r="J1186" s="1">
        <v>44052</v>
      </c>
      <c r="K1186" t="s">
        <v>17</v>
      </c>
      <c r="L1186" t="s">
        <v>34</v>
      </c>
      <c r="M1186" t="s">
        <v>1479</v>
      </c>
      <c r="N1186">
        <v>2020</v>
      </c>
    </row>
    <row r="1187" spans="1:14" x14ac:dyDescent="0.25">
      <c r="A1187" t="s">
        <v>1451</v>
      </c>
      <c r="B1187" t="s">
        <v>1452</v>
      </c>
      <c r="C1187">
        <v>526</v>
      </c>
      <c r="D1187">
        <v>83</v>
      </c>
      <c r="E1187" s="5">
        <v>0.157794676806084</v>
      </c>
      <c r="F1187">
        <v>4</v>
      </c>
      <c r="G1187" t="s">
        <v>45</v>
      </c>
      <c r="H1187" t="s">
        <v>60</v>
      </c>
      <c r="I1187" t="s">
        <v>47</v>
      </c>
      <c r="J1187" s="1">
        <v>44610</v>
      </c>
      <c r="K1187" t="s">
        <v>21</v>
      </c>
      <c r="L1187" t="s">
        <v>22</v>
      </c>
      <c r="M1187" t="s">
        <v>1477</v>
      </c>
      <c r="N1187">
        <v>2022</v>
      </c>
    </row>
    <row r="1188" spans="1:14" x14ac:dyDescent="0.25">
      <c r="A1188" t="s">
        <v>1453</v>
      </c>
      <c r="B1188" t="s">
        <v>1454</v>
      </c>
      <c r="C1188">
        <v>6093</v>
      </c>
      <c r="D1188">
        <v>3042</v>
      </c>
      <c r="E1188" s="5">
        <v>0.49926144756277702</v>
      </c>
      <c r="F1188">
        <v>9</v>
      </c>
      <c r="G1188" t="s">
        <v>45</v>
      </c>
      <c r="H1188" t="s">
        <v>109</v>
      </c>
      <c r="I1188" t="s">
        <v>32</v>
      </c>
      <c r="J1188" s="1">
        <v>44361</v>
      </c>
      <c r="K1188" t="s">
        <v>42</v>
      </c>
      <c r="L1188" t="s">
        <v>92</v>
      </c>
      <c r="M1188" t="s">
        <v>1470</v>
      </c>
      <c r="N1188">
        <v>2021</v>
      </c>
    </row>
    <row r="1189" spans="1:14" x14ac:dyDescent="0.25">
      <c r="A1189" t="s">
        <v>1453</v>
      </c>
      <c r="B1189" t="s">
        <v>1455</v>
      </c>
      <c r="C1189">
        <v>6093</v>
      </c>
      <c r="D1189">
        <v>3042</v>
      </c>
      <c r="E1189" s="5">
        <v>0.49926144756277702</v>
      </c>
      <c r="F1189">
        <v>9</v>
      </c>
      <c r="G1189" t="s">
        <v>45</v>
      </c>
      <c r="H1189" t="s">
        <v>109</v>
      </c>
      <c r="I1189" t="s">
        <v>32</v>
      </c>
      <c r="J1189" s="1">
        <v>44256</v>
      </c>
      <c r="K1189" t="s">
        <v>42</v>
      </c>
      <c r="L1189" t="s">
        <v>75</v>
      </c>
      <c r="M1189" t="s">
        <v>1476</v>
      </c>
      <c r="N1189">
        <v>2021</v>
      </c>
    </row>
    <row r="1190" spans="1:14" x14ac:dyDescent="0.25">
      <c r="A1190" t="s">
        <v>1456</v>
      </c>
      <c r="B1190" t="s">
        <v>1457</v>
      </c>
      <c r="C1190">
        <v>7699</v>
      </c>
      <c r="D1190">
        <v>246</v>
      </c>
      <c r="E1190" s="5">
        <v>3.1952201584621399E-2</v>
      </c>
      <c r="F1190">
        <v>5</v>
      </c>
      <c r="G1190" t="s">
        <v>13</v>
      </c>
      <c r="H1190" t="s">
        <v>14</v>
      </c>
      <c r="I1190" t="s">
        <v>32</v>
      </c>
      <c r="J1190" s="1">
        <v>45192</v>
      </c>
      <c r="K1190" t="s">
        <v>71</v>
      </c>
      <c r="L1190" t="s">
        <v>86</v>
      </c>
      <c r="M1190" t="s">
        <v>1480</v>
      </c>
      <c r="N1190">
        <v>2023</v>
      </c>
    </row>
    <row r="1191" spans="1:14" x14ac:dyDescent="0.25">
      <c r="A1191" t="s">
        <v>1458</v>
      </c>
      <c r="B1191" t="s">
        <v>1459</v>
      </c>
      <c r="C1191">
        <v>8825</v>
      </c>
      <c r="D1191">
        <v>3594</v>
      </c>
      <c r="E1191" s="5">
        <v>0.407252124645892</v>
      </c>
      <c r="F1191">
        <v>15</v>
      </c>
      <c r="G1191" t="s">
        <v>45</v>
      </c>
      <c r="H1191" t="s">
        <v>46</v>
      </c>
      <c r="I1191" t="s">
        <v>32</v>
      </c>
      <c r="J1191" s="1">
        <v>45504</v>
      </c>
      <c r="K1191" t="s">
        <v>25</v>
      </c>
      <c r="L1191" t="s">
        <v>51</v>
      </c>
      <c r="M1191" t="s">
        <v>1472</v>
      </c>
      <c r="N1191">
        <v>2024</v>
      </c>
    </row>
    <row r="1192" spans="1:14" x14ac:dyDescent="0.25">
      <c r="A1192" t="s">
        <v>1460</v>
      </c>
      <c r="B1192" t="s">
        <v>1461</v>
      </c>
      <c r="C1192">
        <v>2082</v>
      </c>
      <c r="D1192">
        <v>642</v>
      </c>
      <c r="E1192" s="5">
        <v>0.30835734870317</v>
      </c>
      <c r="F1192">
        <v>8</v>
      </c>
      <c r="G1192" t="s">
        <v>13</v>
      </c>
      <c r="H1192" t="s">
        <v>82</v>
      </c>
      <c r="I1192" t="s">
        <v>40</v>
      </c>
      <c r="J1192" s="1">
        <v>43984</v>
      </c>
      <c r="K1192" t="s">
        <v>25</v>
      </c>
      <c r="L1192" t="s">
        <v>68</v>
      </c>
      <c r="M1192" t="s">
        <v>1470</v>
      </c>
      <c r="N1192">
        <v>2020</v>
      </c>
    </row>
    <row r="1193" spans="1:14" x14ac:dyDescent="0.25">
      <c r="A1193" t="s">
        <v>1460</v>
      </c>
      <c r="B1193" t="s">
        <v>1462</v>
      </c>
      <c r="C1193">
        <v>2082</v>
      </c>
      <c r="D1193">
        <v>642</v>
      </c>
      <c r="E1193" s="5">
        <v>0.30835734870317</v>
      </c>
      <c r="F1193">
        <v>8</v>
      </c>
      <c r="G1193" t="s">
        <v>13</v>
      </c>
      <c r="H1193" t="s">
        <v>82</v>
      </c>
      <c r="I1193" t="s">
        <v>40</v>
      </c>
      <c r="J1193" s="1">
        <v>44910</v>
      </c>
      <c r="K1193" t="s">
        <v>71</v>
      </c>
      <c r="L1193" t="s">
        <v>86</v>
      </c>
      <c r="M1193" t="s">
        <v>1471</v>
      </c>
      <c r="N1193">
        <v>2022</v>
      </c>
    </row>
    <row r="1194" spans="1:14" x14ac:dyDescent="0.25">
      <c r="A1194" t="s">
        <v>1460</v>
      </c>
      <c r="B1194" t="s">
        <v>1463</v>
      </c>
      <c r="C1194">
        <v>2082</v>
      </c>
      <c r="D1194">
        <v>642</v>
      </c>
      <c r="E1194" s="5">
        <v>0.30835734870317</v>
      </c>
      <c r="F1194">
        <v>8</v>
      </c>
      <c r="G1194" t="s">
        <v>13</v>
      </c>
      <c r="H1194" t="s">
        <v>82</v>
      </c>
      <c r="I1194" t="s">
        <v>40</v>
      </c>
      <c r="J1194" s="1">
        <v>44050</v>
      </c>
      <c r="K1194" t="s">
        <v>25</v>
      </c>
      <c r="L1194" t="s">
        <v>26</v>
      </c>
      <c r="M1194" t="s">
        <v>1479</v>
      </c>
      <c r="N1194">
        <v>2020</v>
      </c>
    </row>
    <row r="1195" spans="1:14" x14ac:dyDescent="0.25">
      <c r="A1195" t="s">
        <v>1464</v>
      </c>
      <c r="B1195" t="s">
        <v>1465</v>
      </c>
      <c r="C1195">
        <v>914</v>
      </c>
      <c r="D1195">
        <v>163</v>
      </c>
      <c r="E1195" s="5">
        <v>0.17833698030634601</v>
      </c>
      <c r="F1195">
        <v>13</v>
      </c>
      <c r="G1195" t="s">
        <v>30</v>
      </c>
      <c r="H1195" t="s">
        <v>57</v>
      </c>
      <c r="I1195" t="s">
        <v>15</v>
      </c>
      <c r="J1195" s="1">
        <v>45591</v>
      </c>
      <c r="K1195" t="s">
        <v>21</v>
      </c>
      <c r="L1195" t="s">
        <v>22</v>
      </c>
      <c r="M1195" t="s">
        <v>1474</v>
      </c>
      <c r="N1195">
        <v>2024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DA7C0-282E-4A43-890D-AD17680A8AFC}">
  <dimension ref="A1:N1203"/>
  <sheetViews>
    <sheetView workbookViewId="0">
      <selection sqref="A1:N1203"/>
    </sheetView>
  </sheetViews>
  <sheetFormatPr defaultRowHeight="15" x14ac:dyDescent="0.25"/>
  <cols>
    <col min="1" max="1" width="10.7109375" customWidth="1"/>
    <col min="2" max="2" width="10.140625" customWidth="1"/>
    <col min="4" max="4" width="11.28515625" customWidth="1"/>
    <col min="5" max="5" width="10.85546875" customWidth="1"/>
    <col min="6" max="6" width="11.28515625" customWidth="1"/>
    <col min="7" max="7" width="15.42578125" customWidth="1"/>
    <col min="8" max="8" width="16" customWidth="1"/>
    <col min="9" max="9" width="11.28515625" customWidth="1"/>
    <col min="10" max="10" width="13" customWidth="1"/>
    <col min="11" max="11" width="17.42578125" customWidth="1"/>
    <col min="14" max="14" width="13.5703125" customWidth="1"/>
  </cols>
  <sheetData>
    <row r="1" spans="1:14" x14ac:dyDescent="0.25">
      <c r="A1" t="s">
        <v>0</v>
      </c>
      <c r="B1" t="s">
        <v>1</v>
      </c>
      <c r="C1" t="s">
        <v>2</v>
      </c>
      <c r="D1" t="s">
        <v>1466</v>
      </c>
      <c r="E1" t="s">
        <v>3</v>
      </c>
      <c r="F1" t="s">
        <v>4</v>
      </c>
      <c r="G1" t="s">
        <v>5</v>
      </c>
      <c r="H1" t="s">
        <v>6</v>
      </c>
      <c r="I1" t="s">
        <v>1467</v>
      </c>
      <c r="J1" t="s">
        <v>7</v>
      </c>
      <c r="K1" t="s">
        <v>8</v>
      </c>
      <c r="L1" t="s">
        <v>9</v>
      </c>
      <c r="M1" t="s">
        <v>10</v>
      </c>
      <c r="N1" t="s">
        <v>11</v>
      </c>
    </row>
    <row r="5" spans="1:14" x14ac:dyDescent="0.25">
      <c r="A5" t="s">
        <v>12</v>
      </c>
      <c r="B5">
        <v>9726</v>
      </c>
      <c r="C5">
        <v>1275</v>
      </c>
      <c r="E5">
        <v>5</v>
      </c>
      <c r="F5" t="s">
        <v>13</v>
      </c>
      <c r="G5" t="s">
        <v>14</v>
      </c>
      <c r="H5" t="s">
        <v>15</v>
      </c>
      <c r="J5" s="1">
        <v>45104</v>
      </c>
      <c r="K5" t="s">
        <v>16</v>
      </c>
      <c r="L5" t="s">
        <v>17</v>
      </c>
      <c r="M5" t="s">
        <v>18</v>
      </c>
      <c r="N5" t="s">
        <v>19</v>
      </c>
    </row>
    <row r="6" spans="1:14" x14ac:dyDescent="0.25">
      <c r="A6" t="s">
        <v>12</v>
      </c>
      <c r="B6">
        <v>9726</v>
      </c>
      <c r="C6">
        <v>1275</v>
      </c>
      <c r="E6">
        <v>5</v>
      </c>
      <c r="F6" t="s">
        <v>13</v>
      </c>
      <c r="G6" t="s">
        <v>14</v>
      </c>
      <c r="H6" t="s">
        <v>15</v>
      </c>
      <c r="J6" s="1">
        <v>45653</v>
      </c>
      <c r="K6" t="s">
        <v>20</v>
      </c>
      <c r="L6" t="s">
        <v>21</v>
      </c>
      <c r="M6" t="s">
        <v>22</v>
      </c>
      <c r="N6" t="s">
        <v>23</v>
      </c>
    </row>
    <row r="7" spans="1:14" x14ac:dyDescent="0.25">
      <c r="A7" t="s">
        <v>12</v>
      </c>
      <c r="B7">
        <v>9726</v>
      </c>
      <c r="C7">
        <v>1275</v>
      </c>
      <c r="E7">
        <v>5</v>
      </c>
      <c r="F7" t="s">
        <v>13</v>
      </c>
      <c r="G7" t="s">
        <v>14</v>
      </c>
      <c r="H7" t="s">
        <v>15</v>
      </c>
      <c r="J7" s="1">
        <v>44402</v>
      </c>
      <c r="K7" t="s">
        <v>24</v>
      </c>
      <c r="L7" t="s">
        <v>25</v>
      </c>
      <c r="M7" t="s">
        <v>26</v>
      </c>
      <c r="N7" t="s">
        <v>27</v>
      </c>
    </row>
    <row r="8" spans="1:14" x14ac:dyDescent="0.25">
      <c r="A8" t="s">
        <v>12</v>
      </c>
      <c r="B8">
        <v>4975</v>
      </c>
      <c r="C8">
        <v>1330</v>
      </c>
      <c r="E8">
        <v>14</v>
      </c>
      <c r="F8" t="s">
        <v>13</v>
      </c>
      <c r="G8" t="s">
        <v>28</v>
      </c>
      <c r="H8" t="s">
        <v>15</v>
      </c>
      <c r="J8" s="1">
        <v>45104</v>
      </c>
      <c r="K8" t="s">
        <v>16</v>
      </c>
      <c r="L8" t="s">
        <v>17</v>
      </c>
      <c r="M8" t="s">
        <v>18</v>
      </c>
      <c r="N8" t="s">
        <v>19</v>
      </c>
    </row>
    <row r="9" spans="1:14" x14ac:dyDescent="0.25">
      <c r="A9" t="s">
        <v>12</v>
      </c>
      <c r="B9">
        <v>4975</v>
      </c>
      <c r="C9">
        <v>1330</v>
      </c>
      <c r="E9">
        <v>14</v>
      </c>
      <c r="F9" t="s">
        <v>13</v>
      </c>
      <c r="G9" t="s">
        <v>28</v>
      </c>
      <c r="H9" t="s">
        <v>15</v>
      </c>
      <c r="J9" s="1">
        <v>45653</v>
      </c>
      <c r="K9" t="s">
        <v>20</v>
      </c>
      <c r="L9" t="s">
        <v>21</v>
      </c>
      <c r="M9" t="s">
        <v>22</v>
      </c>
      <c r="N9" t="s">
        <v>23</v>
      </c>
    </row>
    <row r="10" spans="1:14" x14ac:dyDescent="0.25">
      <c r="A10" t="s">
        <v>12</v>
      </c>
      <c r="B10">
        <v>4975</v>
      </c>
      <c r="C10">
        <v>1330</v>
      </c>
      <c r="E10">
        <v>14</v>
      </c>
      <c r="F10" t="s">
        <v>13</v>
      </c>
      <c r="G10" t="s">
        <v>28</v>
      </c>
      <c r="H10" t="s">
        <v>15</v>
      </c>
      <c r="J10" s="1">
        <v>44402</v>
      </c>
      <c r="K10" t="s">
        <v>24</v>
      </c>
      <c r="L10" t="s">
        <v>25</v>
      </c>
      <c r="M10" t="s">
        <v>26</v>
      </c>
      <c r="N10" t="s">
        <v>27</v>
      </c>
    </row>
    <row r="11" spans="1:14" x14ac:dyDescent="0.25">
      <c r="A11" t="s">
        <v>29</v>
      </c>
      <c r="B11">
        <v>1525</v>
      </c>
      <c r="C11">
        <v>185</v>
      </c>
      <c r="E11">
        <v>12</v>
      </c>
      <c r="F11" t="s">
        <v>30</v>
      </c>
      <c r="G11" t="s">
        <v>31</v>
      </c>
      <c r="H11" t="s">
        <v>32</v>
      </c>
      <c r="J11" s="1">
        <v>45423</v>
      </c>
      <c r="K11" t="s">
        <v>33</v>
      </c>
      <c r="L11" t="s">
        <v>17</v>
      </c>
      <c r="M11" t="s">
        <v>34</v>
      </c>
      <c r="N11" t="s">
        <v>35</v>
      </c>
    </row>
    <row r="12" spans="1:14" x14ac:dyDescent="0.25">
      <c r="A12" t="s">
        <v>29</v>
      </c>
      <c r="B12">
        <v>1525</v>
      </c>
      <c r="C12">
        <v>185</v>
      </c>
      <c r="E12">
        <v>12</v>
      </c>
      <c r="F12" t="s">
        <v>30</v>
      </c>
      <c r="G12" t="s">
        <v>31</v>
      </c>
      <c r="H12" t="s">
        <v>32</v>
      </c>
      <c r="J12" s="1">
        <v>44478</v>
      </c>
      <c r="K12" t="s">
        <v>36</v>
      </c>
      <c r="L12" t="s">
        <v>17</v>
      </c>
      <c r="M12" t="s">
        <v>18</v>
      </c>
      <c r="N12" t="s">
        <v>37</v>
      </c>
    </row>
    <row r="13" spans="1:14" x14ac:dyDescent="0.25">
      <c r="A13" t="s">
        <v>38</v>
      </c>
      <c r="B13">
        <v>883</v>
      </c>
      <c r="C13">
        <v>117</v>
      </c>
      <c r="E13">
        <v>10</v>
      </c>
      <c r="F13" t="s">
        <v>13</v>
      </c>
      <c r="G13" t="s">
        <v>39</v>
      </c>
      <c r="H13" t="s">
        <v>40</v>
      </c>
      <c r="J13" s="1">
        <v>44883</v>
      </c>
      <c r="K13" t="s">
        <v>41</v>
      </c>
      <c r="L13" t="s">
        <v>42</v>
      </c>
      <c r="M13" t="s">
        <v>43</v>
      </c>
      <c r="N13" t="s">
        <v>44</v>
      </c>
    </row>
    <row r="14" spans="1:14" x14ac:dyDescent="0.25">
      <c r="A14" t="s">
        <v>38</v>
      </c>
      <c r="B14">
        <v>8127</v>
      </c>
      <c r="C14">
        <v>3551</v>
      </c>
      <c r="E14">
        <v>16</v>
      </c>
      <c r="F14" t="s">
        <v>45</v>
      </c>
      <c r="G14" t="s">
        <v>46</v>
      </c>
      <c r="H14" t="s">
        <v>47</v>
      </c>
      <c r="J14" s="1">
        <v>44883</v>
      </c>
      <c r="K14" t="s">
        <v>41</v>
      </c>
      <c r="L14" t="s">
        <v>42</v>
      </c>
      <c r="M14" t="s">
        <v>43</v>
      </c>
      <c r="N14" t="s">
        <v>44</v>
      </c>
    </row>
    <row r="15" spans="1:14" x14ac:dyDescent="0.25">
      <c r="A15" t="s">
        <v>48</v>
      </c>
      <c r="B15">
        <v>2516</v>
      </c>
      <c r="C15">
        <v>734</v>
      </c>
      <c r="E15">
        <v>19</v>
      </c>
      <c r="F15" t="s">
        <v>45</v>
      </c>
      <c r="G15" t="s">
        <v>49</v>
      </c>
      <c r="H15" t="s">
        <v>15</v>
      </c>
      <c r="J15" s="1">
        <v>45242</v>
      </c>
      <c r="K15" t="s">
        <v>50</v>
      </c>
      <c r="L15" t="s">
        <v>25</v>
      </c>
      <c r="M15" t="s">
        <v>51</v>
      </c>
      <c r="N15" t="s">
        <v>52</v>
      </c>
    </row>
    <row r="16" spans="1:14" x14ac:dyDescent="0.25">
      <c r="A16" t="s">
        <v>53</v>
      </c>
      <c r="B16">
        <v>2975</v>
      </c>
      <c r="C16">
        <v>462</v>
      </c>
      <c r="E16">
        <v>14</v>
      </c>
      <c r="F16" t="s">
        <v>30</v>
      </c>
      <c r="G16" t="s">
        <v>31</v>
      </c>
      <c r="H16" t="s">
        <v>47</v>
      </c>
      <c r="J16" s="1">
        <v>43913</v>
      </c>
      <c r="K16" t="s">
        <v>54</v>
      </c>
      <c r="L16" t="s">
        <v>25</v>
      </c>
      <c r="M16" t="s">
        <v>51</v>
      </c>
      <c r="N16" t="s">
        <v>55</v>
      </c>
    </row>
    <row r="17" spans="1:14" x14ac:dyDescent="0.25">
      <c r="A17" t="s">
        <v>56</v>
      </c>
      <c r="B17">
        <v>6851</v>
      </c>
      <c r="C17">
        <v>2812</v>
      </c>
      <c r="E17">
        <v>1</v>
      </c>
      <c r="F17" t="s">
        <v>30</v>
      </c>
      <c r="G17" t="s">
        <v>57</v>
      </c>
      <c r="H17" t="s">
        <v>32</v>
      </c>
      <c r="J17" s="1">
        <v>43955</v>
      </c>
      <c r="K17" t="s">
        <v>58</v>
      </c>
      <c r="L17" t="s">
        <v>17</v>
      </c>
      <c r="M17" t="s">
        <v>34</v>
      </c>
      <c r="N17" t="s">
        <v>59</v>
      </c>
    </row>
    <row r="18" spans="1:14" x14ac:dyDescent="0.25">
      <c r="A18" t="s">
        <v>56</v>
      </c>
      <c r="B18">
        <v>7626</v>
      </c>
      <c r="C18">
        <v>1046</v>
      </c>
      <c r="E18">
        <v>15</v>
      </c>
      <c r="F18" t="s">
        <v>45</v>
      </c>
      <c r="G18" t="s">
        <v>60</v>
      </c>
      <c r="H18" t="s">
        <v>47</v>
      </c>
      <c r="J18" s="1">
        <v>43955</v>
      </c>
      <c r="K18" t="s">
        <v>58</v>
      </c>
      <c r="L18" t="s">
        <v>17</v>
      </c>
      <c r="M18" t="s">
        <v>34</v>
      </c>
      <c r="N18" t="s">
        <v>59</v>
      </c>
    </row>
    <row r="19" spans="1:14" x14ac:dyDescent="0.25">
      <c r="A19" t="s">
        <v>56</v>
      </c>
      <c r="B19">
        <v>1023</v>
      </c>
      <c r="C19">
        <v>78</v>
      </c>
      <c r="E19">
        <v>9</v>
      </c>
      <c r="F19" t="s">
        <v>45</v>
      </c>
      <c r="G19" t="s">
        <v>46</v>
      </c>
      <c r="H19" t="s">
        <v>15</v>
      </c>
      <c r="J19" s="1">
        <v>43955</v>
      </c>
      <c r="K19" t="s">
        <v>58</v>
      </c>
      <c r="L19" t="s">
        <v>17</v>
      </c>
      <c r="M19" t="s">
        <v>34</v>
      </c>
      <c r="N19" t="s">
        <v>59</v>
      </c>
    </row>
    <row r="20" spans="1:14" x14ac:dyDescent="0.25">
      <c r="A20" t="s">
        <v>61</v>
      </c>
      <c r="B20">
        <v>7600</v>
      </c>
      <c r="C20">
        <v>1098</v>
      </c>
      <c r="E20">
        <v>10</v>
      </c>
      <c r="F20" t="s">
        <v>30</v>
      </c>
      <c r="G20" t="s">
        <v>31</v>
      </c>
      <c r="H20" t="s">
        <v>15</v>
      </c>
      <c r="J20" s="1">
        <v>45239</v>
      </c>
      <c r="K20" t="s">
        <v>62</v>
      </c>
      <c r="L20" t="s">
        <v>21</v>
      </c>
      <c r="M20" t="s">
        <v>63</v>
      </c>
      <c r="N20" t="s">
        <v>52</v>
      </c>
    </row>
    <row r="21" spans="1:14" x14ac:dyDescent="0.25">
      <c r="A21" t="s">
        <v>61</v>
      </c>
      <c r="B21">
        <v>7501</v>
      </c>
      <c r="C21">
        <v>262</v>
      </c>
      <c r="E21">
        <v>18</v>
      </c>
      <c r="F21" t="s">
        <v>30</v>
      </c>
      <c r="G21" t="s">
        <v>64</v>
      </c>
      <c r="H21" t="s">
        <v>65</v>
      </c>
      <c r="J21" s="1">
        <v>45239</v>
      </c>
      <c r="K21" t="s">
        <v>62</v>
      </c>
      <c r="L21" t="s">
        <v>21</v>
      </c>
      <c r="M21" t="s">
        <v>63</v>
      </c>
      <c r="N21" t="s">
        <v>52</v>
      </c>
    </row>
    <row r="22" spans="1:14" x14ac:dyDescent="0.25">
      <c r="A22" t="s">
        <v>66</v>
      </c>
      <c r="B22">
        <v>725</v>
      </c>
      <c r="C22">
        <v>133</v>
      </c>
      <c r="E22">
        <v>6</v>
      </c>
      <c r="F22" t="s">
        <v>30</v>
      </c>
      <c r="G22" t="s">
        <v>64</v>
      </c>
      <c r="H22" t="s">
        <v>47</v>
      </c>
      <c r="J22" s="1">
        <v>45656</v>
      </c>
      <c r="K22" t="s">
        <v>67</v>
      </c>
      <c r="L22" t="s">
        <v>25</v>
      </c>
      <c r="M22" t="s">
        <v>68</v>
      </c>
      <c r="N22" t="s">
        <v>23</v>
      </c>
    </row>
    <row r="23" spans="1:14" x14ac:dyDescent="0.25">
      <c r="A23" t="s">
        <v>66</v>
      </c>
      <c r="B23">
        <v>7201</v>
      </c>
      <c r="C23">
        <v>2685</v>
      </c>
      <c r="E23">
        <v>2</v>
      </c>
      <c r="F23" t="s">
        <v>45</v>
      </c>
      <c r="G23" t="s">
        <v>46</v>
      </c>
      <c r="H23" t="s">
        <v>47</v>
      </c>
      <c r="J23" s="1">
        <v>45656</v>
      </c>
      <c r="K23" t="s">
        <v>67</v>
      </c>
      <c r="L23" t="s">
        <v>25</v>
      </c>
      <c r="M23" t="s">
        <v>68</v>
      </c>
      <c r="N23" t="s">
        <v>23</v>
      </c>
    </row>
    <row r="24" spans="1:14" x14ac:dyDescent="0.25">
      <c r="A24" t="s">
        <v>69</v>
      </c>
      <c r="B24">
        <v>1629</v>
      </c>
      <c r="C24">
        <v>265</v>
      </c>
      <c r="E24">
        <v>1</v>
      </c>
      <c r="F24" t="s">
        <v>30</v>
      </c>
      <c r="G24" t="s">
        <v>64</v>
      </c>
      <c r="H24" t="s">
        <v>15</v>
      </c>
      <c r="J24" s="1">
        <v>45699</v>
      </c>
      <c r="K24" t="s">
        <v>70</v>
      </c>
      <c r="L24" t="s">
        <v>71</v>
      </c>
      <c r="M24" t="s">
        <v>72</v>
      </c>
      <c r="N24" t="s">
        <v>73</v>
      </c>
    </row>
    <row r="25" spans="1:14" x14ac:dyDescent="0.25">
      <c r="A25" t="s">
        <v>69</v>
      </c>
      <c r="B25">
        <v>1629</v>
      </c>
      <c r="C25">
        <v>265</v>
      </c>
      <c r="E25">
        <v>1</v>
      </c>
      <c r="F25" t="s">
        <v>30</v>
      </c>
      <c r="G25" t="s">
        <v>64</v>
      </c>
      <c r="H25" t="s">
        <v>15</v>
      </c>
      <c r="J25" s="1">
        <v>45314</v>
      </c>
      <c r="K25" t="s">
        <v>74</v>
      </c>
      <c r="L25" t="s">
        <v>42</v>
      </c>
      <c r="M25" t="s">
        <v>75</v>
      </c>
      <c r="N25" t="s">
        <v>76</v>
      </c>
    </row>
    <row r="26" spans="1:14" x14ac:dyDescent="0.25">
      <c r="A26" t="s">
        <v>77</v>
      </c>
      <c r="B26">
        <v>8971</v>
      </c>
      <c r="C26">
        <v>2971</v>
      </c>
      <c r="E26">
        <v>19</v>
      </c>
      <c r="F26" t="s">
        <v>30</v>
      </c>
      <c r="G26" t="s">
        <v>78</v>
      </c>
      <c r="H26" t="s">
        <v>32</v>
      </c>
      <c r="J26" s="1">
        <v>44163</v>
      </c>
      <c r="K26" t="s">
        <v>79</v>
      </c>
      <c r="L26" t="s">
        <v>42</v>
      </c>
      <c r="M26" t="s">
        <v>75</v>
      </c>
      <c r="N26" t="s">
        <v>80</v>
      </c>
    </row>
    <row r="27" spans="1:14" x14ac:dyDescent="0.25">
      <c r="A27" t="s">
        <v>77</v>
      </c>
      <c r="B27">
        <v>2939</v>
      </c>
      <c r="C27">
        <v>894</v>
      </c>
      <c r="E27">
        <v>20</v>
      </c>
      <c r="F27" t="s">
        <v>30</v>
      </c>
      <c r="G27" t="s">
        <v>78</v>
      </c>
      <c r="H27" t="s">
        <v>65</v>
      </c>
      <c r="J27" s="1">
        <v>44163</v>
      </c>
      <c r="K27" t="s">
        <v>79</v>
      </c>
      <c r="L27" t="s">
        <v>42</v>
      </c>
      <c r="M27" t="s">
        <v>75</v>
      </c>
      <c r="N27" t="s">
        <v>80</v>
      </c>
    </row>
    <row r="28" spans="1:14" x14ac:dyDescent="0.25">
      <c r="A28" t="s">
        <v>81</v>
      </c>
      <c r="B28">
        <v>9380</v>
      </c>
      <c r="C28">
        <v>414</v>
      </c>
      <c r="E28">
        <v>11</v>
      </c>
      <c r="F28" t="s">
        <v>13</v>
      </c>
      <c r="G28" t="s">
        <v>82</v>
      </c>
      <c r="H28" t="s">
        <v>15</v>
      </c>
      <c r="J28" s="1">
        <v>45442</v>
      </c>
      <c r="K28" t="s">
        <v>83</v>
      </c>
      <c r="L28" t="s">
        <v>25</v>
      </c>
      <c r="M28" t="s">
        <v>68</v>
      </c>
      <c r="N28" t="s">
        <v>35</v>
      </c>
    </row>
    <row r="29" spans="1:14" x14ac:dyDescent="0.25">
      <c r="A29" t="s">
        <v>81</v>
      </c>
      <c r="B29">
        <v>8558</v>
      </c>
      <c r="C29">
        <v>1644</v>
      </c>
      <c r="E29">
        <v>18</v>
      </c>
      <c r="F29" t="s">
        <v>30</v>
      </c>
      <c r="G29" t="s">
        <v>78</v>
      </c>
      <c r="H29" t="s">
        <v>47</v>
      </c>
      <c r="J29" s="1">
        <v>45442</v>
      </c>
      <c r="K29" t="s">
        <v>83</v>
      </c>
      <c r="L29" t="s">
        <v>25</v>
      </c>
      <c r="M29" t="s">
        <v>68</v>
      </c>
      <c r="N29" t="s">
        <v>35</v>
      </c>
    </row>
    <row r="30" spans="1:14" x14ac:dyDescent="0.25">
      <c r="A30" t="s">
        <v>81</v>
      </c>
      <c r="B30">
        <v>4080</v>
      </c>
      <c r="C30">
        <v>72</v>
      </c>
      <c r="E30">
        <v>17</v>
      </c>
      <c r="F30" t="s">
        <v>30</v>
      </c>
      <c r="G30" t="s">
        <v>64</v>
      </c>
      <c r="H30" t="s">
        <v>65</v>
      </c>
      <c r="J30" s="1">
        <v>45442</v>
      </c>
      <c r="K30" t="s">
        <v>83</v>
      </c>
      <c r="L30" t="s">
        <v>25</v>
      </c>
      <c r="M30" t="s">
        <v>68</v>
      </c>
      <c r="N30" t="s">
        <v>35</v>
      </c>
    </row>
    <row r="31" spans="1:14" x14ac:dyDescent="0.25">
      <c r="A31" t="s">
        <v>84</v>
      </c>
      <c r="B31">
        <v>4206</v>
      </c>
      <c r="C31">
        <v>1821</v>
      </c>
      <c r="E31">
        <v>17</v>
      </c>
      <c r="F31" t="s">
        <v>13</v>
      </c>
      <c r="G31" t="s">
        <v>14</v>
      </c>
      <c r="H31" t="s">
        <v>40</v>
      </c>
      <c r="J31" s="1">
        <v>44584</v>
      </c>
      <c r="K31" t="s">
        <v>85</v>
      </c>
      <c r="L31" t="s">
        <v>71</v>
      </c>
      <c r="M31" t="s">
        <v>86</v>
      </c>
      <c r="N31" t="s">
        <v>87</v>
      </c>
    </row>
    <row r="32" spans="1:14" x14ac:dyDescent="0.25">
      <c r="A32" t="s">
        <v>88</v>
      </c>
      <c r="B32">
        <v>5219</v>
      </c>
      <c r="C32">
        <v>1180</v>
      </c>
      <c r="E32">
        <v>20</v>
      </c>
      <c r="F32" t="s">
        <v>30</v>
      </c>
      <c r="G32" t="s">
        <v>78</v>
      </c>
      <c r="H32" t="s">
        <v>65</v>
      </c>
      <c r="J32" s="1">
        <v>44547</v>
      </c>
      <c r="K32" t="s">
        <v>89</v>
      </c>
      <c r="L32" t="s">
        <v>25</v>
      </c>
      <c r="M32" t="s">
        <v>51</v>
      </c>
      <c r="N32" t="s">
        <v>90</v>
      </c>
    </row>
    <row r="33" spans="1:14" x14ac:dyDescent="0.25">
      <c r="A33" t="s">
        <v>88</v>
      </c>
      <c r="B33">
        <v>5219</v>
      </c>
      <c r="C33">
        <v>1180</v>
      </c>
      <c r="E33">
        <v>20</v>
      </c>
      <c r="F33" t="s">
        <v>30</v>
      </c>
      <c r="G33" t="s">
        <v>78</v>
      </c>
      <c r="H33" t="s">
        <v>65</v>
      </c>
      <c r="J33" s="1">
        <v>44960</v>
      </c>
      <c r="K33" t="s">
        <v>91</v>
      </c>
      <c r="L33" t="s">
        <v>42</v>
      </c>
      <c r="M33" t="s">
        <v>92</v>
      </c>
      <c r="N33" t="s">
        <v>93</v>
      </c>
    </row>
    <row r="34" spans="1:14" x14ac:dyDescent="0.25">
      <c r="A34" t="s">
        <v>94</v>
      </c>
      <c r="B34">
        <v>3686</v>
      </c>
      <c r="C34">
        <v>760</v>
      </c>
      <c r="E34">
        <v>20</v>
      </c>
      <c r="F34" t="s">
        <v>30</v>
      </c>
      <c r="G34" t="s">
        <v>31</v>
      </c>
      <c r="H34" t="s">
        <v>32</v>
      </c>
      <c r="J34" s="1">
        <v>44864</v>
      </c>
      <c r="K34" t="s">
        <v>95</v>
      </c>
      <c r="L34" t="s">
        <v>42</v>
      </c>
      <c r="M34" t="s">
        <v>92</v>
      </c>
      <c r="N34" t="s">
        <v>96</v>
      </c>
    </row>
    <row r="35" spans="1:14" x14ac:dyDescent="0.25">
      <c r="A35" t="s">
        <v>94</v>
      </c>
      <c r="B35">
        <v>3686</v>
      </c>
      <c r="C35">
        <v>760</v>
      </c>
      <c r="E35">
        <v>20</v>
      </c>
      <c r="F35" t="s">
        <v>30</v>
      </c>
      <c r="G35" t="s">
        <v>31</v>
      </c>
      <c r="H35" t="s">
        <v>32</v>
      </c>
      <c r="J35" s="1">
        <v>44576</v>
      </c>
      <c r="K35" t="s">
        <v>97</v>
      </c>
      <c r="L35" t="s">
        <v>98</v>
      </c>
      <c r="M35" t="s">
        <v>99</v>
      </c>
      <c r="N35" t="s">
        <v>87</v>
      </c>
    </row>
    <row r="36" spans="1:14" x14ac:dyDescent="0.25">
      <c r="A36" t="s">
        <v>100</v>
      </c>
      <c r="B36">
        <v>6045</v>
      </c>
      <c r="C36">
        <v>1606</v>
      </c>
      <c r="E36">
        <v>4</v>
      </c>
      <c r="F36" t="s">
        <v>30</v>
      </c>
      <c r="G36" t="s">
        <v>64</v>
      </c>
      <c r="H36" t="s">
        <v>65</v>
      </c>
      <c r="J36" s="1">
        <v>45274</v>
      </c>
      <c r="K36" t="s">
        <v>101</v>
      </c>
      <c r="L36" t="s">
        <v>17</v>
      </c>
      <c r="M36" t="s">
        <v>34</v>
      </c>
      <c r="N36" t="s">
        <v>102</v>
      </c>
    </row>
    <row r="37" spans="1:14" x14ac:dyDescent="0.25">
      <c r="A37" t="s">
        <v>100</v>
      </c>
      <c r="B37">
        <v>9337</v>
      </c>
      <c r="C37">
        <v>554</v>
      </c>
      <c r="E37">
        <v>11</v>
      </c>
      <c r="F37" t="s">
        <v>30</v>
      </c>
      <c r="G37" t="s">
        <v>31</v>
      </c>
      <c r="H37" t="s">
        <v>65</v>
      </c>
      <c r="J37" s="1">
        <v>45274</v>
      </c>
      <c r="K37" t="s">
        <v>101</v>
      </c>
      <c r="L37" t="s">
        <v>17</v>
      </c>
      <c r="M37" t="s">
        <v>34</v>
      </c>
      <c r="N37" t="s">
        <v>102</v>
      </c>
    </row>
    <row r="39" spans="1:14" x14ac:dyDescent="0.25">
      <c r="A39" t="s">
        <v>103</v>
      </c>
      <c r="B39">
        <v>4051</v>
      </c>
      <c r="C39">
        <v>1848</v>
      </c>
      <c r="E39">
        <v>12</v>
      </c>
      <c r="F39" t="s">
        <v>13</v>
      </c>
      <c r="G39" t="s">
        <v>82</v>
      </c>
      <c r="H39" t="s">
        <v>47</v>
      </c>
      <c r="J39" s="1">
        <v>45110</v>
      </c>
      <c r="K39" t="s">
        <v>104</v>
      </c>
      <c r="L39" t="s">
        <v>42</v>
      </c>
      <c r="M39" t="s">
        <v>75</v>
      </c>
      <c r="N39" t="s">
        <v>105</v>
      </c>
    </row>
    <row r="40" spans="1:14" x14ac:dyDescent="0.25">
      <c r="A40" t="s">
        <v>103</v>
      </c>
      <c r="B40">
        <v>4051</v>
      </c>
      <c r="C40">
        <v>1848</v>
      </c>
      <c r="E40">
        <v>12</v>
      </c>
      <c r="F40" t="s">
        <v>13</v>
      </c>
      <c r="G40" t="s">
        <v>82</v>
      </c>
      <c r="H40" t="s">
        <v>47</v>
      </c>
      <c r="J40" s="1">
        <v>44324</v>
      </c>
      <c r="K40" t="s">
        <v>106</v>
      </c>
      <c r="L40" t="s">
        <v>98</v>
      </c>
      <c r="M40" t="s">
        <v>107</v>
      </c>
      <c r="N40" t="s">
        <v>108</v>
      </c>
    </row>
    <row r="41" spans="1:14" x14ac:dyDescent="0.25">
      <c r="A41" t="s">
        <v>103</v>
      </c>
      <c r="B41">
        <v>5011</v>
      </c>
      <c r="C41">
        <v>866</v>
      </c>
      <c r="E41">
        <v>11</v>
      </c>
      <c r="F41" t="s">
        <v>45</v>
      </c>
      <c r="G41" t="s">
        <v>109</v>
      </c>
      <c r="H41" t="s">
        <v>47</v>
      </c>
      <c r="J41" s="1">
        <v>45110</v>
      </c>
      <c r="K41" t="s">
        <v>104</v>
      </c>
      <c r="L41" t="s">
        <v>42</v>
      </c>
      <c r="M41" t="s">
        <v>75</v>
      </c>
      <c r="N41" t="s">
        <v>105</v>
      </c>
    </row>
    <row r="42" spans="1:14" x14ac:dyDescent="0.25">
      <c r="A42" t="s">
        <v>103</v>
      </c>
      <c r="B42">
        <v>5011</v>
      </c>
      <c r="C42">
        <v>866</v>
      </c>
      <c r="E42">
        <v>11</v>
      </c>
      <c r="F42" t="s">
        <v>45</v>
      </c>
      <c r="G42" t="s">
        <v>109</v>
      </c>
      <c r="H42" t="s">
        <v>47</v>
      </c>
      <c r="J42" s="1">
        <v>44324</v>
      </c>
      <c r="K42" t="s">
        <v>106</v>
      </c>
      <c r="L42" t="s">
        <v>98</v>
      </c>
      <c r="M42" t="s">
        <v>107</v>
      </c>
      <c r="N42" t="s">
        <v>108</v>
      </c>
    </row>
    <row r="43" spans="1:14" x14ac:dyDescent="0.25">
      <c r="A43" t="s">
        <v>110</v>
      </c>
      <c r="B43">
        <v>3958</v>
      </c>
      <c r="C43">
        <v>630</v>
      </c>
      <c r="E43">
        <v>15</v>
      </c>
      <c r="F43" t="s">
        <v>45</v>
      </c>
      <c r="G43" t="s">
        <v>60</v>
      </c>
      <c r="H43" t="s">
        <v>40</v>
      </c>
      <c r="J43" s="1">
        <v>44841</v>
      </c>
      <c r="K43" t="s">
        <v>111</v>
      </c>
      <c r="L43" t="s">
        <v>17</v>
      </c>
      <c r="M43" t="s">
        <v>34</v>
      </c>
      <c r="N43" t="s">
        <v>96</v>
      </c>
    </row>
    <row r="44" spans="1:14" x14ac:dyDescent="0.25">
      <c r="A44" t="s">
        <v>110</v>
      </c>
      <c r="B44">
        <v>3132</v>
      </c>
      <c r="C44">
        <v>963</v>
      </c>
      <c r="E44">
        <v>1</v>
      </c>
      <c r="F44" t="s">
        <v>45</v>
      </c>
      <c r="G44" t="s">
        <v>46</v>
      </c>
      <c r="H44" t="s">
        <v>32</v>
      </c>
      <c r="J44" s="1">
        <v>44841</v>
      </c>
      <c r="K44" t="s">
        <v>111</v>
      </c>
      <c r="L44" t="s">
        <v>17</v>
      </c>
      <c r="M44" t="s">
        <v>34</v>
      </c>
      <c r="N44" t="s">
        <v>96</v>
      </c>
    </row>
    <row r="45" spans="1:14" x14ac:dyDescent="0.25">
      <c r="A45" t="s">
        <v>112</v>
      </c>
      <c r="B45">
        <v>7784</v>
      </c>
      <c r="C45">
        <v>2937</v>
      </c>
      <c r="E45">
        <v>12</v>
      </c>
      <c r="F45" t="s">
        <v>30</v>
      </c>
      <c r="G45" t="s">
        <v>57</v>
      </c>
      <c r="H45" t="s">
        <v>15</v>
      </c>
      <c r="J45" s="1">
        <v>45510</v>
      </c>
      <c r="K45" t="s">
        <v>113</v>
      </c>
      <c r="L45" t="s">
        <v>42</v>
      </c>
      <c r="M45" t="s">
        <v>92</v>
      </c>
      <c r="N45" t="s">
        <v>114</v>
      </c>
    </row>
    <row r="46" spans="1:14" x14ac:dyDescent="0.25">
      <c r="A46" t="s">
        <v>112</v>
      </c>
      <c r="B46">
        <v>5591</v>
      </c>
      <c r="C46">
        <v>1696</v>
      </c>
      <c r="E46">
        <v>3</v>
      </c>
      <c r="F46" t="s">
        <v>30</v>
      </c>
      <c r="G46" t="s">
        <v>31</v>
      </c>
      <c r="H46" t="s">
        <v>65</v>
      </c>
      <c r="J46" s="1">
        <v>45510</v>
      </c>
      <c r="K46" t="s">
        <v>113</v>
      </c>
      <c r="L46" t="s">
        <v>42</v>
      </c>
      <c r="M46" t="s">
        <v>92</v>
      </c>
      <c r="N46" t="s">
        <v>114</v>
      </c>
    </row>
    <row r="47" spans="1:14" x14ac:dyDescent="0.25">
      <c r="A47" t="s">
        <v>112</v>
      </c>
      <c r="B47">
        <v>5122</v>
      </c>
      <c r="C47">
        <v>2413</v>
      </c>
      <c r="E47">
        <v>12</v>
      </c>
      <c r="F47" t="s">
        <v>13</v>
      </c>
      <c r="G47" t="s">
        <v>14</v>
      </c>
      <c r="H47" t="s">
        <v>65</v>
      </c>
      <c r="J47" s="1">
        <v>45510</v>
      </c>
      <c r="K47" t="s">
        <v>113</v>
      </c>
      <c r="L47" t="s">
        <v>42</v>
      </c>
      <c r="M47" t="s">
        <v>92</v>
      </c>
      <c r="N47" t="s">
        <v>114</v>
      </c>
    </row>
    <row r="48" spans="1:14" x14ac:dyDescent="0.25">
      <c r="A48" t="s">
        <v>115</v>
      </c>
      <c r="B48">
        <v>8293</v>
      </c>
      <c r="C48">
        <v>2632</v>
      </c>
      <c r="E48">
        <v>8</v>
      </c>
      <c r="F48" t="s">
        <v>30</v>
      </c>
      <c r="G48" t="s">
        <v>78</v>
      </c>
      <c r="H48" t="s">
        <v>65</v>
      </c>
      <c r="J48" s="1">
        <v>44566</v>
      </c>
      <c r="K48" t="s">
        <v>116</v>
      </c>
      <c r="L48" t="s">
        <v>98</v>
      </c>
      <c r="M48" t="s">
        <v>117</v>
      </c>
      <c r="N48" t="s">
        <v>87</v>
      </c>
    </row>
    <row r="49" spans="1:14" x14ac:dyDescent="0.25">
      <c r="A49" t="s">
        <v>115</v>
      </c>
      <c r="B49">
        <v>8293</v>
      </c>
      <c r="C49">
        <v>2632</v>
      </c>
      <c r="E49">
        <v>8</v>
      </c>
      <c r="F49" t="s">
        <v>30</v>
      </c>
      <c r="G49" t="s">
        <v>78</v>
      </c>
      <c r="H49" t="s">
        <v>65</v>
      </c>
      <c r="J49" s="1">
        <v>44121</v>
      </c>
      <c r="K49" t="s">
        <v>118</v>
      </c>
      <c r="L49" t="s">
        <v>25</v>
      </c>
      <c r="M49" t="s">
        <v>68</v>
      </c>
      <c r="N49" t="s">
        <v>119</v>
      </c>
    </row>
    <row r="50" spans="1:14" x14ac:dyDescent="0.25">
      <c r="A50" t="s">
        <v>115</v>
      </c>
      <c r="B50">
        <v>8293</v>
      </c>
      <c r="C50">
        <v>2632</v>
      </c>
      <c r="E50">
        <v>8</v>
      </c>
      <c r="F50" t="s">
        <v>30</v>
      </c>
      <c r="G50" t="s">
        <v>78</v>
      </c>
      <c r="H50" t="s">
        <v>65</v>
      </c>
      <c r="J50" s="1">
        <v>45159</v>
      </c>
      <c r="K50" t="s">
        <v>120</v>
      </c>
      <c r="L50" t="s">
        <v>42</v>
      </c>
      <c r="M50" t="s">
        <v>43</v>
      </c>
      <c r="N50" t="s">
        <v>121</v>
      </c>
    </row>
    <row r="51" spans="1:14" x14ac:dyDescent="0.25">
      <c r="A51" t="s">
        <v>115</v>
      </c>
      <c r="B51">
        <v>2863</v>
      </c>
      <c r="C51">
        <v>205</v>
      </c>
      <c r="E51">
        <v>17</v>
      </c>
      <c r="F51" t="s">
        <v>13</v>
      </c>
      <c r="G51" t="s">
        <v>82</v>
      </c>
      <c r="H51" t="s">
        <v>15</v>
      </c>
      <c r="J51" s="1">
        <v>44566</v>
      </c>
      <c r="K51" t="s">
        <v>116</v>
      </c>
      <c r="L51" t="s">
        <v>98</v>
      </c>
      <c r="M51" t="s">
        <v>117</v>
      </c>
      <c r="N51" t="s">
        <v>87</v>
      </c>
    </row>
    <row r="52" spans="1:14" x14ac:dyDescent="0.25">
      <c r="A52" t="s">
        <v>115</v>
      </c>
      <c r="B52">
        <v>2863</v>
      </c>
      <c r="C52">
        <v>205</v>
      </c>
      <c r="E52">
        <v>17</v>
      </c>
      <c r="F52" t="s">
        <v>13</v>
      </c>
      <c r="G52" t="s">
        <v>82</v>
      </c>
      <c r="H52" t="s">
        <v>15</v>
      </c>
      <c r="J52" s="1">
        <v>44121</v>
      </c>
      <c r="K52" t="s">
        <v>118</v>
      </c>
      <c r="L52" t="s">
        <v>25</v>
      </c>
      <c r="M52" t="s">
        <v>68</v>
      </c>
      <c r="N52" t="s">
        <v>119</v>
      </c>
    </row>
    <row r="53" spans="1:14" x14ac:dyDescent="0.25">
      <c r="A53" t="s">
        <v>115</v>
      </c>
      <c r="B53">
        <v>2863</v>
      </c>
      <c r="C53">
        <v>205</v>
      </c>
      <c r="E53">
        <v>17</v>
      </c>
      <c r="F53" t="s">
        <v>13</v>
      </c>
      <c r="G53" t="s">
        <v>82</v>
      </c>
      <c r="H53" t="s">
        <v>15</v>
      </c>
      <c r="J53" s="1">
        <v>45159</v>
      </c>
      <c r="K53" t="s">
        <v>120</v>
      </c>
      <c r="L53" t="s">
        <v>42</v>
      </c>
      <c r="M53" t="s">
        <v>43</v>
      </c>
      <c r="N53" t="s">
        <v>121</v>
      </c>
    </row>
    <row r="54" spans="1:14" x14ac:dyDescent="0.25">
      <c r="A54" t="s">
        <v>122</v>
      </c>
      <c r="B54">
        <v>3090</v>
      </c>
      <c r="C54">
        <v>573</v>
      </c>
      <c r="E54">
        <v>6</v>
      </c>
      <c r="F54" t="s">
        <v>45</v>
      </c>
      <c r="G54" t="s">
        <v>46</v>
      </c>
      <c r="H54" t="s">
        <v>40</v>
      </c>
      <c r="J54" s="1">
        <v>45653</v>
      </c>
      <c r="K54" t="s">
        <v>123</v>
      </c>
      <c r="L54" t="s">
        <v>42</v>
      </c>
      <c r="M54" t="s">
        <v>75</v>
      </c>
      <c r="N54" t="s">
        <v>23</v>
      </c>
    </row>
    <row r="55" spans="1:14" x14ac:dyDescent="0.25">
      <c r="A55" t="s">
        <v>122</v>
      </c>
      <c r="B55">
        <v>3090</v>
      </c>
      <c r="C55">
        <v>573</v>
      </c>
      <c r="E55">
        <v>6</v>
      </c>
      <c r="F55" t="s">
        <v>45</v>
      </c>
      <c r="G55" t="s">
        <v>46</v>
      </c>
      <c r="H55" t="s">
        <v>40</v>
      </c>
      <c r="J55" s="1">
        <v>44365</v>
      </c>
      <c r="K55" t="s">
        <v>124</v>
      </c>
      <c r="L55" t="s">
        <v>98</v>
      </c>
      <c r="M55" t="s">
        <v>107</v>
      </c>
      <c r="N55" t="s">
        <v>125</v>
      </c>
    </row>
    <row r="56" spans="1:14" x14ac:dyDescent="0.25">
      <c r="A56" t="s">
        <v>122</v>
      </c>
      <c r="B56">
        <v>3090</v>
      </c>
      <c r="C56">
        <v>573</v>
      </c>
      <c r="E56">
        <v>6</v>
      </c>
      <c r="F56" t="s">
        <v>45</v>
      </c>
      <c r="G56" t="s">
        <v>46</v>
      </c>
      <c r="H56" t="s">
        <v>40</v>
      </c>
      <c r="J56" s="1">
        <v>45073</v>
      </c>
      <c r="K56" t="s">
        <v>126</v>
      </c>
      <c r="L56" t="s">
        <v>71</v>
      </c>
      <c r="M56" t="s">
        <v>86</v>
      </c>
      <c r="N56" t="s">
        <v>127</v>
      </c>
    </row>
    <row r="57" spans="1:14" x14ac:dyDescent="0.25">
      <c r="A57" t="s">
        <v>122</v>
      </c>
      <c r="B57">
        <v>3090</v>
      </c>
      <c r="C57">
        <v>573</v>
      </c>
      <c r="E57">
        <v>6</v>
      </c>
      <c r="F57" t="s">
        <v>45</v>
      </c>
      <c r="G57" t="s">
        <v>46</v>
      </c>
      <c r="H57" t="s">
        <v>40</v>
      </c>
      <c r="J57" s="1">
        <v>44481</v>
      </c>
      <c r="K57" t="s">
        <v>128</v>
      </c>
      <c r="L57" t="s">
        <v>71</v>
      </c>
      <c r="M57" t="s">
        <v>72</v>
      </c>
      <c r="N57" t="s">
        <v>37</v>
      </c>
    </row>
    <row r="58" spans="1:14" x14ac:dyDescent="0.25">
      <c r="A58" t="s">
        <v>122</v>
      </c>
      <c r="B58">
        <v>9683</v>
      </c>
      <c r="C58">
        <v>1014</v>
      </c>
      <c r="E58">
        <v>5</v>
      </c>
      <c r="F58" t="s">
        <v>13</v>
      </c>
      <c r="G58" t="s">
        <v>28</v>
      </c>
      <c r="H58" t="s">
        <v>15</v>
      </c>
      <c r="J58" s="1">
        <v>45653</v>
      </c>
      <c r="K58" t="s">
        <v>123</v>
      </c>
      <c r="L58" t="s">
        <v>42</v>
      </c>
      <c r="M58" t="s">
        <v>75</v>
      </c>
      <c r="N58" t="s">
        <v>23</v>
      </c>
    </row>
    <row r="59" spans="1:14" x14ac:dyDescent="0.25">
      <c r="A59" t="s">
        <v>122</v>
      </c>
      <c r="B59">
        <v>9683</v>
      </c>
      <c r="C59">
        <v>1014</v>
      </c>
      <c r="E59">
        <v>5</v>
      </c>
      <c r="F59" t="s">
        <v>13</v>
      </c>
      <c r="G59" t="s">
        <v>28</v>
      </c>
      <c r="H59" t="s">
        <v>15</v>
      </c>
      <c r="J59" s="1">
        <v>44365</v>
      </c>
      <c r="K59" t="s">
        <v>124</v>
      </c>
      <c r="L59" t="s">
        <v>98</v>
      </c>
      <c r="M59" t="s">
        <v>107</v>
      </c>
      <c r="N59" t="s">
        <v>125</v>
      </c>
    </row>
    <row r="61" spans="1:14" x14ac:dyDescent="0.25">
      <c r="A61" t="s">
        <v>122</v>
      </c>
      <c r="B61">
        <v>9683</v>
      </c>
      <c r="C61">
        <v>1014</v>
      </c>
      <c r="E61">
        <v>5</v>
      </c>
      <c r="F61" t="s">
        <v>13</v>
      </c>
      <c r="G61" t="s">
        <v>28</v>
      </c>
      <c r="H61" t="s">
        <v>15</v>
      </c>
      <c r="J61" s="1">
        <v>45073</v>
      </c>
      <c r="K61" t="s">
        <v>126</v>
      </c>
      <c r="L61" t="s">
        <v>71</v>
      </c>
      <c r="M61" t="s">
        <v>86</v>
      </c>
      <c r="N61" t="s">
        <v>127</v>
      </c>
    </row>
    <row r="62" spans="1:14" x14ac:dyDescent="0.25">
      <c r="A62" t="s">
        <v>122</v>
      </c>
      <c r="B62">
        <v>9683</v>
      </c>
      <c r="C62">
        <v>1014</v>
      </c>
      <c r="E62">
        <v>5</v>
      </c>
      <c r="F62" t="s">
        <v>13</v>
      </c>
      <c r="G62" t="s">
        <v>28</v>
      </c>
      <c r="H62" t="s">
        <v>15</v>
      </c>
      <c r="J62" s="1">
        <v>44481</v>
      </c>
      <c r="K62" t="s">
        <v>128</v>
      </c>
      <c r="L62" t="s">
        <v>71</v>
      </c>
      <c r="M62" t="s">
        <v>72</v>
      </c>
      <c r="N62" t="s">
        <v>37</v>
      </c>
    </row>
    <row r="63" spans="1:14" x14ac:dyDescent="0.25">
      <c r="A63" t="s">
        <v>129</v>
      </c>
      <c r="B63">
        <v>2463</v>
      </c>
      <c r="C63">
        <v>648</v>
      </c>
      <c r="E63">
        <v>18</v>
      </c>
      <c r="F63" t="s">
        <v>45</v>
      </c>
      <c r="G63" t="s">
        <v>46</v>
      </c>
      <c r="H63" t="s">
        <v>40</v>
      </c>
      <c r="J63" s="1">
        <v>44823</v>
      </c>
      <c r="K63" t="s">
        <v>130</v>
      </c>
      <c r="L63" t="s">
        <v>98</v>
      </c>
      <c r="M63" t="s">
        <v>107</v>
      </c>
      <c r="N63" t="s">
        <v>131</v>
      </c>
    </row>
    <row r="64" spans="1:14" x14ac:dyDescent="0.25">
      <c r="A64" t="s">
        <v>132</v>
      </c>
      <c r="B64">
        <v>7811</v>
      </c>
      <c r="C64">
        <v>1538</v>
      </c>
      <c r="E64">
        <v>12</v>
      </c>
      <c r="F64" t="s">
        <v>45</v>
      </c>
      <c r="G64" t="s">
        <v>60</v>
      </c>
      <c r="H64" t="s">
        <v>65</v>
      </c>
      <c r="J64" s="1">
        <v>44645</v>
      </c>
      <c r="K64" t="s">
        <v>133</v>
      </c>
      <c r="L64" t="s">
        <v>17</v>
      </c>
      <c r="M64" t="s">
        <v>18</v>
      </c>
      <c r="N64" t="s">
        <v>134</v>
      </c>
    </row>
    <row r="65" spans="1:14" x14ac:dyDescent="0.25">
      <c r="A65" t="s">
        <v>135</v>
      </c>
      <c r="B65">
        <v>6139</v>
      </c>
      <c r="C65">
        <v>451</v>
      </c>
      <c r="E65">
        <v>10</v>
      </c>
      <c r="F65" t="s">
        <v>45</v>
      </c>
      <c r="G65" t="s">
        <v>46</v>
      </c>
      <c r="H65" t="s">
        <v>32</v>
      </c>
      <c r="J65" s="1">
        <v>44618</v>
      </c>
      <c r="K65" t="s">
        <v>136</v>
      </c>
      <c r="L65" t="s">
        <v>17</v>
      </c>
      <c r="M65" t="s">
        <v>34</v>
      </c>
      <c r="N65" t="s">
        <v>137</v>
      </c>
    </row>
    <row r="66" spans="1:14" x14ac:dyDescent="0.25">
      <c r="A66" t="s">
        <v>135</v>
      </c>
      <c r="B66">
        <v>6139</v>
      </c>
      <c r="C66">
        <v>451</v>
      </c>
      <c r="E66">
        <v>10</v>
      </c>
      <c r="F66" t="s">
        <v>45</v>
      </c>
      <c r="G66" t="s">
        <v>46</v>
      </c>
      <c r="H66" t="s">
        <v>32</v>
      </c>
      <c r="J66" s="1">
        <v>44291</v>
      </c>
      <c r="K66" t="s">
        <v>91</v>
      </c>
      <c r="L66" t="s">
        <v>71</v>
      </c>
      <c r="M66" t="s">
        <v>138</v>
      </c>
      <c r="N66" t="s">
        <v>139</v>
      </c>
    </row>
    <row r="67" spans="1:14" x14ac:dyDescent="0.25">
      <c r="A67" t="s">
        <v>135</v>
      </c>
      <c r="B67">
        <v>8636</v>
      </c>
      <c r="C67">
        <v>3192</v>
      </c>
      <c r="E67">
        <v>3</v>
      </c>
      <c r="F67" t="s">
        <v>45</v>
      </c>
      <c r="G67" t="s">
        <v>49</v>
      </c>
      <c r="H67" t="s">
        <v>65</v>
      </c>
      <c r="J67" s="1">
        <v>44618</v>
      </c>
      <c r="K67" t="s">
        <v>136</v>
      </c>
      <c r="L67" t="s">
        <v>17</v>
      </c>
      <c r="M67" t="s">
        <v>34</v>
      </c>
      <c r="N67" t="s">
        <v>137</v>
      </c>
    </row>
    <row r="68" spans="1:14" x14ac:dyDescent="0.25">
      <c r="A68" t="s">
        <v>135</v>
      </c>
      <c r="B68">
        <v>8636</v>
      </c>
      <c r="C68">
        <v>3192</v>
      </c>
      <c r="E68">
        <v>3</v>
      </c>
      <c r="F68" t="s">
        <v>45</v>
      </c>
      <c r="G68" t="s">
        <v>49</v>
      </c>
      <c r="H68" t="s">
        <v>65</v>
      </c>
      <c r="J68" s="1">
        <v>44291</v>
      </c>
      <c r="K68" t="s">
        <v>91</v>
      </c>
      <c r="L68" t="s">
        <v>71</v>
      </c>
      <c r="M68" t="s">
        <v>138</v>
      </c>
      <c r="N68" t="s">
        <v>139</v>
      </c>
    </row>
    <row r="69" spans="1:14" x14ac:dyDescent="0.25">
      <c r="A69" t="s">
        <v>135</v>
      </c>
      <c r="B69">
        <v>4439</v>
      </c>
      <c r="C69">
        <v>1712</v>
      </c>
      <c r="E69">
        <v>19</v>
      </c>
      <c r="F69" t="s">
        <v>45</v>
      </c>
      <c r="G69" t="s">
        <v>60</v>
      </c>
      <c r="H69" t="s">
        <v>47</v>
      </c>
      <c r="J69" s="1">
        <v>44618</v>
      </c>
      <c r="K69" t="s">
        <v>136</v>
      </c>
      <c r="L69" t="s">
        <v>17</v>
      </c>
      <c r="M69" t="s">
        <v>34</v>
      </c>
      <c r="N69" t="s">
        <v>137</v>
      </c>
    </row>
    <row r="70" spans="1:14" x14ac:dyDescent="0.25">
      <c r="A70" t="s">
        <v>135</v>
      </c>
      <c r="B70">
        <v>4439</v>
      </c>
      <c r="C70">
        <v>1712</v>
      </c>
      <c r="E70">
        <v>19</v>
      </c>
      <c r="F70" t="s">
        <v>45</v>
      </c>
      <c r="G70" t="s">
        <v>60</v>
      </c>
      <c r="H70" t="s">
        <v>47</v>
      </c>
      <c r="J70" s="1">
        <v>44291</v>
      </c>
      <c r="K70" t="s">
        <v>91</v>
      </c>
      <c r="L70" t="s">
        <v>71</v>
      </c>
      <c r="M70" t="s">
        <v>138</v>
      </c>
      <c r="N70" t="s">
        <v>139</v>
      </c>
    </row>
    <row r="71" spans="1:14" x14ac:dyDescent="0.25">
      <c r="A71" t="s">
        <v>140</v>
      </c>
      <c r="B71">
        <v>1016</v>
      </c>
      <c r="C71">
        <v>172</v>
      </c>
      <c r="E71">
        <v>20</v>
      </c>
      <c r="F71" t="s">
        <v>45</v>
      </c>
      <c r="G71" t="s">
        <v>46</v>
      </c>
      <c r="H71" t="s">
        <v>32</v>
      </c>
      <c r="J71" s="1">
        <v>44151</v>
      </c>
      <c r="K71" t="s">
        <v>141</v>
      </c>
      <c r="L71" t="s">
        <v>25</v>
      </c>
      <c r="M71" t="s">
        <v>26</v>
      </c>
      <c r="N71" t="s">
        <v>80</v>
      </c>
    </row>
    <row r="72" spans="1:14" x14ac:dyDescent="0.25">
      <c r="A72" t="s">
        <v>140</v>
      </c>
      <c r="B72">
        <v>5768</v>
      </c>
      <c r="C72">
        <v>2059</v>
      </c>
      <c r="E72">
        <v>14</v>
      </c>
      <c r="F72" t="s">
        <v>45</v>
      </c>
      <c r="G72" t="s">
        <v>46</v>
      </c>
      <c r="H72" t="s">
        <v>15</v>
      </c>
      <c r="J72" s="1">
        <v>44151</v>
      </c>
      <c r="K72" t="s">
        <v>141</v>
      </c>
      <c r="L72" t="s">
        <v>25</v>
      </c>
      <c r="M72" t="s">
        <v>26</v>
      </c>
      <c r="N72" t="s">
        <v>80</v>
      </c>
    </row>
    <row r="73" spans="1:14" x14ac:dyDescent="0.25">
      <c r="A73" t="s">
        <v>140</v>
      </c>
      <c r="B73">
        <v>1217</v>
      </c>
      <c r="C73">
        <v>151</v>
      </c>
      <c r="E73">
        <v>3</v>
      </c>
      <c r="F73" t="s">
        <v>45</v>
      </c>
      <c r="G73" t="s">
        <v>46</v>
      </c>
      <c r="H73" t="s">
        <v>47</v>
      </c>
      <c r="J73" s="1">
        <v>44151</v>
      </c>
      <c r="K73" t="s">
        <v>141</v>
      </c>
      <c r="L73" t="s">
        <v>25</v>
      </c>
      <c r="M73" t="s">
        <v>26</v>
      </c>
      <c r="N73" t="s">
        <v>80</v>
      </c>
    </row>
    <row r="74" spans="1:14" x14ac:dyDescent="0.25">
      <c r="A74" t="s">
        <v>142</v>
      </c>
      <c r="B74">
        <v>953</v>
      </c>
      <c r="C74">
        <v>93</v>
      </c>
      <c r="E74">
        <v>2</v>
      </c>
      <c r="F74" t="s">
        <v>30</v>
      </c>
      <c r="G74" t="s">
        <v>64</v>
      </c>
      <c r="H74" t="s">
        <v>32</v>
      </c>
      <c r="J74" s="1">
        <v>45638</v>
      </c>
      <c r="K74" t="s">
        <v>143</v>
      </c>
      <c r="L74" t="s">
        <v>98</v>
      </c>
      <c r="M74" t="s">
        <v>117</v>
      </c>
      <c r="N74" t="s">
        <v>23</v>
      </c>
    </row>
    <row r="75" spans="1:14" x14ac:dyDescent="0.25">
      <c r="A75" t="s">
        <v>142</v>
      </c>
      <c r="B75">
        <v>953</v>
      </c>
      <c r="C75">
        <v>93</v>
      </c>
      <c r="E75">
        <v>2</v>
      </c>
      <c r="F75" t="s">
        <v>30</v>
      </c>
      <c r="G75" t="s">
        <v>64</v>
      </c>
      <c r="H75" t="s">
        <v>32</v>
      </c>
      <c r="J75" s="1">
        <v>45022</v>
      </c>
      <c r="K75" t="s">
        <v>144</v>
      </c>
      <c r="L75" t="s">
        <v>42</v>
      </c>
      <c r="M75" t="s">
        <v>43</v>
      </c>
      <c r="N75" t="s">
        <v>145</v>
      </c>
    </row>
    <row r="76" spans="1:14" x14ac:dyDescent="0.25">
      <c r="A76" t="s">
        <v>142</v>
      </c>
      <c r="B76">
        <v>7355</v>
      </c>
      <c r="C76">
        <v>1034</v>
      </c>
      <c r="E76">
        <v>3</v>
      </c>
      <c r="F76" t="s">
        <v>45</v>
      </c>
      <c r="G76" t="s">
        <v>60</v>
      </c>
      <c r="H76" t="s">
        <v>65</v>
      </c>
      <c r="J76" s="1">
        <v>45638</v>
      </c>
      <c r="K76" t="s">
        <v>143</v>
      </c>
      <c r="L76" t="s">
        <v>98</v>
      </c>
      <c r="M76" t="s">
        <v>117</v>
      </c>
      <c r="N76" t="s">
        <v>23</v>
      </c>
    </row>
    <row r="77" spans="1:14" x14ac:dyDescent="0.25">
      <c r="A77" t="s">
        <v>142</v>
      </c>
      <c r="B77">
        <v>7355</v>
      </c>
      <c r="C77">
        <v>1034</v>
      </c>
      <c r="E77">
        <v>3</v>
      </c>
      <c r="F77" t="s">
        <v>45</v>
      </c>
      <c r="G77" t="s">
        <v>60</v>
      </c>
      <c r="H77" t="s">
        <v>65</v>
      </c>
      <c r="J77" s="1">
        <v>45022</v>
      </c>
      <c r="K77" t="s">
        <v>144</v>
      </c>
      <c r="L77" t="s">
        <v>42</v>
      </c>
      <c r="M77" t="s">
        <v>43</v>
      </c>
      <c r="N77" t="s">
        <v>145</v>
      </c>
    </row>
    <row r="78" spans="1:14" x14ac:dyDescent="0.25">
      <c r="A78" t="s">
        <v>142</v>
      </c>
      <c r="B78">
        <v>1843</v>
      </c>
      <c r="C78">
        <v>248</v>
      </c>
      <c r="E78">
        <v>3</v>
      </c>
      <c r="F78" t="s">
        <v>13</v>
      </c>
      <c r="G78" t="s">
        <v>82</v>
      </c>
      <c r="H78" t="s">
        <v>47</v>
      </c>
      <c r="J78" s="1">
        <v>45638</v>
      </c>
      <c r="K78" t="s">
        <v>143</v>
      </c>
      <c r="L78" t="s">
        <v>98</v>
      </c>
      <c r="M78" t="s">
        <v>117</v>
      </c>
      <c r="N78" t="s">
        <v>23</v>
      </c>
    </row>
    <row r="79" spans="1:14" x14ac:dyDescent="0.25">
      <c r="A79" t="s">
        <v>142</v>
      </c>
      <c r="B79">
        <v>1843</v>
      </c>
      <c r="C79">
        <v>248</v>
      </c>
      <c r="E79">
        <v>3</v>
      </c>
      <c r="F79" t="s">
        <v>13</v>
      </c>
      <c r="G79" t="s">
        <v>82</v>
      </c>
      <c r="H79" t="s">
        <v>47</v>
      </c>
      <c r="J79" s="1">
        <v>45022</v>
      </c>
      <c r="K79" t="s">
        <v>144</v>
      </c>
      <c r="L79" t="s">
        <v>42</v>
      </c>
      <c r="M79" t="s">
        <v>43</v>
      </c>
      <c r="N79" t="s">
        <v>145</v>
      </c>
    </row>
    <row r="80" spans="1:14" x14ac:dyDescent="0.25">
      <c r="A80" t="s">
        <v>142</v>
      </c>
      <c r="B80">
        <v>1603</v>
      </c>
      <c r="C80">
        <v>361</v>
      </c>
      <c r="E80">
        <v>10</v>
      </c>
      <c r="F80" t="s">
        <v>30</v>
      </c>
      <c r="G80" t="s">
        <v>31</v>
      </c>
      <c r="H80" t="s">
        <v>32</v>
      </c>
      <c r="J80" s="1">
        <v>45638</v>
      </c>
      <c r="K80" t="s">
        <v>143</v>
      </c>
      <c r="L80" t="s">
        <v>98</v>
      </c>
      <c r="M80" t="s">
        <v>117</v>
      </c>
      <c r="N80" t="s">
        <v>23</v>
      </c>
    </row>
    <row r="81" spans="1:14" x14ac:dyDescent="0.25">
      <c r="A81" t="s">
        <v>142</v>
      </c>
      <c r="B81">
        <v>1603</v>
      </c>
      <c r="C81">
        <v>361</v>
      </c>
      <c r="E81">
        <v>10</v>
      </c>
      <c r="F81" t="s">
        <v>30</v>
      </c>
      <c r="G81" t="s">
        <v>31</v>
      </c>
      <c r="H81" t="s">
        <v>32</v>
      </c>
      <c r="J81" s="1">
        <v>45022</v>
      </c>
      <c r="K81" t="s">
        <v>144</v>
      </c>
      <c r="L81" t="s">
        <v>42</v>
      </c>
      <c r="M81" t="s">
        <v>43</v>
      </c>
      <c r="N81" t="s">
        <v>145</v>
      </c>
    </row>
    <row r="82" spans="1:14" x14ac:dyDescent="0.25">
      <c r="A82" t="s">
        <v>146</v>
      </c>
      <c r="B82">
        <v>2025</v>
      </c>
      <c r="C82">
        <v>528</v>
      </c>
      <c r="E82">
        <v>1</v>
      </c>
      <c r="F82" t="s">
        <v>30</v>
      </c>
      <c r="G82" t="s">
        <v>31</v>
      </c>
      <c r="H82" t="s">
        <v>47</v>
      </c>
      <c r="J82" s="1">
        <v>45319</v>
      </c>
      <c r="K82" t="s">
        <v>147</v>
      </c>
      <c r="L82" t="s">
        <v>17</v>
      </c>
      <c r="M82" t="s">
        <v>18</v>
      </c>
      <c r="N82" t="s">
        <v>76</v>
      </c>
    </row>
    <row r="83" spans="1:14" x14ac:dyDescent="0.25">
      <c r="A83" t="s">
        <v>146</v>
      </c>
      <c r="B83">
        <v>6800</v>
      </c>
      <c r="C83">
        <v>167</v>
      </c>
      <c r="E83">
        <v>16</v>
      </c>
      <c r="F83" t="s">
        <v>30</v>
      </c>
      <c r="G83" t="s">
        <v>78</v>
      </c>
      <c r="H83" t="s">
        <v>40</v>
      </c>
      <c r="J83" s="1">
        <v>45319</v>
      </c>
      <c r="K83" t="s">
        <v>147</v>
      </c>
      <c r="L83" t="s">
        <v>17</v>
      </c>
      <c r="M83" t="s">
        <v>18</v>
      </c>
      <c r="N83" t="s">
        <v>76</v>
      </c>
    </row>
    <row r="84" spans="1:14" x14ac:dyDescent="0.25">
      <c r="A84" t="s">
        <v>148</v>
      </c>
      <c r="B84">
        <v>1126</v>
      </c>
      <c r="C84">
        <v>55</v>
      </c>
      <c r="E84">
        <v>1</v>
      </c>
      <c r="F84" t="s">
        <v>45</v>
      </c>
      <c r="G84" t="s">
        <v>109</v>
      </c>
      <c r="H84" t="s">
        <v>15</v>
      </c>
      <c r="J84" s="1">
        <v>44577</v>
      </c>
      <c r="K84" t="s">
        <v>149</v>
      </c>
      <c r="L84" t="s">
        <v>17</v>
      </c>
      <c r="M84" t="s">
        <v>150</v>
      </c>
      <c r="N84" t="s">
        <v>87</v>
      </c>
    </row>
    <row r="85" spans="1:14" x14ac:dyDescent="0.25">
      <c r="A85" t="s">
        <v>148</v>
      </c>
      <c r="B85">
        <v>1126</v>
      </c>
      <c r="C85">
        <v>55</v>
      </c>
      <c r="E85">
        <v>1</v>
      </c>
      <c r="F85" t="s">
        <v>45</v>
      </c>
      <c r="G85" t="s">
        <v>109</v>
      </c>
      <c r="H85" t="s">
        <v>15</v>
      </c>
      <c r="J85" s="1">
        <v>44911</v>
      </c>
      <c r="K85" t="s">
        <v>151</v>
      </c>
      <c r="L85" t="s">
        <v>25</v>
      </c>
      <c r="M85" t="s">
        <v>26</v>
      </c>
      <c r="N85" t="s">
        <v>152</v>
      </c>
    </row>
    <row r="86" spans="1:14" x14ac:dyDescent="0.25">
      <c r="A86" t="s">
        <v>153</v>
      </c>
      <c r="B86">
        <v>7533</v>
      </c>
      <c r="C86">
        <v>3508</v>
      </c>
      <c r="E86">
        <v>12</v>
      </c>
      <c r="F86" t="s">
        <v>45</v>
      </c>
      <c r="G86" t="s">
        <v>46</v>
      </c>
      <c r="H86" t="s">
        <v>15</v>
      </c>
      <c r="J86" s="1">
        <v>45120</v>
      </c>
      <c r="K86" t="s">
        <v>154</v>
      </c>
      <c r="L86" t="s">
        <v>42</v>
      </c>
      <c r="M86" t="s">
        <v>75</v>
      </c>
      <c r="N86" t="s">
        <v>105</v>
      </c>
    </row>
    <row r="87" spans="1:14" x14ac:dyDescent="0.25">
      <c r="A87" t="s">
        <v>153</v>
      </c>
      <c r="B87">
        <v>4734</v>
      </c>
      <c r="C87">
        <v>1178</v>
      </c>
      <c r="E87">
        <v>16</v>
      </c>
      <c r="F87" t="s">
        <v>30</v>
      </c>
      <c r="G87" t="s">
        <v>78</v>
      </c>
      <c r="H87" t="s">
        <v>47</v>
      </c>
      <c r="J87" s="1">
        <v>45120</v>
      </c>
      <c r="K87" t="s">
        <v>154</v>
      </c>
      <c r="L87" t="s">
        <v>42</v>
      </c>
      <c r="M87" t="s">
        <v>75</v>
      </c>
      <c r="N87" t="s">
        <v>105</v>
      </c>
    </row>
    <row r="88" spans="1:14" x14ac:dyDescent="0.25">
      <c r="A88" t="s">
        <v>153</v>
      </c>
      <c r="B88">
        <v>4074</v>
      </c>
      <c r="C88">
        <v>1175</v>
      </c>
      <c r="E88">
        <v>6</v>
      </c>
      <c r="F88" t="s">
        <v>13</v>
      </c>
      <c r="G88" t="s">
        <v>14</v>
      </c>
      <c r="H88" t="s">
        <v>32</v>
      </c>
      <c r="J88" s="1">
        <v>45120</v>
      </c>
      <c r="K88" t="s">
        <v>154</v>
      </c>
      <c r="L88" t="s">
        <v>42</v>
      </c>
      <c r="M88" t="s">
        <v>75</v>
      </c>
      <c r="N88" t="s">
        <v>105</v>
      </c>
    </row>
    <row r="89" spans="1:14" x14ac:dyDescent="0.25">
      <c r="A89" t="s">
        <v>153</v>
      </c>
      <c r="B89">
        <v>2334</v>
      </c>
      <c r="C89">
        <v>484</v>
      </c>
      <c r="E89">
        <v>3</v>
      </c>
      <c r="F89" t="s">
        <v>45</v>
      </c>
      <c r="G89" t="s">
        <v>60</v>
      </c>
      <c r="H89" t="s">
        <v>47</v>
      </c>
      <c r="J89" s="1">
        <v>45120</v>
      </c>
      <c r="K89" t="s">
        <v>154</v>
      </c>
      <c r="L89" t="s">
        <v>42</v>
      </c>
      <c r="M89" t="s">
        <v>75</v>
      </c>
      <c r="N89" t="s">
        <v>105</v>
      </c>
    </row>
    <row r="90" spans="1:14" x14ac:dyDescent="0.25">
      <c r="A90" t="s">
        <v>155</v>
      </c>
      <c r="B90">
        <v>2750</v>
      </c>
      <c r="C90">
        <v>1239</v>
      </c>
      <c r="E90">
        <v>11</v>
      </c>
      <c r="F90" t="s">
        <v>13</v>
      </c>
      <c r="G90" t="s">
        <v>82</v>
      </c>
      <c r="H90" t="s">
        <v>32</v>
      </c>
      <c r="J90" s="1">
        <v>45726</v>
      </c>
      <c r="K90" t="s">
        <v>156</v>
      </c>
      <c r="L90" t="s">
        <v>25</v>
      </c>
      <c r="M90" t="s">
        <v>26</v>
      </c>
      <c r="N90" t="s">
        <v>157</v>
      </c>
    </row>
    <row r="91" spans="1:14" x14ac:dyDescent="0.25">
      <c r="A91" t="s">
        <v>155</v>
      </c>
      <c r="B91">
        <v>2750</v>
      </c>
      <c r="C91">
        <v>1239</v>
      </c>
      <c r="E91">
        <v>11</v>
      </c>
      <c r="F91" t="s">
        <v>13</v>
      </c>
      <c r="G91" t="s">
        <v>82</v>
      </c>
      <c r="H91" t="s">
        <v>32</v>
      </c>
      <c r="J91" s="1">
        <v>45559</v>
      </c>
      <c r="K91" t="s">
        <v>158</v>
      </c>
      <c r="L91" t="s">
        <v>98</v>
      </c>
      <c r="M91" t="s">
        <v>117</v>
      </c>
      <c r="N91" t="s">
        <v>159</v>
      </c>
    </row>
    <row r="93" spans="1:14" x14ac:dyDescent="0.25">
      <c r="A93" t="s">
        <v>155</v>
      </c>
      <c r="B93">
        <v>8639</v>
      </c>
      <c r="C93">
        <v>3104</v>
      </c>
      <c r="E93">
        <v>19</v>
      </c>
      <c r="F93" t="s">
        <v>30</v>
      </c>
      <c r="G93" t="s">
        <v>31</v>
      </c>
      <c r="H93" t="s">
        <v>40</v>
      </c>
      <c r="J93" s="1">
        <v>45726</v>
      </c>
      <c r="K93" t="s">
        <v>156</v>
      </c>
      <c r="L93" t="s">
        <v>25</v>
      </c>
      <c r="M93" t="s">
        <v>26</v>
      </c>
      <c r="N93" t="s">
        <v>157</v>
      </c>
    </row>
    <row r="94" spans="1:14" x14ac:dyDescent="0.25">
      <c r="A94" t="s">
        <v>155</v>
      </c>
      <c r="B94">
        <v>8639</v>
      </c>
      <c r="C94">
        <v>3104</v>
      </c>
      <c r="E94">
        <v>19</v>
      </c>
      <c r="F94" t="s">
        <v>30</v>
      </c>
      <c r="G94" t="s">
        <v>31</v>
      </c>
      <c r="H94" t="s">
        <v>40</v>
      </c>
      <c r="J94" s="1">
        <v>45559</v>
      </c>
      <c r="K94" t="s">
        <v>158</v>
      </c>
      <c r="L94" t="s">
        <v>98</v>
      </c>
      <c r="M94" t="s">
        <v>117</v>
      </c>
      <c r="N94" t="s">
        <v>159</v>
      </c>
    </row>
    <row r="95" spans="1:14" x14ac:dyDescent="0.25">
      <c r="A95" t="s">
        <v>160</v>
      </c>
      <c r="B95">
        <v>3808</v>
      </c>
      <c r="C95">
        <v>1192</v>
      </c>
      <c r="E95">
        <v>4</v>
      </c>
      <c r="F95" t="s">
        <v>30</v>
      </c>
      <c r="G95" t="s">
        <v>57</v>
      </c>
      <c r="H95" t="s">
        <v>15</v>
      </c>
      <c r="J95" s="1">
        <v>43934</v>
      </c>
      <c r="K95" t="s">
        <v>161</v>
      </c>
      <c r="L95" t="s">
        <v>25</v>
      </c>
      <c r="M95" t="s">
        <v>51</v>
      </c>
      <c r="N95" t="s">
        <v>162</v>
      </c>
    </row>
    <row r="96" spans="1:14" x14ac:dyDescent="0.25">
      <c r="A96" t="s">
        <v>160</v>
      </c>
      <c r="B96">
        <v>2588</v>
      </c>
      <c r="C96">
        <v>705</v>
      </c>
      <c r="E96">
        <v>16</v>
      </c>
      <c r="F96" t="s">
        <v>30</v>
      </c>
      <c r="G96" t="s">
        <v>31</v>
      </c>
      <c r="H96" t="s">
        <v>47</v>
      </c>
      <c r="J96" s="1">
        <v>43934</v>
      </c>
      <c r="K96" t="s">
        <v>161</v>
      </c>
      <c r="L96" t="s">
        <v>25</v>
      </c>
      <c r="M96" t="s">
        <v>51</v>
      </c>
      <c r="N96" t="s">
        <v>162</v>
      </c>
    </row>
    <row r="97" spans="1:14" x14ac:dyDescent="0.25">
      <c r="A97" t="s">
        <v>163</v>
      </c>
      <c r="B97">
        <v>1591</v>
      </c>
      <c r="C97">
        <v>727</v>
      </c>
      <c r="E97">
        <v>5</v>
      </c>
      <c r="F97" t="s">
        <v>13</v>
      </c>
      <c r="G97" t="s">
        <v>14</v>
      </c>
      <c r="H97" t="s">
        <v>47</v>
      </c>
      <c r="J97" s="1">
        <v>44739</v>
      </c>
      <c r="K97" t="s">
        <v>164</v>
      </c>
      <c r="L97" t="s">
        <v>21</v>
      </c>
      <c r="M97" t="s">
        <v>63</v>
      </c>
      <c r="N97" t="s">
        <v>165</v>
      </c>
    </row>
    <row r="98" spans="1:14" x14ac:dyDescent="0.25">
      <c r="A98" t="s">
        <v>163</v>
      </c>
      <c r="B98">
        <v>1591</v>
      </c>
      <c r="C98">
        <v>727</v>
      </c>
      <c r="E98">
        <v>5</v>
      </c>
      <c r="F98" t="s">
        <v>13</v>
      </c>
      <c r="G98" t="s">
        <v>14</v>
      </c>
      <c r="H98" t="s">
        <v>47</v>
      </c>
      <c r="J98" s="1">
        <v>44269</v>
      </c>
      <c r="K98" t="s">
        <v>166</v>
      </c>
      <c r="L98" t="s">
        <v>17</v>
      </c>
      <c r="M98" t="s">
        <v>150</v>
      </c>
      <c r="N98" t="s">
        <v>167</v>
      </c>
    </row>
    <row r="99" spans="1:14" x14ac:dyDescent="0.25">
      <c r="A99" t="s">
        <v>163</v>
      </c>
      <c r="B99">
        <v>1591</v>
      </c>
      <c r="C99">
        <v>727</v>
      </c>
      <c r="E99">
        <v>5</v>
      </c>
      <c r="F99" t="s">
        <v>13</v>
      </c>
      <c r="G99" t="s">
        <v>14</v>
      </c>
      <c r="H99" t="s">
        <v>47</v>
      </c>
      <c r="J99" s="1">
        <v>44615</v>
      </c>
      <c r="K99" t="s">
        <v>168</v>
      </c>
      <c r="L99" t="s">
        <v>98</v>
      </c>
      <c r="M99" t="s">
        <v>107</v>
      </c>
      <c r="N99" t="s">
        <v>137</v>
      </c>
    </row>
    <row r="100" spans="1:14" x14ac:dyDescent="0.25">
      <c r="A100" t="s">
        <v>169</v>
      </c>
      <c r="B100">
        <v>1757</v>
      </c>
      <c r="C100">
        <v>622</v>
      </c>
      <c r="E100">
        <v>10</v>
      </c>
      <c r="F100" t="s">
        <v>45</v>
      </c>
      <c r="G100" t="s">
        <v>49</v>
      </c>
      <c r="H100" t="s">
        <v>15</v>
      </c>
      <c r="J100" s="1">
        <v>44649</v>
      </c>
      <c r="K100" t="s">
        <v>170</v>
      </c>
      <c r="L100" t="s">
        <v>98</v>
      </c>
      <c r="M100" t="s">
        <v>117</v>
      </c>
      <c r="N100" t="s">
        <v>134</v>
      </c>
    </row>
    <row r="101" spans="1:14" x14ac:dyDescent="0.25">
      <c r="A101" t="s">
        <v>169</v>
      </c>
      <c r="B101">
        <v>1757</v>
      </c>
      <c r="C101">
        <v>622</v>
      </c>
      <c r="E101">
        <v>10</v>
      </c>
      <c r="F101" t="s">
        <v>45</v>
      </c>
      <c r="G101" t="s">
        <v>49</v>
      </c>
      <c r="H101" t="s">
        <v>15</v>
      </c>
      <c r="J101" s="1">
        <v>44885</v>
      </c>
      <c r="K101" t="s">
        <v>171</v>
      </c>
      <c r="L101" t="s">
        <v>21</v>
      </c>
      <c r="M101" t="s">
        <v>172</v>
      </c>
      <c r="N101" t="s">
        <v>44</v>
      </c>
    </row>
    <row r="102" spans="1:14" x14ac:dyDescent="0.25">
      <c r="A102" t="s">
        <v>173</v>
      </c>
      <c r="B102">
        <v>6940</v>
      </c>
      <c r="C102">
        <v>253</v>
      </c>
      <c r="E102">
        <v>15</v>
      </c>
      <c r="F102" t="s">
        <v>45</v>
      </c>
      <c r="G102" t="s">
        <v>109</v>
      </c>
      <c r="H102" t="s">
        <v>32</v>
      </c>
      <c r="J102" s="1">
        <v>44512</v>
      </c>
      <c r="K102" t="s">
        <v>174</v>
      </c>
      <c r="L102" t="s">
        <v>17</v>
      </c>
      <c r="M102" t="s">
        <v>34</v>
      </c>
      <c r="N102" t="s">
        <v>175</v>
      </c>
    </row>
    <row r="103" spans="1:14" x14ac:dyDescent="0.25">
      <c r="A103" t="s">
        <v>173</v>
      </c>
      <c r="B103">
        <v>5105</v>
      </c>
      <c r="C103">
        <v>465</v>
      </c>
      <c r="E103">
        <v>5</v>
      </c>
      <c r="F103" t="s">
        <v>13</v>
      </c>
      <c r="G103" t="s">
        <v>28</v>
      </c>
      <c r="H103" t="s">
        <v>15</v>
      </c>
      <c r="J103" s="1">
        <v>44512</v>
      </c>
      <c r="K103" t="s">
        <v>174</v>
      </c>
      <c r="L103" t="s">
        <v>17</v>
      </c>
      <c r="M103" t="s">
        <v>34</v>
      </c>
      <c r="N103" t="s">
        <v>175</v>
      </c>
    </row>
    <row r="104" spans="1:14" x14ac:dyDescent="0.25">
      <c r="A104" t="s">
        <v>176</v>
      </c>
      <c r="B104">
        <v>5578</v>
      </c>
      <c r="C104">
        <v>277</v>
      </c>
      <c r="E104">
        <v>16</v>
      </c>
      <c r="F104" t="s">
        <v>45</v>
      </c>
      <c r="G104" t="s">
        <v>46</v>
      </c>
      <c r="H104" t="s">
        <v>65</v>
      </c>
      <c r="J104" s="1">
        <v>44425</v>
      </c>
      <c r="K104" t="s">
        <v>177</v>
      </c>
      <c r="L104" t="s">
        <v>17</v>
      </c>
      <c r="M104" t="s">
        <v>18</v>
      </c>
      <c r="N104" t="s">
        <v>178</v>
      </c>
    </row>
    <row r="105" spans="1:14" x14ac:dyDescent="0.25">
      <c r="A105" t="s">
        <v>176</v>
      </c>
      <c r="B105">
        <v>5578</v>
      </c>
      <c r="C105">
        <v>277</v>
      </c>
      <c r="E105">
        <v>16</v>
      </c>
      <c r="F105" t="s">
        <v>45</v>
      </c>
      <c r="G105" t="s">
        <v>46</v>
      </c>
      <c r="H105" t="s">
        <v>65</v>
      </c>
      <c r="J105" s="1">
        <v>44697</v>
      </c>
      <c r="K105" t="s">
        <v>179</v>
      </c>
      <c r="L105" t="s">
        <v>98</v>
      </c>
      <c r="M105" t="s">
        <v>99</v>
      </c>
      <c r="N105" t="s">
        <v>180</v>
      </c>
    </row>
    <row r="106" spans="1:14" x14ac:dyDescent="0.25">
      <c r="A106" t="s">
        <v>181</v>
      </c>
      <c r="B106">
        <v>5224</v>
      </c>
      <c r="C106">
        <v>1958</v>
      </c>
      <c r="E106">
        <v>16</v>
      </c>
      <c r="F106" t="s">
        <v>45</v>
      </c>
      <c r="G106" t="s">
        <v>49</v>
      </c>
      <c r="H106" t="s">
        <v>47</v>
      </c>
      <c r="J106" s="1">
        <v>45123</v>
      </c>
      <c r="K106" t="s">
        <v>182</v>
      </c>
      <c r="L106" t="s">
        <v>71</v>
      </c>
      <c r="M106" t="s">
        <v>138</v>
      </c>
      <c r="N106" t="s">
        <v>105</v>
      </c>
    </row>
    <row r="107" spans="1:14" x14ac:dyDescent="0.25">
      <c r="A107" t="s">
        <v>181</v>
      </c>
      <c r="B107">
        <v>5002</v>
      </c>
      <c r="C107">
        <v>1801</v>
      </c>
      <c r="E107">
        <v>11</v>
      </c>
      <c r="F107" t="s">
        <v>30</v>
      </c>
      <c r="G107" t="s">
        <v>57</v>
      </c>
      <c r="H107" t="s">
        <v>47</v>
      </c>
      <c r="J107" s="1">
        <v>45123</v>
      </c>
      <c r="K107" t="s">
        <v>182</v>
      </c>
      <c r="L107" t="s">
        <v>71</v>
      </c>
      <c r="M107" t="s">
        <v>138</v>
      </c>
      <c r="N107" t="s">
        <v>105</v>
      </c>
    </row>
    <row r="108" spans="1:14" x14ac:dyDescent="0.25">
      <c r="A108" t="s">
        <v>181</v>
      </c>
      <c r="B108">
        <v>7380</v>
      </c>
      <c r="C108">
        <v>1673</v>
      </c>
      <c r="E108">
        <v>18</v>
      </c>
      <c r="F108" t="s">
        <v>30</v>
      </c>
      <c r="G108" t="s">
        <v>57</v>
      </c>
      <c r="H108" t="s">
        <v>65</v>
      </c>
      <c r="J108" s="1">
        <v>45123</v>
      </c>
      <c r="K108" t="s">
        <v>182</v>
      </c>
      <c r="L108" t="s">
        <v>71</v>
      </c>
      <c r="M108" t="s">
        <v>138</v>
      </c>
      <c r="N108" t="s">
        <v>105</v>
      </c>
    </row>
    <row r="109" spans="1:14" x14ac:dyDescent="0.25">
      <c r="A109" t="s">
        <v>183</v>
      </c>
      <c r="B109">
        <v>7595</v>
      </c>
      <c r="C109">
        <v>2873</v>
      </c>
      <c r="E109">
        <v>4</v>
      </c>
      <c r="F109" t="s">
        <v>45</v>
      </c>
      <c r="G109" t="s">
        <v>49</v>
      </c>
      <c r="H109" t="s">
        <v>32</v>
      </c>
      <c r="J109" s="1">
        <v>44061</v>
      </c>
      <c r="K109" t="s">
        <v>184</v>
      </c>
      <c r="L109" t="s">
        <v>42</v>
      </c>
      <c r="M109" t="s">
        <v>43</v>
      </c>
      <c r="N109" t="s">
        <v>185</v>
      </c>
    </row>
    <row r="110" spans="1:14" x14ac:dyDescent="0.25">
      <c r="A110" t="s">
        <v>183</v>
      </c>
      <c r="B110">
        <v>7595</v>
      </c>
      <c r="C110">
        <v>2873</v>
      </c>
      <c r="E110">
        <v>4</v>
      </c>
      <c r="F110" t="s">
        <v>45</v>
      </c>
      <c r="G110" t="s">
        <v>49</v>
      </c>
      <c r="H110" t="s">
        <v>32</v>
      </c>
      <c r="J110" s="1">
        <v>44670</v>
      </c>
      <c r="K110" t="s">
        <v>186</v>
      </c>
      <c r="L110" t="s">
        <v>25</v>
      </c>
      <c r="M110" t="s">
        <v>68</v>
      </c>
      <c r="N110" t="s">
        <v>187</v>
      </c>
    </row>
    <row r="111" spans="1:14" x14ac:dyDescent="0.25">
      <c r="A111" t="s">
        <v>188</v>
      </c>
      <c r="B111">
        <v>1954</v>
      </c>
      <c r="C111">
        <v>294</v>
      </c>
      <c r="E111">
        <v>7</v>
      </c>
      <c r="F111" t="s">
        <v>45</v>
      </c>
      <c r="G111" t="s">
        <v>60</v>
      </c>
      <c r="H111" t="s">
        <v>32</v>
      </c>
      <c r="J111" s="1">
        <v>44918</v>
      </c>
      <c r="K111" t="s">
        <v>189</v>
      </c>
      <c r="L111" t="s">
        <v>71</v>
      </c>
      <c r="M111" t="s">
        <v>86</v>
      </c>
      <c r="N111" t="s">
        <v>152</v>
      </c>
    </row>
    <row r="112" spans="1:14" x14ac:dyDescent="0.25">
      <c r="A112" t="s">
        <v>190</v>
      </c>
      <c r="B112">
        <v>523</v>
      </c>
      <c r="C112">
        <v>95</v>
      </c>
      <c r="E112">
        <v>20</v>
      </c>
      <c r="F112" t="s">
        <v>13</v>
      </c>
      <c r="G112" t="s">
        <v>28</v>
      </c>
      <c r="H112" t="s">
        <v>40</v>
      </c>
      <c r="J112" s="1">
        <v>45633</v>
      </c>
      <c r="K112" t="s">
        <v>191</v>
      </c>
      <c r="L112" t="s">
        <v>71</v>
      </c>
      <c r="M112" t="s">
        <v>72</v>
      </c>
      <c r="N112" t="s">
        <v>23</v>
      </c>
    </row>
    <row r="113" spans="1:14" x14ac:dyDescent="0.25">
      <c r="A113" t="s">
        <v>192</v>
      </c>
      <c r="B113">
        <v>5704</v>
      </c>
      <c r="C113">
        <v>714</v>
      </c>
      <c r="E113">
        <v>13</v>
      </c>
      <c r="F113" t="s">
        <v>13</v>
      </c>
      <c r="G113" t="s">
        <v>39</v>
      </c>
      <c r="H113" t="s">
        <v>40</v>
      </c>
      <c r="J113" s="1">
        <v>44595</v>
      </c>
      <c r="K113" t="s">
        <v>193</v>
      </c>
      <c r="L113" t="s">
        <v>71</v>
      </c>
      <c r="M113" t="s">
        <v>86</v>
      </c>
      <c r="N113" t="s">
        <v>137</v>
      </c>
    </row>
    <row r="114" spans="1:14" x14ac:dyDescent="0.25">
      <c r="A114" t="s">
        <v>192</v>
      </c>
      <c r="B114">
        <v>5704</v>
      </c>
      <c r="C114">
        <v>714</v>
      </c>
      <c r="E114">
        <v>13</v>
      </c>
      <c r="F114" t="s">
        <v>13</v>
      </c>
      <c r="G114" t="s">
        <v>39</v>
      </c>
      <c r="H114" t="s">
        <v>40</v>
      </c>
      <c r="J114" s="1">
        <v>44542</v>
      </c>
      <c r="K114" t="s">
        <v>194</v>
      </c>
      <c r="L114" t="s">
        <v>42</v>
      </c>
      <c r="M114" t="s">
        <v>75</v>
      </c>
      <c r="N114" t="s">
        <v>90</v>
      </c>
    </row>
    <row r="115" spans="1:14" x14ac:dyDescent="0.25">
      <c r="A115" t="s">
        <v>192</v>
      </c>
      <c r="B115">
        <v>8797</v>
      </c>
      <c r="C115">
        <v>1010</v>
      </c>
      <c r="E115">
        <v>8</v>
      </c>
      <c r="F115" t="s">
        <v>45</v>
      </c>
      <c r="G115" t="s">
        <v>46</v>
      </c>
      <c r="H115" t="s">
        <v>15</v>
      </c>
      <c r="J115" s="1">
        <v>44595</v>
      </c>
      <c r="K115" t="s">
        <v>193</v>
      </c>
      <c r="L115" t="s">
        <v>71</v>
      </c>
      <c r="M115" t="s">
        <v>86</v>
      </c>
      <c r="N115" t="s">
        <v>137</v>
      </c>
    </row>
    <row r="116" spans="1:14" x14ac:dyDescent="0.25">
      <c r="A116" t="s">
        <v>192</v>
      </c>
      <c r="B116">
        <v>8797</v>
      </c>
      <c r="C116">
        <v>1010</v>
      </c>
      <c r="E116">
        <v>8</v>
      </c>
      <c r="F116" t="s">
        <v>45</v>
      </c>
      <c r="G116" t="s">
        <v>46</v>
      </c>
      <c r="H116" t="s">
        <v>15</v>
      </c>
      <c r="J116" s="1">
        <v>44542</v>
      </c>
      <c r="K116" t="s">
        <v>194</v>
      </c>
      <c r="L116" t="s">
        <v>42</v>
      </c>
      <c r="M116" t="s">
        <v>75</v>
      </c>
      <c r="N116" t="s">
        <v>90</v>
      </c>
    </row>
    <row r="117" spans="1:14" x14ac:dyDescent="0.25">
      <c r="A117" t="s">
        <v>192</v>
      </c>
      <c r="B117">
        <v>9236</v>
      </c>
      <c r="C117">
        <v>2899</v>
      </c>
      <c r="E117">
        <v>5</v>
      </c>
      <c r="F117" t="s">
        <v>13</v>
      </c>
      <c r="G117" t="s">
        <v>39</v>
      </c>
      <c r="H117" t="s">
        <v>32</v>
      </c>
      <c r="J117" s="1">
        <v>44595</v>
      </c>
      <c r="K117" t="s">
        <v>193</v>
      </c>
      <c r="L117" t="s">
        <v>71</v>
      </c>
      <c r="M117" t="s">
        <v>86</v>
      </c>
      <c r="N117" t="s">
        <v>137</v>
      </c>
    </row>
    <row r="118" spans="1:14" x14ac:dyDescent="0.25">
      <c r="A118" t="s">
        <v>192</v>
      </c>
      <c r="B118">
        <v>9236</v>
      </c>
      <c r="C118">
        <v>2899</v>
      </c>
      <c r="E118">
        <v>5</v>
      </c>
      <c r="F118" t="s">
        <v>13</v>
      </c>
      <c r="G118" t="s">
        <v>39</v>
      </c>
      <c r="H118" t="s">
        <v>32</v>
      </c>
      <c r="J118" s="1">
        <v>44542</v>
      </c>
      <c r="K118" t="s">
        <v>194</v>
      </c>
      <c r="L118" t="s">
        <v>42</v>
      </c>
      <c r="M118" t="s">
        <v>75</v>
      </c>
      <c r="N118" t="s">
        <v>90</v>
      </c>
    </row>
    <row r="119" spans="1:14" x14ac:dyDescent="0.25">
      <c r="A119" t="s">
        <v>195</v>
      </c>
      <c r="B119">
        <v>9109</v>
      </c>
      <c r="C119">
        <v>586</v>
      </c>
      <c r="E119">
        <v>17</v>
      </c>
      <c r="F119" t="s">
        <v>45</v>
      </c>
      <c r="G119" t="s">
        <v>60</v>
      </c>
      <c r="H119" t="s">
        <v>40</v>
      </c>
      <c r="J119" s="1">
        <v>43968</v>
      </c>
      <c r="K119" t="s">
        <v>196</v>
      </c>
      <c r="L119" t="s">
        <v>17</v>
      </c>
      <c r="M119" t="s">
        <v>18</v>
      </c>
      <c r="N119" t="s">
        <v>59</v>
      </c>
    </row>
    <row r="120" spans="1:14" x14ac:dyDescent="0.25">
      <c r="A120" t="s">
        <v>197</v>
      </c>
      <c r="B120">
        <v>4358</v>
      </c>
      <c r="C120">
        <v>526</v>
      </c>
      <c r="E120">
        <v>19</v>
      </c>
      <c r="F120" t="s">
        <v>13</v>
      </c>
      <c r="G120" t="s">
        <v>82</v>
      </c>
      <c r="H120" t="s">
        <v>47</v>
      </c>
      <c r="J120" s="1">
        <v>44900</v>
      </c>
      <c r="K120" t="s">
        <v>198</v>
      </c>
      <c r="L120" t="s">
        <v>71</v>
      </c>
      <c r="M120" t="s">
        <v>72</v>
      </c>
      <c r="N120" t="s">
        <v>152</v>
      </c>
    </row>
    <row r="121" spans="1:14" x14ac:dyDescent="0.25">
      <c r="A121" t="s">
        <v>197</v>
      </c>
      <c r="B121">
        <v>4358</v>
      </c>
      <c r="C121">
        <v>526</v>
      </c>
      <c r="E121">
        <v>19</v>
      </c>
      <c r="F121" t="s">
        <v>13</v>
      </c>
      <c r="G121" t="s">
        <v>82</v>
      </c>
      <c r="H121" t="s">
        <v>47</v>
      </c>
      <c r="J121" s="1">
        <v>45552</v>
      </c>
      <c r="K121" t="s">
        <v>199</v>
      </c>
      <c r="L121" t="s">
        <v>42</v>
      </c>
      <c r="M121" t="s">
        <v>92</v>
      </c>
      <c r="N121" t="s">
        <v>159</v>
      </c>
    </row>
    <row r="122" spans="1:14" x14ac:dyDescent="0.25">
      <c r="A122" t="s">
        <v>197</v>
      </c>
      <c r="B122">
        <v>6459</v>
      </c>
      <c r="C122">
        <v>825</v>
      </c>
      <c r="E122">
        <v>8</v>
      </c>
      <c r="F122" t="s">
        <v>13</v>
      </c>
      <c r="G122" t="s">
        <v>82</v>
      </c>
      <c r="H122" t="s">
        <v>47</v>
      </c>
      <c r="J122" s="1">
        <v>44900</v>
      </c>
      <c r="K122" t="s">
        <v>198</v>
      </c>
      <c r="L122" t="s">
        <v>71</v>
      </c>
      <c r="M122" t="s">
        <v>72</v>
      </c>
      <c r="N122" t="s">
        <v>152</v>
      </c>
    </row>
    <row r="123" spans="1:14" x14ac:dyDescent="0.25">
      <c r="A123" t="s">
        <v>197</v>
      </c>
      <c r="B123">
        <v>6459</v>
      </c>
      <c r="C123">
        <v>825</v>
      </c>
      <c r="E123">
        <v>8</v>
      </c>
      <c r="F123" t="s">
        <v>13</v>
      </c>
      <c r="G123" t="s">
        <v>82</v>
      </c>
      <c r="H123" t="s">
        <v>47</v>
      </c>
      <c r="J123" s="1">
        <v>45552</v>
      </c>
      <c r="K123" t="s">
        <v>199</v>
      </c>
      <c r="L123" t="s">
        <v>42</v>
      </c>
      <c r="M123" t="s">
        <v>92</v>
      </c>
      <c r="N123" t="s">
        <v>159</v>
      </c>
    </row>
    <row r="124" spans="1:14" x14ac:dyDescent="0.25">
      <c r="A124" t="s">
        <v>200</v>
      </c>
      <c r="B124">
        <v>2478</v>
      </c>
      <c r="C124">
        <v>92</v>
      </c>
      <c r="E124">
        <v>12</v>
      </c>
      <c r="F124" t="s">
        <v>45</v>
      </c>
      <c r="G124" t="s">
        <v>109</v>
      </c>
      <c r="H124" t="s">
        <v>65</v>
      </c>
      <c r="J124" s="1">
        <v>45054</v>
      </c>
      <c r="K124" t="s">
        <v>201</v>
      </c>
      <c r="L124" t="s">
        <v>42</v>
      </c>
      <c r="M124" t="s">
        <v>92</v>
      </c>
      <c r="N124" t="s">
        <v>127</v>
      </c>
    </row>
    <row r="125" spans="1:14" x14ac:dyDescent="0.25">
      <c r="A125" t="s">
        <v>200</v>
      </c>
      <c r="B125">
        <v>2478</v>
      </c>
      <c r="C125">
        <v>92</v>
      </c>
      <c r="E125">
        <v>12</v>
      </c>
      <c r="F125" t="s">
        <v>45</v>
      </c>
      <c r="G125" t="s">
        <v>109</v>
      </c>
      <c r="H125" t="s">
        <v>65</v>
      </c>
      <c r="J125" s="1">
        <v>44258</v>
      </c>
      <c r="K125" t="s">
        <v>202</v>
      </c>
      <c r="L125" t="s">
        <v>25</v>
      </c>
      <c r="M125" t="s">
        <v>51</v>
      </c>
      <c r="N125" t="s">
        <v>167</v>
      </c>
    </row>
    <row r="126" spans="1:14" x14ac:dyDescent="0.25">
      <c r="A126" t="s">
        <v>200</v>
      </c>
      <c r="B126">
        <v>2478</v>
      </c>
      <c r="C126">
        <v>92</v>
      </c>
      <c r="E126">
        <v>12</v>
      </c>
      <c r="F126" t="s">
        <v>45</v>
      </c>
      <c r="G126" t="s">
        <v>109</v>
      </c>
      <c r="H126" t="s">
        <v>65</v>
      </c>
      <c r="J126" s="1">
        <v>44273</v>
      </c>
      <c r="K126" t="s">
        <v>203</v>
      </c>
      <c r="L126" t="s">
        <v>42</v>
      </c>
      <c r="M126" t="s">
        <v>92</v>
      </c>
      <c r="N126" t="s">
        <v>167</v>
      </c>
    </row>
    <row r="128" spans="1:14" x14ac:dyDescent="0.25">
      <c r="A128" t="s">
        <v>200</v>
      </c>
      <c r="B128">
        <v>2478</v>
      </c>
      <c r="C128">
        <v>92</v>
      </c>
      <c r="E128">
        <v>12</v>
      </c>
      <c r="F128" t="s">
        <v>45</v>
      </c>
      <c r="G128" t="s">
        <v>109</v>
      </c>
      <c r="H128" t="s">
        <v>65</v>
      </c>
      <c r="J128" s="1">
        <v>45040</v>
      </c>
      <c r="K128" t="s">
        <v>204</v>
      </c>
      <c r="L128" t="s">
        <v>98</v>
      </c>
      <c r="M128" t="s">
        <v>117</v>
      </c>
      <c r="N128" t="s">
        <v>145</v>
      </c>
    </row>
    <row r="129" spans="1:14" x14ac:dyDescent="0.25">
      <c r="A129" t="s">
        <v>205</v>
      </c>
      <c r="B129">
        <v>9992</v>
      </c>
      <c r="C129">
        <v>3696</v>
      </c>
      <c r="E129">
        <v>20</v>
      </c>
      <c r="F129" t="s">
        <v>30</v>
      </c>
      <c r="G129" t="s">
        <v>31</v>
      </c>
      <c r="H129" t="s">
        <v>32</v>
      </c>
      <c r="J129" s="1">
        <v>44478</v>
      </c>
      <c r="K129" t="s">
        <v>206</v>
      </c>
      <c r="L129" t="s">
        <v>25</v>
      </c>
      <c r="M129" t="s">
        <v>68</v>
      </c>
      <c r="N129" t="s">
        <v>37</v>
      </c>
    </row>
    <row r="130" spans="1:14" x14ac:dyDescent="0.25">
      <c r="A130" t="s">
        <v>205</v>
      </c>
      <c r="B130">
        <v>9992</v>
      </c>
      <c r="C130">
        <v>3696</v>
      </c>
      <c r="E130">
        <v>20</v>
      </c>
      <c r="F130" t="s">
        <v>30</v>
      </c>
      <c r="G130" t="s">
        <v>31</v>
      </c>
      <c r="H130" t="s">
        <v>32</v>
      </c>
      <c r="J130" s="1">
        <v>44666</v>
      </c>
      <c r="K130" t="s">
        <v>207</v>
      </c>
      <c r="L130" t="s">
        <v>71</v>
      </c>
      <c r="M130" t="s">
        <v>86</v>
      </c>
      <c r="N130" t="s">
        <v>187</v>
      </c>
    </row>
    <row r="131" spans="1:14" x14ac:dyDescent="0.25">
      <c r="A131" t="s">
        <v>205</v>
      </c>
      <c r="B131">
        <v>9992</v>
      </c>
      <c r="C131">
        <v>3696</v>
      </c>
      <c r="E131">
        <v>20</v>
      </c>
      <c r="F131" t="s">
        <v>30</v>
      </c>
      <c r="G131" t="s">
        <v>31</v>
      </c>
      <c r="H131" t="s">
        <v>32</v>
      </c>
      <c r="J131" s="1">
        <v>44802</v>
      </c>
      <c r="K131" t="s">
        <v>208</v>
      </c>
      <c r="L131" t="s">
        <v>25</v>
      </c>
      <c r="M131" t="s">
        <v>68</v>
      </c>
      <c r="N131" t="s">
        <v>209</v>
      </c>
    </row>
    <row r="132" spans="1:14" x14ac:dyDescent="0.25">
      <c r="A132" t="s">
        <v>205</v>
      </c>
      <c r="B132">
        <v>9619</v>
      </c>
      <c r="C132">
        <v>3420</v>
      </c>
      <c r="E132">
        <v>7</v>
      </c>
      <c r="F132" t="s">
        <v>30</v>
      </c>
      <c r="G132" t="s">
        <v>78</v>
      </c>
      <c r="H132" t="s">
        <v>15</v>
      </c>
      <c r="J132" s="1">
        <v>44478</v>
      </c>
      <c r="K132" t="s">
        <v>206</v>
      </c>
      <c r="L132" t="s">
        <v>25</v>
      </c>
      <c r="M132" t="s">
        <v>68</v>
      </c>
      <c r="N132" t="s">
        <v>37</v>
      </c>
    </row>
    <row r="133" spans="1:14" x14ac:dyDescent="0.25">
      <c r="A133" t="s">
        <v>205</v>
      </c>
      <c r="B133">
        <v>9619</v>
      </c>
      <c r="C133">
        <v>3420</v>
      </c>
      <c r="E133">
        <v>7</v>
      </c>
      <c r="F133" t="s">
        <v>30</v>
      </c>
      <c r="G133" t="s">
        <v>78</v>
      </c>
      <c r="H133" t="s">
        <v>15</v>
      </c>
      <c r="J133" s="1">
        <v>44666</v>
      </c>
      <c r="K133" t="s">
        <v>207</v>
      </c>
      <c r="L133" t="s">
        <v>71</v>
      </c>
      <c r="M133" t="s">
        <v>86</v>
      </c>
      <c r="N133" t="s">
        <v>187</v>
      </c>
    </row>
    <row r="134" spans="1:14" x14ac:dyDescent="0.25">
      <c r="A134" t="s">
        <v>205</v>
      </c>
      <c r="B134">
        <v>9619</v>
      </c>
      <c r="C134">
        <v>3420</v>
      </c>
      <c r="E134">
        <v>7</v>
      </c>
      <c r="F134" t="s">
        <v>30</v>
      </c>
      <c r="G134" t="s">
        <v>78</v>
      </c>
      <c r="H134" t="s">
        <v>15</v>
      </c>
      <c r="J134" s="1">
        <v>44802</v>
      </c>
      <c r="K134" t="s">
        <v>208</v>
      </c>
      <c r="L134" t="s">
        <v>25</v>
      </c>
      <c r="M134" t="s">
        <v>68</v>
      </c>
      <c r="N134" t="s">
        <v>209</v>
      </c>
    </row>
    <row r="135" spans="1:14" x14ac:dyDescent="0.25">
      <c r="A135" t="s">
        <v>210</v>
      </c>
      <c r="B135">
        <v>9538</v>
      </c>
      <c r="C135">
        <v>3158</v>
      </c>
      <c r="E135">
        <v>20</v>
      </c>
      <c r="F135" t="s">
        <v>13</v>
      </c>
      <c r="G135" t="s">
        <v>28</v>
      </c>
      <c r="H135" t="s">
        <v>47</v>
      </c>
      <c r="J135" s="1">
        <v>45539</v>
      </c>
      <c r="K135" t="s">
        <v>211</v>
      </c>
      <c r="L135" t="s">
        <v>42</v>
      </c>
      <c r="M135" t="s">
        <v>92</v>
      </c>
      <c r="N135" t="s">
        <v>159</v>
      </c>
    </row>
    <row r="136" spans="1:14" x14ac:dyDescent="0.25">
      <c r="A136" t="s">
        <v>210</v>
      </c>
      <c r="B136">
        <v>9538</v>
      </c>
      <c r="C136">
        <v>3158</v>
      </c>
      <c r="E136">
        <v>20</v>
      </c>
      <c r="F136" t="s">
        <v>13</v>
      </c>
      <c r="G136" t="s">
        <v>28</v>
      </c>
      <c r="H136" t="s">
        <v>47</v>
      </c>
      <c r="J136" s="1">
        <v>44334</v>
      </c>
      <c r="K136" t="s">
        <v>212</v>
      </c>
      <c r="L136" t="s">
        <v>98</v>
      </c>
      <c r="M136" t="s">
        <v>117</v>
      </c>
      <c r="N136" t="s">
        <v>108</v>
      </c>
    </row>
    <row r="137" spans="1:14" x14ac:dyDescent="0.25">
      <c r="A137" t="s">
        <v>210</v>
      </c>
      <c r="B137">
        <v>9035</v>
      </c>
      <c r="C137">
        <v>1227</v>
      </c>
      <c r="E137">
        <v>14</v>
      </c>
      <c r="F137" t="s">
        <v>45</v>
      </c>
      <c r="G137" t="s">
        <v>49</v>
      </c>
      <c r="H137" t="s">
        <v>40</v>
      </c>
      <c r="J137" s="1">
        <v>45539</v>
      </c>
      <c r="K137" t="s">
        <v>211</v>
      </c>
      <c r="L137" t="s">
        <v>42</v>
      </c>
      <c r="M137" t="s">
        <v>92</v>
      </c>
      <c r="N137" t="s">
        <v>159</v>
      </c>
    </row>
    <row r="138" spans="1:14" x14ac:dyDescent="0.25">
      <c r="A138" t="s">
        <v>210</v>
      </c>
      <c r="B138">
        <v>9035</v>
      </c>
      <c r="C138">
        <v>1227</v>
      </c>
      <c r="E138">
        <v>14</v>
      </c>
      <c r="F138" t="s">
        <v>45</v>
      </c>
      <c r="G138" t="s">
        <v>49</v>
      </c>
      <c r="H138" t="s">
        <v>40</v>
      </c>
      <c r="J138" s="1">
        <v>44334</v>
      </c>
      <c r="K138" t="s">
        <v>212</v>
      </c>
      <c r="L138" t="s">
        <v>98</v>
      </c>
      <c r="M138" t="s">
        <v>117</v>
      </c>
      <c r="N138" t="s">
        <v>108</v>
      </c>
    </row>
    <row r="139" spans="1:14" x14ac:dyDescent="0.25">
      <c r="A139" t="s">
        <v>213</v>
      </c>
      <c r="B139">
        <v>2684</v>
      </c>
      <c r="C139">
        <v>670</v>
      </c>
      <c r="E139">
        <v>2</v>
      </c>
      <c r="F139" t="s">
        <v>30</v>
      </c>
      <c r="G139" t="s">
        <v>64</v>
      </c>
      <c r="H139" t="s">
        <v>65</v>
      </c>
      <c r="J139" s="1">
        <v>45475</v>
      </c>
      <c r="K139" t="s">
        <v>214</v>
      </c>
      <c r="L139" t="s">
        <v>17</v>
      </c>
      <c r="M139" t="s">
        <v>150</v>
      </c>
      <c r="N139" t="s">
        <v>215</v>
      </c>
    </row>
    <row r="140" spans="1:14" x14ac:dyDescent="0.25">
      <c r="A140" t="s">
        <v>213</v>
      </c>
      <c r="B140">
        <v>822</v>
      </c>
      <c r="C140">
        <v>147</v>
      </c>
      <c r="E140">
        <v>5</v>
      </c>
      <c r="F140" t="s">
        <v>45</v>
      </c>
      <c r="G140" t="s">
        <v>60</v>
      </c>
      <c r="H140" t="s">
        <v>47</v>
      </c>
      <c r="J140" s="1">
        <v>45475</v>
      </c>
      <c r="K140" t="s">
        <v>214</v>
      </c>
      <c r="L140" t="s">
        <v>17</v>
      </c>
      <c r="M140" t="s">
        <v>150</v>
      </c>
      <c r="N140" t="s">
        <v>215</v>
      </c>
    </row>
    <row r="141" spans="1:14" x14ac:dyDescent="0.25">
      <c r="A141" t="s">
        <v>213</v>
      </c>
      <c r="B141">
        <v>9730</v>
      </c>
      <c r="C141">
        <v>2341</v>
      </c>
      <c r="E141">
        <v>2</v>
      </c>
      <c r="F141" t="s">
        <v>45</v>
      </c>
      <c r="G141" t="s">
        <v>49</v>
      </c>
      <c r="H141" t="s">
        <v>40</v>
      </c>
      <c r="J141" s="1">
        <v>45475</v>
      </c>
      <c r="K141" t="s">
        <v>214</v>
      </c>
      <c r="L141" t="s">
        <v>17</v>
      </c>
      <c r="M141" t="s">
        <v>150</v>
      </c>
      <c r="N141" t="s">
        <v>215</v>
      </c>
    </row>
    <row r="142" spans="1:14" x14ac:dyDescent="0.25">
      <c r="A142" t="s">
        <v>213</v>
      </c>
      <c r="B142">
        <v>2483</v>
      </c>
      <c r="C142">
        <v>236</v>
      </c>
      <c r="E142">
        <v>2</v>
      </c>
      <c r="F142" t="s">
        <v>13</v>
      </c>
      <c r="G142" t="s">
        <v>14</v>
      </c>
      <c r="H142" t="s">
        <v>65</v>
      </c>
      <c r="J142" s="1">
        <v>45475</v>
      </c>
      <c r="K142" t="s">
        <v>214</v>
      </c>
      <c r="L142" t="s">
        <v>17</v>
      </c>
      <c r="M142" t="s">
        <v>150</v>
      </c>
      <c r="N142" t="s">
        <v>215</v>
      </c>
    </row>
    <row r="143" spans="1:14" x14ac:dyDescent="0.25">
      <c r="A143" t="s">
        <v>216</v>
      </c>
      <c r="B143">
        <v>1297</v>
      </c>
      <c r="C143">
        <v>600</v>
      </c>
      <c r="E143">
        <v>7</v>
      </c>
      <c r="F143" t="s">
        <v>30</v>
      </c>
      <c r="G143" t="s">
        <v>78</v>
      </c>
      <c r="H143" t="s">
        <v>47</v>
      </c>
      <c r="J143" s="1">
        <v>45338</v>
      </c>
      <c r="K143" t="s">
        <v>217</v>
      </c>
      <c r="L143" t="s">
        <v>17</v>
      </c>
      <c r="M143" t="s">
        <v>34</v>
      </c>
      <c r="N143" t="s">
        <v>218</v>
      </c>
    </row>
    <row r="144" spans="1:14" x14ac:dyDescent="0.25">
      <c r="A144" t="s">
        <v>216</v>
      </c>
      <c r="B144">
        <v>7909</v>
      </c>
      <c r="C144">
        <v>1942</v>
      </c>
      <c r="E144">
        <v>19</v>
      </c>
      <c r="F144" t="s">
        <v>13</v>
      </c>
      <c r="G144" t="s">
        <v>82</v>
      </c>
      <c r="H144" t="s">
        <v>65</v>
      </c>
      <c r="J144" s="1">
        <v>45338</v>
      </c>
      <c r="K144" t="s">
        <v>217</v>
      </c>
      <c r="L144" t="s">
        <v>17</v>
      </c>
      <c r="M144" t="s">
        <v>34</v>
      </c>
      <c r="N144" t="s">
        <v>218</v>
      </c>
    </row>
    <row r="145" spans="1:14" x14ac:dyDescent="0.25">
      <c r="A145" t="s">
        <v>219</v>
      </c>
      <c r="B145">
        <v>9768</v>
      </c>
      <c r="C145">
        <v>4518</v>
      </c>
      <c r="E145">
        <v>8</v>
      </c>
      <c r="F145" t="s">
        <v>45</v>
      </c>
      <c r="G145" t="s">
        <v>46</v>
      </c>
      <c r="H145" t="s">
        <v>47</v>
      </c>
      <c r="J145" s="1">
        <v>44526</v>
      </c>
      <c r="K145" t="s">
        <v>220</v>
      </c>
      <c r="L145" t="s">
        <v>71</v>
      </c>
      <c r="M145" t="s">
        <v>72</v>
      </c>
      <c r="N145" t="s">
        <v>175</v>
      </c>
    </row>
    <row r="146" spans="1:14" x14ac:dyDescent="0.25">
      <c r="A146" t="s">
        <v>219</v>
      </c>
      <c r="B146">
        <v>4968</v>
      </c>
      <c r="C146">
        <v>934</v>
      </c>
      <c r="E146">
        <v>5</v>
      </c>
      <c r="F146" t="s">
        <v>45</v>
      </c>
      <c r="G146" t="s">
        <v>60</v>
      </c>
      <c r="H146" t="s">
        <v>32</v>
      </c>
      <c r="J146" s="1">
        <v>44526</v>
      </c>
      <c r="K146" t="s">
        <v>220</v>
      </c>
      <c r="L146" t="s">
        <v>71</v>
      </c>
      <c r="M146" t="s">
        <v>72</v>
      </c>
      <c r="N146" t="s">
        <v>175</v>
      </c>
    </row>
    <row r="147" spans="1:14" x14ac:dyDescent="0.25">
      <c r="A147" t="s">
        <v>219</v>
      </c>
      <c r="B147">
        <v>1731</v>
      </c>
      <c r="C147">
        <v>149</v>
      </c>
      <c r="E147">
        <v>4</v>
      </c>
      <c r="F147" t="s">
        <v>13</v>
      </c>
      <c r="G147" t="s">
        <v>39</v>
      </c>
      <c r="H147" t="s">
        <v>40</v>
      </c>
      <c r="J147" s="1">
        <v>44526</v>
      </c>
      <c r="K147" t="s">
        <v>220</v>
      </c>
      <c r="L147" t="s">
        <v>71</v>
      </c>
      <c r="M147" t="s">
        <v>72</v>
      </c>
      <c r="N147" t="s">
        <v>175</v>
      </c>
    </row>
    <row r="148" spans="1:14" x14ac:dyDescent="0.25">
      <c r="A148" t="s">
        <v>221</v>
      </c>
      <c r="B148">
        <v>3433</v>
      </c>
      <c r="C148">
        <v>1169</v>
      </c>
      <c r="E148">
        <v>10</v>
      </c>
      <c r="F148" t="s">
        <v>30</v>
      </c>
      <c r="G148" t="s">
        <v>78</v>
      </c>
      <c r="H148" t="s">
        <v>65</v>
      </c>
      <c r="J148" s="1">
        <v>45323</v>
      </c>
      <c r="K148" t="s">
        <v>222</v>
      </c>
      <c r="L148" t="s">
        <v>42</v>
      </c>
      <c r="M148" t="s">
        <v>92</v>
      </c>
      <c r="N148" t="s">
        <v>218</v>
      </c>
    </row>
    <row r="149" spans="1:14" x14ac:dyDescent="0.25">
      <c r="A149" t="s">
        <v>221</v>
      </c>
      <c r="B149">
        <v>3433</v>
      </c>
      <c r="C149">
        <v>1169</v>
      </c>
      <c r="E149">
        <v>10</v>
      </c>
      <c r="F149" t="s">
        <v>30</v>
      </c>
      <c r="G149" t="s">
        <v>78</v>
      </c>
      <c r="H149" t="s">
        <v>65</v>
      </c>
      <c r="J149" s="1">
        <v>44448</v>
      </c>
      <c r="K149" t="s">
        <v>223</v>
      </c>
      <c r="L149" t="s">
        <v>21</v>
      </c>
      <c r="M149" t="s">
        <v>63</v>
      </c>
      <c r="N149" t="s">
        <v>224</v>
      </c>
    </row>
    <row r="150" spans="1:14" x14ac:dyDescent="0.25">
      <c r="A150" t="s">
        <v>221</v>
      </c>
      <c r="B150">
        <v>3433</v>
      </c>
      <c r="C150">
        <v>1169</v>
      </c>
      <c r="E150">
        <v>10</v>
      </c>
      <c r="F150" t="s">
        <v>30</v>
      </c>
      <c r="G150" t="s">
        <v>78</v>
      </c>
      <c r="H150" t="s">
        <v>65</v>
      </c>
      <c r="J150" s="1">
        <v>44447</v>
      </c>
      <c r="K150" t="s">
        <v>225</v>
      </c>
      <c r="L150" t="s">
        <v>42</v>
      </c>
      <c r="M150" t="s">
        <v>75</v>
      </c>
      <c r="N150" t="s">
        <v>224</v>
      </c>
    </row>
    <row r="151" spans="1:14" x14ac:dyDescent="0.25">
      <c r="A151" t="s">
        <v>221</v>
      </c>
      <c r="B151">
        <v>3887</v>
      </c>
      <c r="C151">
        <v>1490</v>
      </c>
      <c r="E151">
        <v>1</v>
      </c>
      <c r="F151" t="s">
        <v>30</v>
      </c>
      <c r="G151" t="s">
        <v>78</v>
      </c>
      <c r="H151" t="s">
        <v>32</v>
      </c>
      <c r="J151" s="1">
        <v>45323</v>
      </c>
      <c r="K151" t="s">
        <v>222</v>
      </c>
      <c r="L151" t="s">
        <v>42</v>
      </c>
      <c r="M151" t="s">
        <v>92</v>
      </c>
      <c r="N151" t="s">
        <v>218</v>
      </c>
    </row>
    <row r="152" spans="1:14" x14ac:dyDescent="0.25">
      <c r="A152" t="s">
        <v>221</v>
      </c>
      <c r="B152">
        <v>3887</v>
      </c>
      <c r="C152">
        <v>1490</v>
      </c>
      <c r="E152">
        <v>1</v>
      </c>
      <c r="F152" t="s">
        <v>30</v>
      </c>
      <c r="G152" t="s">
        <v>78</v>
      </c>
      <c r="H152" t="s">
        <v>32</v>
      </c>
      <c r="J152" s="1">
        <v>44448</v>
      </c>
      <c r="K152" t="s">
        <v>223</v>
      </c>
      <c r="L152" t="s">
        <v>21</v>
      </c>
      <c r="M152" t="s">
        <v>63</v>
      </c>
      <c r="N152" t="s">
        <v>224</v>
      </c>
    </row>
    <row r="153" spans="1:14" x14ac:dyDescent="0.25">
      <c r="A153" t="s">
        <v>221</v>
      </c>
      <c r="B153">
        <v>3887</v>
      </c>
      <c r="C153">
        <v>1490</v>
      </c>
      <c r="E153">
        <v>1</v>
      </c>
      <c r="F153" t="s">
        <v>30</v>
      </c>
      <c r="G153" t="s">
        <v>78</v>
      </c>
      <c r="H153" t="s">
        <v>32</v>
      </c>
      <c r="J153" s="1">
        <v>44447</v>
      </c>
      <c r="K153" t="s">
        <v>225</v>
      </c>
      <c r="L153" t="s">
        <v>42</v>
      </c>
      <c r="M153" t="s">
        <v>75</v>
      </c>
      <c r="N153" t="s">
        <v>224</v>
      </c>
    </row>
    <row r="154" spans="1:14" x14ac:dyDescent="0.25">
      <c r="A154" t="s">
        <v>226</v>
      </c>
      <c r="B154">
        <v>1801</v>
      </c>
      <c r="C154">
        <v>641</v>
      </c>
      <c r="E154">
        <v>20</v>
      </c>
      <c r="F154" t="s">
        <v>30</v>
      </c>
      <c r="G154" t="s">
        <v>57</v>
      </c>
      <c r="H154" t="s">
        <v>47</v>
      </c>
      <c r="J154" s="1">
        <v>45482</v>
      </c>
      <c r="K154" t="s">
        <v>227</v>
      </c>
      <c r="L154" t="s">
        <v>42</v>
      </c>
      <c r="M154" t="s">
        <v>43</v>
      </c>
      <c r="N154" t="s">
        <v>215</v>
      </c>
    </row>
    <row r="155" spans="1:14" x14ac:dyDescent="0.25">
      <c r="A155" t="s">
        <v>226</v>
      </c>
      <c r="B155">
        <v>5301</v>
      </c>
      <c r="C155">
        <v>817</v>
      </c>
      <c r="E155">
        <v>10</v>
      </c>
      <c r="F155" t="s">
        <v>45</v>
      </c>
      <c r="G155" t="s">
        <v>46</v>
      </c>
      <c r="H155" t="s">
        <v>32</v>
      </c>
      <c r="J155" s="1">
        <v>45482</v>
      </c>
      <c r="K155" t="s">
        <v>227</v>
      </c>
      <c r="L155" t="s">
        <v>42</v>
      </c>
      <c r="M155" t="s">
        <v>43</v>
      </c>
      <c r="N155" t="s">
        <v>215</v>
      </c>
    </row>
    <row r="157" spans="1:14" x14ac:dyDescent="0.25">
      <c r="A157" t="s">
        <v>226</v>
      </c>
      <c r="B157">
        <v>1166</v>
      </c>
      <c r="C157">
        <v>520</v>
      </c>
      <c r="E157">
        <v>12</v>
      </c>
      <c r="F157" t="s">
        <v>30</v>
      </c>
      <c r="G157" t="s">
        <v>64</v>
      </c>
      <c r="H157" t="s">
        <v>32</v>
      </c>
      <c r="J157" s="1">
        <v>45482</v>
      </c>
      <c r="K157" t="s">
        <v>227</v>
      </c>
      <c r="L157" t="s">
        <v>42</v>
      </c>
      <c r="M157" t="s">
        <v>43</v>
      </c>
      <c r="N157" t="s">
        <v>215</v>
      </c>
    </row>
    <row r="158" spans="1:14" x14ac:dyDescent="0.25">
      <c r="A158" t="s">
        <v>226</v>
      </c>
      <c r="B158">
        <v>3196</v>
      </c>
      <c r="C158">
        <v>1411</v>
      </c>
      <c r="E158">
        <v>15</v>
      </c>
      <c r="F158" t="s">
        <v>30</v>
      </c>
      <c r="G158" t="s">
        <v>64</v>
      </c>
      <c r="H158" t="s">
        <v>32</v>
      </c>
      <c r="J158" s="1">
        <v>45482</v>
      </c>
      <c r="K158" t="s">
        <v>227</v>
      </c>
      <c r="L158" t="s">
        <v>42</v>
      </c>
      <c r="M158" t="s">
        <v>43</v>
      </c>
      <c r="N158" t="s">
        <v>215</v>
      </c>
    </row>
    <row r="159" spans="1:14" x14ac:dyDescent="0.25">
      <c r="A159" t="s">
        <v>228</v>
      </c>
      <c r="B159">
        <v>3428</v>
      </c>
      <c r="C159">
        <v>350</v>
      </c>
      <c r="E159">
        <v>1</v>
      </c>
      <c r="F159" t="s">
        <v>45</v>
      </c>
      <c r="G159" t="s">
        <v>49</v>
      </c>
      <c r="H159" t="s">
        <v>47</v>
      </c>
      <c r="J159" s="1">
        <v>44985</v>
      </c>
      <c r="K159" t="s">
        <v>229</v>
      </c>
      <c r="L159" t="s">
        <v>21</v>
      </c>
      <c r="M159" t="s">
        <v>63</v>
      </c>
      <c r="N159" t="s">
        <v>93</v>
      </c>
    </row>
    <row r="160" spans="1:14" x14ac:dyDescent="0.25">
      <c r="A160" t="s">
        <v>228</v>
      </c>
      <c r="B160">
        <v>7223</v>
      </c>
      <c r="C160">
        <v>2433</v>
      </c>
      <c r="E160">
        <v>12</v>
      </c>
      <c r="F160" t="s">
        <v>30</v>
      </c>
      <c r="G160" t="s">
        <v>78</v>
      </c>
      <c r="H160" t="s">
        <v>47</v>
      </c>
      <c r="J160" s="1">
        <v>44985</v>
      </c>
      <c r="K160" t="s">
        <v>229</v>
      </c>
      <c r="L160" t="s">
        <v>21</v>
      </c>
      <c r="M160" t="s">
        <v>63</v>
      </c>
      <c r="N160" t="s">
        <v>93</v>
      </c>
    </row>
    <row r="161" spans="1:14" x14ac:dyDescent="0.25">
      <c r="A161" t="s">
        <v>228</v>
      </c>
      <c r="B161">
        <v>3731</v>
      </c>
      <c r="C161">
        <v>647</v>
      </c>
      <c r="E161">
        <v>1</v>
      </c>
      <c r="F161" t="s">
        <v>30</v>
      </c>
      <c r="G161" t="s">
        <v>31</v>
      </c>
      <c r="H161" t="s">
        <v>47</v>
      </c>
      <c r="J161" s="1">
        <v>44985</v>
      </c>
      <c r="K161" t="s">
        <v>229</v>
      </c>
      <c r="L161" t="s">
        <v>21</v>
      </c>
      <c r="M161" t="s">
        <v>63</v>
      </c>
      <c r="N161" t="s">
        <v>93</v>
      </c>
    </row>
    <row r="162" spans="1:14" x14ac:dyDescent="0.25">
      <c r="A162" t="s">
        <v>230</v>
      </c>
      <c r="B162">
        <v>8903</v>
      </c>
      <c r="C162">
        <v>4401</v>
      </c>
      <c r="E162">
        <v>18</v>
      </c>
      <c r="F162" t="s">
        <v>30</v>
      </c>
      <c r="G162" t="s">
        <v>31</v>
      </c>
      <c r="H162" t="s">
        <v>47</v>
      </c>
      <c r="J162" s="1">
        <v>44781</v>
      </c>
      <c r="K162" t="s">
        <v>231</v>
      </c>
      <c r="L162" t="s">
        <v>98</v>
      </c>
      <c r="M162" t="s">
        <v>99</v>
      </c>
      <c r="N162" t="s">
        <v>209</v>
      </c>
    </row>
    <row r="163" spans="1:14" x14ac:dyDescent="0.25">
      <c r="A163" t="s">
        <v>232</v>
      </c>
      <c r="B163">
        <v>6009</v>
      </c>
      <c r="C163">
        <v>2107</v>
      </c>
      <c r="E163">
        <v>7</v>
      </c>
      <c r="F163" t="s">
        <v>13</v>
      </c>
      <c r="G163" t="s">
        <v>82</v>
      </c>
      <c r="H163" t="s">
        <v>15</v>
      </c>
      <c r="J163" s="1">
        <v>44902</v>
      </c>
      <c r="K163" t="s">
        <v>233</v>
      </c>
      <c r="L163" t="s">
        <v>21</v>
      </c>
      <c r="M163" t="s">
        <v>22</v>
      </c>
      <c r="N163" t="s">
        <v>152</v>
      </c>
    </row>
    <row r="164" spans="1:14" x14ac:dyDescent="0.25">
      <c r="A164" t="s">
        <v>232</v>
      </c>
      <c r="B164">
        <v>6009</v>
      </c>
      <c r="C164">
        <v>2107</v>
      </c>
      <c r="E164">
        <v>7</v>
      </c>
      <c r="F164" t="s">
        <v>13</v>
      </c>
      <c r="G164" t="s">
        <v>82</v>
      </c>
      <c r="H164" t="s">
        <v>15</v>
      </c>
      <c r="J164" s="1">
        <v>45411</v>
      </c>
      <c r="K164" t="s">
        <v>234</v>
      </c>
      <c r="L164" t="s">
        <v>71</v>
      </c>
      <c r="M164" t="s">
        <v>86</v>
      </c>
      <c r="N164" t="s">
        <v>235</v>
      </c>
    </row>
    <row r="165" spans="1:14" x14ac:dyDescent="0.25">
      <c r="A165" t="s">
        <v>232</v>
      </c>
      <c r="B165">
        <v>2858</v>
      </c>
      <c r="C165">
        <v>230</v>
      </c>
      <c r="E165">
        <v>3</v>
      </c>
      <c r="F165" t="s">
        <v>45</v>
      </c>
      <c r="G165" t="s">
        <v>46</v>
      </c>
      <c r="H165" t="s">
        <v>47</v>
      </c>
      <c r="J165" s="1">
        <v>44902</v>
      </c>
      <c r="K165" t="s">
        <v>233</v>
      </c>
      <c r="L165" t="s">
        <v>21</v>
      </c>
      <c r="M165" t="s">
        <v>22</v>
      </c>
      <c r="N165" t="s">
        <v>152</v>
      </c>
    </row>
    <row r="166" spans="1:14" x14ac:dyDescent="0.25">
      <c r="A166" t="s">
        <v>232</v>
      </c>
      <c r="B166">
        <v>2858</v>
      </c>
      <c r="C166">
        <v>230</v>
      </c>
      <c r="E166">
        <v>3</v>
      </c>
      <c r="F166" t="s">
        <v>45</v>
      </c>
      <c r="G166" t="s">
        <v>46</v>
      </c>
      <c r="H166" t="s">
        <v>47</v>
      </c>
      <c r="J166" s="1">
        <v>45411</v>
      </c>
      <c r="K166" t="s">
        <v>234</v>
      </c>
      <c r="L166" t="s">
        <v>71</v>
      </c>
      <c r="M166" t="s">
        <v>86</v>
      </c>
      <c r="N166" t="s">
        <v>235</v>
      </c>
    </row>
    <row r="167" spans="1:14" x14ac:dyDescent="0.25">
      <c r="A167" t="s">
        <v>232</v>
      </c>
      <c r="B167">
        <v>8175</v>
      </c>
      <c r="C167">
        <v>525</v>
      </c>
      <c r="E167">
        <v>7</v>
      </c>
      <c r="F167" t="s">
        <v>45</v>
      </c>
      <c r="G167" t="s">
        <v>60</v>
      </c>
      <c r="H167" t="s">
        <v>47</v>
      </c>
      <c r="J167" s="1">
        <v>44902</v>
      </c>
      <c r="K167" t="s">
        <v>233</v>
      </c>
      <c r="L167" t="s">
        <v>21</v>
      </c>
      <c r="M167" t="s">
        <v>22</v>
      </c>
      <c r="N167" t="s">
        <v>152</v>
      </c>
    </row>
    <row r="168" spans="1:14" x14ac:dyDescent="0.25">
      <c r="A168" t="s">
        <v>232</v>
      </c>
      <c r="B168">
        <v>8175</v>
      </c>
      <c r="C168">
        <v>525</v>
      </c>
      <c r="E168">
        <v>7</v>
      </c>
      <c r="F168" t="s">
        <v>45</v>
      </c>
      <c r="G168" t="s">
        <v>60</v>
      </c>
      <c r="H168" t="s">
        <v>47</v>
      </c>
      <c r="J168" s="1">
        <v>45411</v>
      </c>
      <c r="K168" t="s">
        <v>234</v>
      </c>
      <c r="L168" t="s">
        <v>71</v>
      </c>
      <c r="M168" t="s">
        <v>86</v>
      </c>
      <c r="N168" t="s">
        <v>235</v>
      </c>
    </row>
    <row r="169" spans="1:14" x14ac:dyDescent="0.25">
      <c r="A169" t="s">
        <v>232</v>
      </c>
      <c r="B169">
        <v>5846</v>
      </c>
      <c r="C169">
        <v>586</v>
      </c>
      <c r="E169">
        <v>18</v>
      </c>
      <c r="F169" t="s">
        <v>45</v>
      </c>
      <c r="G169" t="s">
        <v>60</v>
      </c>
      <c r="H169" t="s">
        <v>15</v>
      </c>
      <c r="J169" s="1">
        <v>44902</v>
      </c>
      <c r="K169" t="s">
        <v>233</v>
      </c>
      <c r="L169" t="s">
        <v>21</v>
      </c>
      <c r="M169" t="s">
        <v>22</v>
      </c>
      <c r="N169" t="s">
        <v>152</v>
      </c>
    </row>
    <row r="170" spans="1:14" x14ac:dyDescent="0.25">
      <c r="A170" t="s">
        <v>232</v>
      </c>
      <c r="B170">
        <v>5846</v>
      </c>
      <c r="C170">
        <v>586</v>
      </c>
      <c r="E170">
        <v>18</v>
      </c>
      <c r="F170" t="s">
        <v>45</v>
      </c>
      <c r="G170" t="s">
        <v>60</v>
      </c>
      <c r="H170" t="s">
        <v>15</v>
      </c>
      <c r="J170" s="1">
        <v>45411</v>
      </c>
      <c r="K170" t="s">
        <v>234</v>
      </c>
      <c r="L170" t="s">
        <v>71</v>
      </c>
      <c r="M170" t="s">
        <v>86</v>
      </c>
      <c r="N170" t="s">
        <v>235</v>
      </c>
    </row>
    <row r="171" spans="1:14" x14ac:dyDescent="0.25">
      <c r="A171" t="s">
        <v>236</v>
      </c>
      <c r="B171">
        <v>706</v>
      </c>
      <c r="C171">
        <v>197</v>
      </c>
      <c r="E171">
        <v>11</v>
      </c>
      <c r="F171" t="s">
        <v>13</v>
      </c>
      <c r="G171" t="s">
        <v>39</v>
      </c>
      <c r="H171" t="s">
        <v>47</v>
      </c>
      <c r="J171" s="1">
        <v>44563</v>
      </c>
      <c r="K171" t="s">
        <v>237</v>
      </c>
      <c r="L171" t="s">
        <v>71</v>
      </c>
      <c r="M171" t="s">
        <v>86</v>
      </c>
      <c r="N171" t="s">
        <v>87</v>
      </c>
    </row>
    <row r="172" spans="1:14" x14ac:dyDescent="0.25">
      <c r="A172" t="s">
        <v>238</v>
      </c>
      <c r="B172">
        <v>9835</v>
      </c>
      <c r="C172">
        <v>2571</v>
      </c>
      <c r="E172">
        <v>16</v>
      </c>
      <c r="F172" t="s">
        <v>45</v>
      </c>
      <c r="G172" t="s">
        <v>46</v>
      </c>
      <c r="H172" t="s">
        <v>65</v>
      </c>
      <c r="J172" s="1">
        <v>44722</v>
      </c>
      <c r="K172" t="s">
        <v>239</v>
      </c>
      <c r="L172" t="s">
        <v>71</v>
      </c>
      <c r="M172" t="s">
        <v>72</v>
      </c>
      <c r="N172" t="s">
        <v>165</v>
      </c>
    </row>
    <row r="173" spans="1:14" x14ac:dyDescent="0.25">
      <c r="A173" t="s">
        <v>238</v>
      </c>
      <c r="B173">
        <v>9835</v>
      </c>
      <c r="C173">
        <v>2571</v>
      </c>
      <c r="E173">
        <v>16</v>
      </c>
      <c r="F173" t="s">
        <v>45</v>
      </c>
      <c r="G173" t="s">
        <v>46</v>
      </c>
      <c r="H173" t="s">
        <v>65</v>
      </c>
      <c r="J173" s="1">
        <v>44516</v>
      </c>
      <c r="K173" t="s">
        <v>240</v>
      </c>
      <c r="L173" t="s">
        <v>17</v>
      </c>
      <c r="M173" t="s">
        <v>34</v>
      </c>
      <c r="N173" t="s">
        <v>175</v>
      </c>
    </row>
    <row r="174" spans="1:14" x14ac:dyDescent="0.25">
      <c r="A174" t="s">
        <v>238</v>
      </c>
      <c r="B174">
        <v>9835</v>
      </c>
      <c r="C174">
        <v>2571</v>
      </c>
      <c r="E174">
        <v>16</v>
      </c>
      <c r="F174" t="s">
        <v>45</v>
      </c>
      <c r="G174" t="s">
        <v>46</v>
      </c>
      <c r="H174" t="s">
        <v>65</v>
      </c>
      <c r="J174" s="1">
        <v>44790</v>
      </c>
      <c r="K174" t="s">
        <v>241</v>
      </c>
      <c r="L174" t="s">
        <v>42</v>
      </c>
      <c r="M174" t="s">
        <v>43</v>
      </c>
      <c r="N174" t="s">
        <v>209</v>
      </c>
    </row>
    <row r="175" spans="1:14" x14ac:dyDescent="0.25">
      <c r="A175" t="s">
        <v>238</v>
      </c>
      <c r="B175">
        <v>9691</v>
      </c>
      <c r="C175">
        <v>3056</v>
      </c>
      <c r="E175">
        <v>13</v>
      </c>
      <c r="F175" t="s">
        <v>30</v>
      </c>
      <c r="G175" t="s">
        <v>57</v>
      </c>
      <c r="H175" t="s">
        <v>47</v>
      </c>
      <c r="J175" s="1">
        <v>44722</v>
      </c>
      <c r="K175" t="s">
        <v>239</v>
      </c>
      <c r="L175" t="s">
        <v>71</v>
      </c>
      <c r="M175" t="s">
        <v>72</v>
      </c>
      <c r="N175" t="s">
        <v>165</v>
      </c>
    </row>
    <row r="176" spans="1:14" x14ac:dyDescent="0.25">
      <c r="A176" t="s">
        <v>238</v>
      </c>
      <c r="B176">
        <v>9691</v>
      </c>
      <c r="C176">
        <v>3056</v>
      </c>
      <c r="E176">
        <v>13</v>
      </c>
      <c r="F176" t="s">
        <v>30</v>
      </c>
      <c r="G176" t="s">
        <v>57</v>
      </c>
      <c r="H176" t="s">
        <v>47</v>
      </c>
      <c r="J176" s="1">
        <v>44516</v>
      </c>
      <c r="K176" t="s">
        <v>240</v>
      </c>
      <c r="L176" t="s">
        <v>17</v>
      </c>
      <c r="M176" t="s">
        <v>34</v>
      </c>
      <c r="N176" t="s">
        <v>175</v>
      </c>
    </row>
    <row r="177" spans="1:14" x14ac:dyDescent="0.25">
      <c r="A177" t="s">
        <v>238</v>
      </c>
      <c r="B177">
        <v>9691</v>
      </c>
      <c r="C177">
        <v>3056</v>
      </c>
      <c r="E177">
        <v>13</v>
      </c>
      <c r="F177" t="s">
        <v>30</v>
      </c>
      <c r="G177" t="s">
        <v>57</v>
      </c>
      <c r="H177" t="s">
        <v>47</v>
      </c>
      <c r="J177" s="1">
        <v>44790</v>
      </c>
      <c r="K177" t="s">
        <v>241</v>
      </c>
      <c r="L177" t="s">
        <v>42</v>
      </c>
      <c r="M177" t="s">
        <v>43</v>
      </c>
      <c r="N177" t="s">
        <v>209</v>
      </c>
    </row>
    <row r="178" spans="1:14" x14ac:dyDescent="0.25">
      <c r="A178" t="s">
        <v>238</v>
      </c>
      <c r="B178">
        <v>7826</v>
      </c>
      <c r="C178">
        <v>1221</v>
      </c>
      <c r="E178">
        <v>14</v>
      </c>
      <c r="F178" t="s">
        <v>45</v>
      </c>
      <c r="G178" t="s">
        <v>109</v>
      </c>
      <c r="H178" t="s">
        <v>15</v>
      </c>
      <c r="J178" s="1">
        <v>44722</v>
      </c>
      <c r="K178" t="s">
        <v>239</v>
      </c>
      <c r="L178" t="s">
        <v>71</v>
      </c>
      <c r="M178" t="s">
        <v>72</v>
      </c>
      <c r="N178" t="s">
        <v>165</v>
      </c>
    </row>
    <row r="179" spans="1:14" x14ac:dyDescent="0.25">
      <c r="A179" t="s">
        <v>238</v>
      </c>
      <c r="B179">
        <v>7826</v>
      </c>
      <c r="C179">
        <v>1221</v>
      </c>
      <c r="E179">
        <v>14</v>
      </c>
      <c r="F179" t="s">
        <v>45</v>
      </c>
      <c r="G179" t="s">
        <v>109</v>
      </c>
      <c r="H179" t="s">
        <v>15</v>
      </c>
      <c r="J179" s="1">
        <v>44516</v>
      </c>
      <c r="K179" t="s">
        <v>240</v>
      </c>
      <c r="L179" t="s">
        <v>17</v>
      </c>
      <c r="M179" t="s">
        <v>34</v>
      </c>
      <c r="N179" t="s">
        <v>175</v>
      </c>
    </row>
    <row r="180" spans="1:14" x14ac:dyDescent="0.25">
      <c r="A180" t="s">
        <v>238</v>
      </c>
      <c r="B180">
        <v>7826</v>
      </c>
      <c r="C180">
        <v>1221</v>
      </c>
      <c r="E180">
        <v>14</v>
      </c>
      <c r="F180" t="s">
        <v>45</v>
      </c>
      <c r="G180" t="s">
        <v>109</v>
      </c>
      <c r="H180" t="s">
        <v>15</v>
      </c>
      <c r="J180" s="1">
        <v>44790</v>
      </c>
      <c r="K180" t="s">
        <v>241</v>
      </c>
      <c r="L180" t="s">
        <v>42</v>
      </c>
      <c r="M180" t="s">
        <v>43</v>
      </c>
      <c r="N180" t="s">
        <v>209</v>
      </c>
    </row>
    <row r="181" spans="1:14" x14ac:dyDescent="0.25">
      <c r="A181" t="s">
        <v>242</v>
      </c>
      <c r="B181">
        <v>770</v>
      </c>
      <c r="C181">
        <v>241</v>
      </c>
      <c r="E181">
        <v>11</v>
      </c>
      <c r="F181" t="s">
        <v>45</v>
      </c>
      <c r="G181" t="s">
        <v>60</v>
      </c>
      <c r="H181" t="s">
        <v>65</v>
      </c>
      <c r="J181" s="1">
        <v>44523</v>
      </c>
      <c r="K181" t="s">
        <v>243</v>
      </c>
      <c r="L181" t="s">
        <v>71</v>
      </c>
      <c r="M181" t="s">
        <v>86</v>
      </c>
      <c r="N181" t="s">
        <v>175</v>
      </c>
    </row>
    <row r="182" spans="1:14" x14ac:dyDescent="0.25">
      <c r="A182" t="s">
        <v>242</v>
      </c>
      <c r="B182">
        <v>770</v>
      </c>
      <c r="C182">
        <v>241</v>
      </c>
      <c r="E182">
        <v>11</v>
      </c>
      <c r="F182" t="s">
        <v>45</v>
      </c>
      <c r="G182" t="s">
        <v>60</v>
      </c>
      <c r="H182" t="s">
        <v>65</v>
      </c>
      <c r="J182" s="1">
        <v>44989</v>
      </c>
      <c r="K182" t="s">
        <v>244</v>
      </c>
      <c r="L182" t="s">
        <v>98</v>
      </c>
      <c r="M182" t="s">
        <v>107</v>
      </c>
      <c r="N182" t="s">
        <v>245</v>
      </c>
    </row>
    <row r="183" spans="1:14" x14ac:dyDescent="0.25">
      <c r="A183" t="s">
        <v>246</v>
      </c>
      <c r="B183">
        <v>9895</v>
      </c>
      <c r="C183">
        <v>1598</v>
      </c>
      <c r="E183">
        <v>20</v>
      </c>
      <c r="F183" t="s">
        <v>45</v>
      </c>
      <c r="G183" t="s">
        <v>109</v>
      </c>
      <c r="H183" t="s">
        <v>65</v>
      </c>
      <c r="J183" s="1">
        <v>45276</v>
      </c>
      <c r="K183" t="s">
        <v>247</v>
      </c>
      <c r="L183" t="s">
        <v>25</v>
      </c>
      <c r="M183" t="s">
        <v>68</v>
      </c>
      <c r="N183" t="s">
        <v>102</v>
      </c>
    </row>
    <row r="184" spans="1:14" x14ac:dyDescent="0.25">
      <c r="A184" t="s">
        <v>248</v>
      </c>
      <c r="B184">
        <v>6517</v>
      </c>
      <c r="C184">
        <v>1581</v>
      </c>
      <c r="E184">
        <v>10</v>
      </c>
      <c r="F184" t="s">
        <v>30</v>
      </c>
      <c r="G184" t="s">
        <v>64</v>
      </c>
      <c r="H184" t="s">
        <v>32</v>
      </c>
      <c r="J184" s="1">
        <v>45431</v>
      </c>
      <c r="K184" t="s">
        <v>249</v>
      </c>
      <c r="L184" t="s">
        <v>17</v>
      </c>
      <c r="M184" t="s">
        <v>18</v>
      </c>
      <c r="N184" t="s">
        <v>35</v>
      </c>
    </row>
    <row r="185" spans="1:14" x14ac:dyDescent="0.25">
      <c r="A185" t="s">
        <v>248</v>
      </c>
      <c r="B185">
        <v>6517</v>
      </c>
      <c r="C185">
        <v>1581</v>
      </c>
      <c r="E185">
        <v>10</v>
      </c>
      <c r="F185" t="s">
        <v>30</v>
      </c>
      <c r="G185" t="s">
        <v>64</v>
      </c>
      <c r="H185" t="s">
        <v>32</v>
      </c>
      <c r="J185" s="1">
        <v>43965</v>
      </c>
      <c r="K185" t="s">
        <v>250</v>
      </c>
      <c r="L185" t="s">
        <v>17</v>
      </c>
      <c r="M185" t="s">
        <v>150</v>
      </c>
      <c r="N185" t="s">
        <v>59</v>
      </c>
    </row>
    <row r="186" spans="1:14" x14ac:dyDescent="0.25">
      <c r="A186" t="s">
        <v>248</v>
      </c>
      <c r="B186">
        <v>1166</v>
      </c>
      <c r="C186">
        <v>349</v>
      </c>
      <c r="E186">
        <v>11</v>
      </c>
      <c r="F186" t="s">
        <v>45</v>
      </c>
      <c r="G186" t="s">
        <v>46</v>
      </c>
      <c r="H186" t="s">
        <v>47</v>
      </c>
      <c r="J186" s="1">
        <v>45431</v>
      </c>
      <c r="K186" t="s">
        <v>249</v>
      </c>
      <c r="L186" t="s">
        <v>17</v>
      </c>
      <c r="M186" t="s">
        <v>18</v>
      </c>
      <c r="N186" t="s">
        <v>35</v>
      </c>
    </row>
    <row r="187" spans="1:14" x14ac:dyDescent="0.25">
      <c r="A187" t="s">
        <v>248</v>
      </c>
      <c r="B187">
        <v>1166</v>
      </c>
      <c r="C187">
        <v>349</v>
      </c>
      <c r="E187">
        <v>11</v>
      </c>
      <c r="F187" t="s">
        <v>45</v>
      </c>
      <c r="G187" t="s">
        <v>46</v>
      </c>
      <c r="H187" t="s">
        <v>47</v>
      </c>
      <c r="J187" s="1">
        <v>43965</v>
      </c>
      <c r="K187" t="s">
        <v>250</v>
      </c>
      <c r="L187" t="s">
        <v>17</v>
      </c>
      <c r="M187" t="s">
        <v>150</v>
      </c>
      <c r="N187" t="s">
        <v>59</v>
      </c>
    </row>
    <row r="188" spans="1:14" x14ac:dyDescent="0.25">
      <c r="A188" t="s">
        <v>251</v>
      </c>
      <c r="B188">
        <v>9820</v>
      </c>
      <c r="C188">
        <v>793</v>
      </c>
      <c r="E188">
        <v>16</v>
      </c>
      <c r="F188" t="s">
        <v>45</v>
      </c>
      <c r="G188" t="s">
        <v>49</v>
      </c>
      <c r="H188" t="s">
        <v>47</v>
      </c>
      <c r="J188" s="1">
        <v>44437</v>
      </c>
      <c r="K188" t="s">
        <v>252</v>
      </c>
      <c r="L188" t="s">
        <v>25</v>
      </c>
      <c r="M188" t="s">
        <v>26</v>
      </c>
      <c r="N188" t="s">
        <v>178</v>
      </c>
    </row>
    <row r="189" spans="1:14" x14ac:dyDescent="0.25">
      <c r="A189" t="s">
        <v>253</v>
      </c>
      <c r="B189">
        <v>8563</v>
      </c>
      <c r="C189">
        <v>2624</v>
      </c>
      <c r="E189">
        <v>8</v>
      </c>
      <c r="F189" t="s">
        <v>30</v>
      </c>
      <c r="G189" t="s">
        <v>78</v>
      </c>
      <c r="H189" t="s">
        <v>65</v>
      </c>
      <c r="J189" s="1">
        <v>45606</v>
      </c>
      <c r="K189" t="s">
        <v>254</v>
      </c>
      <c r="L189" t="s">
        <v>71</v>
      </c>
      <c r="M189" t="s">
        <v>72</v>
      </c>
      <c r="N189" t="s">
        <v>255</v>
      </c>
    </row>
    <row r="190" spans="1:14" x14ac:dyDescent="0.25">
      <c r="A190" t="s">
        <v>253</v>
      </c>
      <c r="B190">
        <v>4441</v>
      </c>
      <c r="C190">
        <v>281</v>
      </c>
      <c r="E190">
        <v>20</v>
      </c>
      <c r="F190" t="s">
        <v>13</v>
      </c>
      <c r="G190" t="s">
        <v>28</v>
      </c>
      <c r="H190" t="s">
        <v>65</v>
      </c>
      <c r="J190" s="1">
        <v>45606</v>
      </c>
      <c r="K190" t="s">
        <v>254</v>
      </c>
      <c r="L190" t="s">
        <v>71</v>
      </c>
      <c r="M190" t="s">
        <v>72</v>
      </c>
      <c r="N190" t="s">
        <v>255</v>
      </c>
    </row>
    <row r="191" spans="1:14" x14ac:dyDescent="0.25">
      <c r="A191" t="s">
        <v>256</v>
      </c>
      <c r="B191">
        <v>7340</v>
      </c>
      <c r="C191">
        <v>2271</v>
      </c>
      <c r="E191">
        <v>8</v>
      </c>
      <c r="F191" t="s">
        <v>30</v>
      </c>
      <c r="G191" t="s">
        <v>64</v>
      </c>
      <c r="H191" t="s">
        <v>40</v>
      </c>
      <c r="J191" s="1">
        <v>44535</v>
      </c>
      <c r="K191" t="s">
        <v>257</v>
      </c>
      <c r="L191" t="s">
        <v>17</v>
      </c>
      <c r="M191" t="s">
        <v>34</v>
      </c>
      <c r="N191" t="s">
        <v>90</v>
      </c>
    </row>
    <row r="192" spans="1:14" x14ac:dyDescent="0.25">
      <c r="A192" t="s">
        <v>256</v>
      </c>
      <c r="B192">
        <v>5442</v>
      </c>
      <c r="C192">
        <v>1610</v>
      </c>
      <c r="E192">
        <v>1</v>
      </c>
      <c r="F192" t="s">
        <v>13</v>
      </c>
      <c r="G192" t="s">
        <v>82</v>
      </c>
      <c r="H192" t="s">
        <v>40</v>
      </c>
      <c r="J192" s="1">
        <v>44535</v>
      </c>
      <c r="K192" t="s">
        <v>257</v>
      </c>
      <c r="L192" t="s">
        <v>17</v>
      </c>
      <c r="M192" t="s">
        <v>34</v>
      </c>
      <c r="N192" t="s">
        <v>90</v>
      </c>
    </row>
    <row r="193" spans="1:14" x14ac:dyDescent="0.25">
      <c r="A193" t="s">
        <v>258</v>
      </c>
      <c r="B193">
        <v>1895</v>
      </c>
      <c r="C193">
        <v>391</v>
      </c>
      <c r="E193">
        <v>14</v>
      </c>
      <c r="F193" t="s">
        <v>45</v>
      </c>
      <c r="G193" t="s">
        <v>46</v>
      </c>
      <c r="H193" t="s">
        <v>15</v>
      </c>
      <c r="J193" s="1">
        <v>45478</v>
      </c>
      <c r="K193" t="s">
        <v>259</v>
      </c>
      <c r="L193" t="s">
        <v>17</v>
      </c>
      <c r="M193" t="s">
        <v>150</v>
      </c>
      <c r="N193" t="s">
        <v>215</v>
      </c>
    </row>
    <row r="194" spans="1:14" x14ac:dyDescent="0.25">
      <c r="A194" t="s">
        <v>258</v>
      </c>
      <c r="B194">
        <v>5323</v>
      </c>
      <c r="C194">
        <v>322</v>
      </c>
      <c r="E194">
        <v>13</v>
      </c>
      <c r="F194" t="s">
        <v>30</v>
      </c>
      <c r="G194" t="s">
        <v>78</v>
      </c>
      <c r="H194" t="s">
        <v>65</v>
      </c>
      <c r="J194" s="1">
        <v>45478</v>
      </c>
      <c r="K194" t="s">
        <v>259</v>
      </c>
      <c r="L194" t="s">
        <v>17</v>
      </c>
      <c r="M194" t="s">
        <v>150</v>
      </c>
      <c r="N194" t="s">
        <v>215</v>
      </c>
    </row>
    <row r="195" spans="1:14" x14ac:dyDescent="0.25">
      <c r="A195" t="s">
        <v>260</v>
      </c>
      <c r="B195">
        <v>8850</v>
      </c>
      <c r="C195">
        <v>279</v>
      </c>
      <c r="E195">
        <v>13</v>
      </c>
      <c r="F195" t="s">
        <v>30</v>
      </c>
      <c r="G195" t="s">
        <v>57</v>
      </c>
      <c r="H195" t="s">
        <v>32</v>
      </c>
      <c r="J195" s="1">
        <v>45468</v>
      </c>
      <c r="K195" t="s">
        <v>261</v>
      </c>
      <c r="L195" t="s">
        <v>17</v>
      </c>
      <c r="M195" t="s">
        <v>18</v>
      </c>
      <c r="N195" t="s">
        <v>262</v>
      </c>
    </row>
    <row r="196" spans="1:14" x14ac:dyDescent="0.25">
      <c r="A196" t="s">
        <v>260</v>
      </c>
      <c r="B196">
        <v>8667</v>
      </c>
      <c r="C196">
        <v>1266</v>
      </c>
      <c r="E196">
        <v>6</v>
      </c>
      <c r="F196" t="s">
        <v>30</v>
      </c>
      <c r="G196" t="s">
        <v>64</v>
      </c>
      <c r="H196" t="s">
        <v>32</v>
      </c>
      <c r="J196" s="1">
        <v>45468</v>
      </c>
      <c r="K196" t="s">
        <v>261</v>
      </c>
      <c r="L196" t="s">
        <v>17</v>
      </c>
      <c r="M196" t="s">
        <v>18</v>
      </c>
      <c r="N196" t="s">
        <v>262</v>
      </c>
    </row>
    <row r="197" spans="1:14" x14ac:dyDescent="0.25">
      <c r="A197" t="s">
        <v>263</v>
      </c>
      <c r="B197">
        <v>6903</v>
      </c>
      <c r="C197">
        <v>105</v>
      </c>
      <c r="E197">
        <v>1</v>
      </c>
      <c r="F197" t="s">
        <v>45</v>
      </c>
      <c r="G197" t="s">
        <v>46</v>
      </c>
      <c r="H197" t="s">
        <v>65</v>
      </c>
      <c r="J197" s="1">
        <v>45443</v>
      </c>
      <c r="K197" t="s">
        <v>264</v>
      </c>
      <c r="L197" t="s">
        <v>21</v>
      </c>
      <c r="M197" t="s">
        <v>22</v>
      </c>
      <c r="N197" t="s">
        <v>35</v>
      </c>
    </row>
    <row r="198" spans="1:14" x14ac:dyDescent="0.25">
      <c r="A198" t="s">
        <v>263</v>
      </c>
      <c r="B198">
        <v>8793</v>
      </c>
      <c r="C198">
        <v>3010</v>
      </c>
      <c r="E198">
        <v>7</v>
      </c>
      <c r="F198" t="s">
        <v>30</v>
      </c>
      <c r="G198" t="s">
        <v>31</v>
      </c>
      <c r="H198" t="s">
        <v>65</v>
      </c>
      <c r="J198" s="1">
        <v>45443</v>
      </c>
      <c r="K198" t="s">
        <v>264</v>
      </c>
      <c r="L198" t="s">
        <v>21</v>
      </c>
      <c r="M198" t="s">
        <v>22</v>
      </c>
      <c r="N198" t="s">
        <v>35</v>
      </c>
    </row>
    <row r="199" spans="1:14" x14ac:dyDescent="0.25">
      <c r="A199" t="s">
        <v>265</v>
      </c>
      <c r="B199">
        <v>9883</v>
      </c>
      <c r="C199">
        <v>4812</v>
      </c>
      <c r="E199">
        <v>16</v>
      </c>
      <c r="F199" t="s">
        <v>30</v>
      </c>
      <c r="G199" t="s">
        <v>64</v>
      </c>
      <c r="H199" t="s">
        <v>15</v>
      </c>
      <c r="J199" s="1">
        <v>44124</v>
      </c>
      <c r="K199" t="s">
        <v>266</v>
      </c>
      <c r="L199" t="s">
        <v>25</v>
      </c>
      <c r="M199" t="s">
        <v>26</v>
      </c>
      <c r="N199" t="s">
        <v>119</v>
      </c>
    </row>
    <row r="200" spans="1:14" x14ac:dyDescent="0.25">
      <c r="A200" t="s">
        <v>265</v>
      </c>
      <c r="B200">
        <v>9883</v>
      </c>
      <c r="C200">
        <v>4812</v>
      </c>
      <c r="E200">
        <v>16</v>
      </c>
      <c r="F200" t="s">
        <v>30</v>
      </c>
      <c r="G200" t="s">
        <v>64</v>
      </c>
      <c r="H200" t="s">
        <v>15</v>
      </c>
      <c r="J200" s="1">
        <v>44784</v>
      </c>
      <c r="K200" t="s">
        <v>267</v>
      </c>
      <c r="L200" t="s">
        <v>17</v>
      </c>
      <c r="M200" t="s">
        <v>34</v>
      </c>
      <c r="N200" t="s">
        <v>209</v>
      </c>
    </row>
    <row r="201" spans="1:14" x14ac:dyDescent="0.25">
      <c r="A201" t="s">
        <v>265</v>
      </c>
      <c r="B201">
        <v>9883</v>
      </c>
      <c r="C201">
        <v>4812</v>
      </c>
      <c r="E201">
        <v>16</v>
      </c>
      <c r="F201" t="s">
        <v>30</v>
      </c>
      <c r="G201" t="s">
        <v>64</v>
      </c>
      <c r="H201" t="s">
        <v>15</v>
      </c>
      <c r="J201" s="1">
        <v>44486</v>
      </c>
      <c r="K201" t="s">
        <v>268</v>
      </c>
      <c r="L201" t="s">
        <v>21</v>
      </c>
      <c r="M201" t="s">
        <v>63</v>
      </c>
      <c r="N201" t="s">
        <v>37</v>
      </c>
    </row>
    <row r="202" spans="1:14" x14ac:dyDescent="0.25">
      <c r="A202" t="s">
        <v>265</v>
      </c>
      <c r="B202">
        <v>5210</v>
      </c>
      <c r="C202">
        <v>1185</v>
      </c>
      <c r="E202">
        <v>7</v>
      </c>
      <c r="F202" t="s">
        <v>30</v>
      </c>
      <c r="G202" t="s">
        <v>64</v>
      </c>
      <c r="H202" t="s">
        <v>15</v>
      </c>
      <c r="J202" s="1">
        <v>44124</v>
      </c>
      <c r="K202" t="s">
        <v>266</v>
      </c>
      <c r="L202" t="s">
        <v>25</v>
      </c>
      <c r="M202" t="s">
        <v>26</v>
      </c>
      <c r="N202" t="s">
        <v>119</v>
      </c>
    </row>
    <row r="203" spans="1:14" x14ac:dyDescent="0.25">
      <c r="A203" t="s">
        <v>265</v>
      </c>
      <c r="B203">
        <v>5210</v>
      </c>
      <c r="C203">
        <v>1185</v>
      </c>
      <c r="E203">
        <v>7</v>
      </c>
      <c r="F203" t="s">
        <v>30</v>
      </c>
      <c r="G203" t="s">
        <v>64</v>
      </c>
      <c r="H203" t="s">
        <v>15</v>
      </c>
      <c r="J203" s="1">
        <v>44784</v>
      </c>
      <c r="K203" t="s">
        <v>267</v>
      </c>
      <c r="L203" t="s">
        <v>17</v>
      </c>
      <c r="M203" t="s">
        <v>34</v>
      </c>
      <c r="N203" t="s">
        <v>209</v>
      </c>
    </row>
    <row r="204" spans="1:14" x14ac:dyDescent="0.25">
      <c r="A204" t="s">
        <v>265</v>
      </c>
      <c r="B204">
        <v>5210</v>
      </c>
      <c r="C204">
        <v>1185</v>
      </c>
      <c r="E204">
        <v>7</v>
      </c>
      <c r="F204" t="s">
        <v>30</v>
      </c>
      <c r="G204" t="s">
        <v>64</v>
      </c>
      <c r="H204" t="s">
        <v>15</v>
      </c>
      <c r="J204" s="1">
        <v>44486</v>
      </c>
      <c r="K204" t="s">
        <v>268</v>
      </c>
      <c r="L204" t="s">
        <v>21</v>
      </c>
      <c r="M204" t="s">
        <v>63</v>
      </c>
      <c r="N204" t="s">
        <v>37</v>
      </c>
    </row>
    <row r="205" spans="1:14" x14ac:dyDescent="0.25">
      <c r="A205" t="s">
        <v>269</v>
      </c>
      <c r="B205">
        <v>3574</v>
      </c>
      <c r="C205">
        <v>851</v>
      </c>
      <c r="E205">
        <v>4</v>
      </c>
      <c r="F205" t="s">
        <v>13</v>
      </c>
      <c r="G205" t="s">
        <v>28</v>
      </c>
      <c r="H205" t="s">
        <v>47</v>
      </c>
      <c r="J205" s="1">
        <v>44615</v>
      </c>
      <c r="K205" t="s">
        <v>270</v>
      </c>
      <c r="L205" t="s">
        <v>42</v>
      </c>
      <c r="M205" t="s">
        <v>43</v>
      </c>
      <c r="N205" t="s">
        <v>137</v>
      </c>
    </row>
    <row r="206" spans="1:14" x14ac:dyDescent="0.25">
      <c r="A206" t="s">
        <v>269</v>
      </c>
      <c r="B206">
        <v>576</v>
      </c>
      <c r="C206">
        <v>76</v>
      </c>
      <c r="E206">
        <v>13</v>
      </c>
      <c r="F206" t="s">
        <v>45</v>
      </c>
      <c r="G206" t="s">
        <v>60</v>
      </c>
      <c r="H206" t="s">
        <v>15</v>
      </c>
      <c r="J206" s="1">
        <v>44615</v>
      </c>
      <c r="K206" t="s">
        <v>270</v>
      </c>
      <c r="L206" t="s">
        <v>42</v>
      </c>
      <c r="M206" t="s">
        <v>43</v>
      </c>
      <c r="N206" t="s">
        <v>137</v>
      </c>
    </row>
    <row r="207" spans="1:14" x14ac:dyDescent="0.25">
      <c r="A207" t="s">
        <v>271</v>
      </c>
      <c r="B207">
        <v>1860</v>
      </c>
      <c r="C207">
        <v>457</v>
      </c>
      <c r="E207">
        <v>13</v>
      </c>
      <c r="F207" t="s">
        <v>13</v>
      </c>
      <c r="G207" t="s">
        <v>28</v>
      </c>
      <c r="H207" t="s">
        <v>40</v>
      </c>
      <c r="J207" s="1">
        <v>45189</v>
      </c>
      <c r="K207" t="s">
        <v>272</v>
      </c>
      <c r="L207" t="s">
        <v>98</v>
      </c>
      <c r="M207" t="s">
        <v>117</v>
      </c>
      <c r="N207" t="s">
        <v>273</v>
      </c>
    </row>
    <row r="208" spans="1:14" x14ac:dyDescent="0.25">
      <c r="A208" t="s">
        <v>274</v>
      </c>
      <c r="B208">
        <v>782</v>
      </c>
      <c r="C208">
        <v>374</v>
      </c>
      <c r="E208">
        <v>8</v>
      </c>
      <c r="F208" t="s">
        <v>30</v>
      </c>
      <c r="G208" t="s">
        <v>31</v>
      </c>
      <c r="H208" t="s">
        <v>40</v>
      </c>
      <c r="J208" s="1">
        <v>44215</v>
      </c>
      <c r="K208" t="s">
        <v>275</v>
      </c>
      <c r="L208" t="s">
        <v>21</v>
      </c>
      <c r="M208" t="s">
        <v>172</v>
      </c>
      <c r="N208" t="s">
        <v>276</v>
      </c>
    </row>
    <row r="209" spans="1:14" x14ac:dyDescent="0.25">
      <c r="A209" t="s">
        <v>274</v>
      </c>
      <c r="B209">
        <v>4371</v>
      </c>
      <c r="C209">
        <v>1852</v>
      </c>
      <c r="E209">
        <v>1</v>
      </c>
      <c r="F209" t="s">
        <v>13</v>
      </c>
      <c r="G209" t="s">
        <v>39</v>
      </c>
      <c r="H209" t="s">
        <v>15</v>
      </c>
      <c r="J209" s="1">
        <v>44215</v>
      </c>
      <c r="K209" t="s">
        <v>275</v>
      </c>
      <c r="L209" t="s">
        <v>21</v>
      </c>
      <c r="M209" t="s">
        <v>172</v>
      </c>
      <c r="N209" t="s">
        <v>276</v>
      </c>
    </row>
    <row r="210" spans="1:14" x14ac:dyDescent="0.25">
      <c r="A210" t="s">
        <v>277</v>
      </c>
      <c r="B210">
        <v>8346</v>
      </c>
      <c r="C210">
        <v>1176</v>
      </c>
      <c r="E210">
        <v>1</v>
      </c>
      <c r="F210" t="s">
        <v>13</v>
      </c>
      <c r="G210" t="s">
        <v>82</v>
      </c>
      <c r="H210" t="s">
        <v>65</v>
      </c>
      <c r="J210" s="1">
        <v>44064</v>
      </c>
      <c r="K210" t="s">
        <v>278</v>
      </c>
      <c r="L210" t="s">
        <v>71</v>
      </c>
      <c r="M210" t="s">
        <v>138</v>
      </c>
      <c r="N210" t="s">
        <v>185</v>
      </c>
    </row>
    <row r="211" spans="1:14" x14ac:dyDescent="0.25">
      <c r="A211" t="s">
        <v>277</v>
      </c>
      <c r="B211">
        <v>8346</v>
      </c>
      <c r="C211">
        <v>1176</v>
      </c>
      <c r="E211">
        <v>1</v>
      </c>
      <c r="F211" t="s">
        <v>13</v>
      </c>
      <c r="G211" t="s">
        <v>82</v>
      </c>
      <c r="H211" t="s">
        <v>65</v>
      </c>
      <c r="J211" s="1">
        <v>45033</v>
      </c>
      <c r="K211" t="s">
        <v>279</v>
      </c>
      <c r="L211" t="s">
        <v>21</v>
      </c>
      <c r="M211" t="s">
        <v>22</v>
      </c>
      <c r="N211" t="s">
        <v>145</v>
      </c>
    </row>
    <row r="212" spans="1:14" x14ac:dyDescent="0.25">
      <c r="A212" t="s">
        <v>277</v>
      </c>
      <c r="B212">
        <v>8346</v>
      </c>
      <c r="C212">
        <v>1176</v>
      </c>
      <c r="E212">
        <v>1</v>
      </c>
      <c r="F212" t="s">
        <v>13</v>
      </c>
      <c r="G212" t="s">
        <v>82</v>
      </c>
      <c r="H212" t="s">
        <v>65</v>
      </c>
      <c r="J212" s="1">
        <v>45284</v>
      </c>
      <c r="K212" t="s">
        <v>280</v>
      </c>
      <c r="L212" t="s">
        <v>42</v>
      </c>
      <c r="M212" t="s">
        <v>92</v>
      </c>
      <c r="N212" t="s">
        <v>102</v>
      </c>
    </row>
    <row r="213" spans="1:14" x14ac:dyDescent="0.25">
      <c r="A213" t="s">
        <v>277</v>
      </c>
      <c r="B213">
        <v>6218</v>
      </c>
      <c r="C213">
        <v>1125</v>
      </c>
      <c r="E213">
        <v>5</v>
      </c>
      <c r="F213" t="s">
        <v>45</v>
      </c>
      <c r="G213" t="s">
        <v>46</v>
      </c>
      <c r="H213" t="s">
        <v>32</v>
      </c>
      <c r="J213" s="1">
        <v>44064</v>
      </c>
      <c r="K213" t="s">
        <v>278</v>
      </c>
      <c r="L213" t="s">
        <v>71</v>
      </c>
      <c r="M213" t="s">
        <v>138</v>
      </c>
      <c r="N213" t="s">
        <v>185</v>
      </c>
    </row>
    <row r="214" spans="1:14" x14ac:dyDescent="0.25">
      <c r="A214" t="s">
        <v>277</v>
      </c>
      <c r="B214">
        <v>6218</v>
      </c>
      <c r="C214">
        <v>1125</v>
      </c>
      <c r="E214">
        <v>5</v>
      </c>
      <c r="F214" t="s">
        <v>45</v>
      </c>
      <c r="G214" t="s">
        <v>46</v>
      </c>
      <c r="H214" t="s">
        <v>32</v>
      </c>
      <c r="J214" s="1">
        <v>45033</v>
      </c>
      <c r="K214" t="s">
        <v>279</v>
      </c>
      <c r="L214" t="s">
        <v>21</v>
      </c>
      <c r="M214" t="s">
        <v>22</v>
      </c>
      <c r="N214" t="s">
        <v>145</v>
      </c>
    </row>
    <row r="215" spans="1:14" x14ac:dyDescent="0.25">
      <c r="A215" t="s">
        <v>277</v>
      </c>
      <c r="B215">
        <v>6218</v>
      </c>
      <c r="C215">
        <v>1125</v>
      </c>
      <c r="E215">
        <v>5</v>
      </c>
      <c r="F215" t="s">
        <v>45</v>
      </c>
      <c r="G215" t="s">
        <v>46</v>
      </c>
      <c r="H215" t="s">
        <v>32</v>
      </c>
      <c r="J215" s="1">
        <v>45284</v>
      </c>
      <c r="K215" t="s">
        <v>280</v>
      </c>
      <c r="L215" t="s">
        <v>42</v>
      </c>
      <c r="M215" t="s">
        <v>92</v>
      </c>
      <c r="N215" t="s">
        <v>102</v>
      </c>
    </row>
    <row r="216" spans="1:14" x14ac:dyDescent="0.25">
      <c r="A216" t="s">
        <v>277</v>
      </c>
      <c r="B216">
        <v>5167</v>
      </c>
      <c r="C216">
        <v>253</v>
      </c>
      <c r="E216">
        <v>14</v>
      </c>
      <c r="F216" t="s">
        <v>13</v>
      </c>
      <c r="G216" t="s">
        <v>28</v>
      </c>
      <c r="H216" t="s">
        <v>47</v>
      </c>
      <c r="J216" s="1">
        <v>44064</v>
      </c>
      <c r="K216" t="s">
        <v>278</v>
      </c>
      <c r="L216" t="s">
        <v>71</v>
      </c>
      <c r="M216" t="s">
        <v>138</v>
      </c>
      <c r="N216" t="s">
        <v>185</v>
      </c>
    </row>
    <row r="217" spans="1:14" x14ac:dyDescent="0.25">
      <c r="A217" t="s">
        <v>277</v>
      </c>
      <c r="B217">
        <v>5167</v>
      </c>
      <c r="C217">
        <v>253</v>
      </c>
      <c r="E217">
        <v>14</v>
      </c>
      <c r="F217" t="s">
        <v>13</v>
      </c>
      <c r="G217" t="s">
        <v>28</v>
      </c>
      <c r="H217" t="s">
        <v>47</v>
      </c>
      <c r="J217" s="1">
        <v>45033</v>
      </c>
      <c r="K217" t="s">
        <v>279</v>
      </c>
      <c r="L217" t="s">
        <v>21</v>
      </c>
      <c r="M217" t="s">
        <v>22</v>
      </c>
      <c r="N217" t="s">
        <v>145</v>
      </c>
    </row>
    <row r="218" spans="1:14" x14ac:dyDescent="0.25">
      <c r="A218" t="s">
        <v>277</v>
      </c>
      <c r="B218">
        <v>5167</v>
      </c>
      <c r="C218">
        <v>253</v>
      </c>
      <c r="E218">
        <v>14</v>
      </c>
      <c r="F218" t="s">
        <v>13</v>
      </c>
      <c r="G218" t="s">
        <v>28</v>
      </c>
      <c r="H218" t="s">
        <v>47</v>
      </c>
      <c r="J218" s="1">
        <v>45284</v>
      </c>
      <c r="K218" t="s">
        <v>280</v>
      </c>
      <c r="L218" t="s">
        <v>42</v>
      </c>
      <c r="M218" t="s">
        <v>92</v>
      </c>
      <c r="N218" t="s">
        <v>102</v>
      </c>
    </row>
    <row r="219" spans="1:14" x14ac:dyDescent="0.25">
      <c r="A219" t="s">
        <v>277</v>
      </c>
      <c r="B219">
        <v>2799</v>
      </c>
      <c r="C219">
        <v>1239</v>
      </c>
      <c r="E219">
        <v>5</v>
      </c>
      <c r="F219" t="s">
        <v>45</v>
      </c>
      <c r="G219" t="s">
        <v>60</v>
      </c>
      <c r="H219" t="s">
        <v>32</v>
      </c>
      <c r="J219" s="1">
        <v>44064</v>
      </c>
      <c r="K219" t="s">
        <v>278</v>
      </c>
      <c r="L219" t="s">
        <v>71</v>
      </c>
      <c r="M219" t="s">
        <v>138</v>
      </c>
      <c r="N219" t="s">
        <v>185</v>
      </c>
    </row>
    <row r="220" spans="1:14" x14ac:dyDescent="0.25">
      <c r="A220" t="s">
        <v>277</v>
      </c>
      <c r="B220">
        <v>2799</v>
      </c>
      <c r="C220">
        <v>1239</v>
      </c>
      <c r="E220">
        <v>5</v>
      </c>
      <c r="F220" t="s">
        <v>45</v>
      </c>
      <c r="G220" t="s">
        <v>60</v>
      </c>
      <c r="H220" t="s">
        <v>32</v>
      </c>
      <c r="J220" s="1">
        <v>45033</v>
      </c>
      <c r="K220" t="s">
        <v>279</v>
      </c>
      <c r="L220" t="s">
        <v>21</v>
      </c>
      <c r="M220" t="s">
        <v>22</v>
      </c>
      <c r="N220" t="s">
        <v>145</v>
      </c>
    </row>
    <row r="221" spans="1:14" x14ac:dyDescent="0.25">
      <c r="A221" t="s">
        <v>277</v>
      </c>
      <c r="B221">
        <v>2799</v>
      </c>
      <c r="C221">
        <v>1239</v>
      </c>
      <c r="E221">
        <v>5</v>
      </c>
      <c r="F221" t="s">
        <v>45</v>
      </c>
      <c r="G221" t="s">
        <v>60</v>
      </c>
      <c r="H221" t="s">
        <v>32</v>
      </c>
      <c r="J221" s="1">
        <v>45284</v>
      </c>
      <c r="K221" t="s">
        <v>280</v>
      </c>
      <c r="L221" t="s">
        <v>42</v>
      </c>
      <c r="M221" t="s">
        <v>92</v>
      </c>
      <c r="N221" t="s">
        <v>102</v>
      </c>
    </row>
    <row r="222" spans="1:14" x14ac:dyDescent="0.25">
      <c r="A222" t="s">
        <v>281</v>
      </c>
      <c r="B222">
        <v>3234</v>
      </c>
      <c r="C222">
        <v>1029</v>
      </c>
      <c r="E222">
        <v>20</v>
      </c>
      <c r="F222" t="s">
        <v>30</v>
      </c>
      <c r="G222" t="s">
        <v>57</v>
      </c>
      <c r="H222" t="s">
        <v>47</v>
      </c>
      <c r="J222" s="1">
        <v>44640</v>
      </c>
      <c r="K222" t="s">
        <v>282</v>
      </c>
      <c r="L222" t="s">
        <v>17</v>
      </c>
      <c r="M222" t="s">
        <v>18</v>
      </c>
      <c r="N222" t="s">
        <v>134</v>
      </c>
    </row>
    <row r="223" spans="1:14" x14ac:dyDescent="0.25">
      <c r="A223" t="s">
        <v>283</v>
      </c>
      <c r="B223">
        <v>4920</v>
      </c>
      <c r="C223">
        <v>775</v>
      </c>
      <c r="E223">
        <v>12</v>
      </c>
      <c r="F223" t="s">
        <v>45</v>
      </c>
      <c r="G223" t="s">
        <v>46</v>
      </c>
      <c r="H223" t="s">
        <v>32</v>
      </c>
      <c r="J223" s="1">
        <v>44420</v>
      </c>
      <c r="K223" t="s">
        <v>284</v>
      </c>
      <c r="L223" t="s">
        <v>21</v>
      </c>
      <c r="M223" t="s">
        <v>63</v>
      </c>
      <c r="N223" t="s">
        <v>178</v>
      </c>
    </row>
    <row r="224" spans="1:14" x14ac:dyDescent="0.25">
      <c r="A224" t="s">
        <v>283</v>
      </c>
      <c r="B224">
        <v>9078</v>
      </c>
      <c r="C224">
        <v>2213</v>
      </c>
      <c r="E224">
        <v>15</v>
      </c>
      <c r="F224" t="s">
        <v>45</v>
      </c>
      <c r="G224" t="s">
        <v>109</v>
      </c>
      <c r="H224" t="s">
        <v>40</v>
      </c>
      <c r="J224" s="1">
        <v>44420</v>
      </c>
      <c r="K224" t="s">
        <v>284</v>
      </c>
      <c r="L224" t="s">
        <v>21</v>
      </c>
      <c r="M224" t="s">
        <v>63</v>
      </c>
      <c r="N224" t="s">
        <v>178</v>
      </c>
    </row>
    <row r="225" spans="1:14" x14ac:dyDescent="0.25">
      <c r="A225" t="s">
        <v>285</v>
      </c>
      <c r="B225">
        <v>8586</v>
      </c>
      <c r="C225">
        <v>3826</v>
      </c>
      <c r="E225">
        <v>7</v>
      </c>
      <c r="F225" t="s">
        <v>45</v>
      </c>
      <c r="G225" t="s">
        <v>109</v>
      </c>
      <c r="H225" t="s">
        <v>15</v>
      </c>
      <c r="J225" s="1">
        <v>44186</v>
      </c>
      <c r="K225" t="s">
        <v>286</v>
      </c>
      <c r="L225" t="s">
        <v>17</v>
      </c>
      <c r="M225" t="s">
        <v>18</v>
      </c>
      <c r="N225" t="s">
        <v>287</v>
      </c>
    </row>
    <row r="226" spans="1:14" x14ac:dyDescent="0.25">
      <c r="A226" t="s">
        <v>285</v>
      </c>
      <c r="B226">
        <v>8586</v>
      </c>
      <c r="C226">
        <v>3826</v>
      </c>
      <c r="E226">
        <v>7</v>
      </c>
      <c r="F226" t="s">
        <v>45</v>
      </c>
      <c r="G226" t="s">
        <v>109</v>
      </c>
      <c r="H226" t="s">
        <v>15</v>
      </c>
      <c r="J226" s="1">
        <v>45114</v>
      </c>
      <c r="K226" t="s">
        <v>288</v>
      </c>
      <c r="L226" t="s">
        <v>17</v>
      </c>
      <c r="M226" t="s">
        <v>150</v>
      </c>
      <c r="N226" t="s">
        <v>105</v>
      </c>
    </row>
    <row r="227" spans="1:14" x14ac:dyDescent="0.25">
      <c r="A227" t="s">
        <v>289</v>
      </c>
      <c r="B227">
        <v>5047</v>
      </c>
      <c r="C227">
        <v>2211</v>
      </c>
      <c r="E227">
        <v>13</v>
      </c>
      <c r="F227" t="s">
        <v>45</v>
      </c>
      <c r="G227" t="s">
        <v>60</v>
      </c>
      <c r="H227" t="s">
        <v>40</v>
      </c>
      <c r="J227" s="1">
        <v>45151</v>
      </c>
      <c r="K227" t="s">
        <v>290</v>
      </c>
      <c r="L227" t="s">
        <v>42</v>
      </c>
      <c r="M227" t="s">
        <v>92</v>
      </c>
      <c r="N227" t="s">
        <v>121</v>
      </c>
    </row>
    <row r="228" spans="1:14" x14ac:dyDescent="0.25">
      <c r="A228" t="s">
        <v>289</v>
      </c>
      <c r="B228">
        <v>5047</v>
      </c>
      <c r="C228">
        <v>2211</v>
      </c>
      <c r="E228">
        <v>13</v>
      </c>
      <c r="F228" t="s">
        <v>45</v>
      </c>
      <c r="G228" t="s">
        <v>60</v>
      </c>
      <c r="H228" t="s">
        <v>40</v>
      </c>
      <c r="J228" s="1">
        <v>44231</v>
      </c>
      <c r="K228" t="s">
        <v>291</v>
      </c>
      <c r="L228" t="s">
        <v>21</v>
      </c>
      <c r="M228" t="s">
        <v>22</v>
      </c>
      <c r="N228" t="s">
        <v>292</v>
      </c>
    </row>
    <row r="229" spans="1:14" x14ac:dyDescent="0.25">
      <c r="A229" t="s">
        <v>289</v>
      </c>
      <c r="B229">
        <v>5047</v>
      </c>
      <c r="C229">
        <v>2211</v>
      </c>
      <c r="E229">
        <v>13</v>
      </c>
      <c r="F229" t="s">
        <v>45</v>
      </c>
      <c r="G229" t="s">
        <v>60</v>
      </c>
      <c r="H229" t="s">
        <v>40</v>
      </c>
      <c r="J229" s="1">
        <v>44820</v>
      </c>
      <c r="K229" t="s">
        <v>293</v>
      </c>
      <c r="L229" t="s">
        <v>21</v>
      </c>
      <c r="M229" t="s">
        <v>172</v>
      </c>
      <c r="N229" t="s">
        <v>131</v>
      </c>
    </row>
    <row r="230" spans="1:14" x14ac:dyDescent="0.25">
      <c r="A230" t="s">
        <v>289</v>
      </c>
      <c r="B230">
        <v>5047</v>
      </c>
      <c r="C230">
        <v>2211</v>
      </c>
      <c r="E230">
        <v>13</v>
      </c>
      <c r="F230" t="s">
        <v>45</v>
      </c>
      <c r="G230" t="s">
        <v>60</v>
      </c>
      <c r="H230" t="s">
        <v>40</v>
      </c>
      <c r="J230" s="1">
        <v>44687</v>
      </c>
      <c r="K230" t="s">
        <v>294</v>
      </c>
      <c r="L230" t="s">
        <v>25</v>
      </c>
      <c r="M230" t="s">
        <v>26</v>
      </c>
      <c r="N230" t="s">
        <v>180</v>
      </c>
    </row>
    <row r="231" spans="1:14" x14ac:dyDescent="0.25">
      <c r="A231" t="s">
        <v>295</v>
      </c>
      <c r="B231">
        <v>3657</v>
      </c>
      <c r="C231">
        <v>163</v>
      </c>
      <c r="E231">
        <v>1</v>
      </c>
      <c r="F231" t="s">
        <v>45</v>
      </c>
      <c r="G231" t="s">
        <v>60</v>
      </c>
      <c r="H231" t="s">
        <v>15</v>
      </c>
      <c r="J231" s="1">
        <v>44344</v>
      </c>
      <c r="K231" t="s">
        <v>296</v>
      </c>
      <c r="L231" t="s">
        <v>42</v>
      </c>
      <c r="M231" t="s">
        <v>92</v>
      </c>
      <c r="N231" t="s">
        <v>108</v>
      </c>
    </row>
    <row r="232" spans="1:14" x14ac:dyDescent="0.25">
      <c r="A232" t="s">
        <v>297</v>
      </c>
      <c r="B232">
        <v>6471</v>
      </c>
      <c r="C232">
        <v>2842</v>
      </c>
      <c r="E232">
        <v>18</v>
      </c>
      <c r="F232" t="s">
        <v>13</v>
      </c>
      <c r="G232" t="s">
        <v>14</v>
      </c>
      <c r="H232" t="s">
        <v>15</v>
      </c>
      <c r="J232" s="1">
        <v>45491</v>
      </c>
      <c r="K232" t="s">
        <v>298</v>
      </c>
      <c r="L232" t="s">
        <v>21</v>
      </c>
      <c r="M232" t="s">
        <v>172</v>
      </c>
      <c r="N232" t="s">
        <v>215</v>
      </c>
    </row>
    <row r="233" spans="1:14" x14ac:dyDescent="0.25">
      <c r="A233" t="s">
        <v>299</v>
      </c>
      <c r="B233">
        <v>949</v>
      </c>
      <c r="C233">
        <v>301</v>
      </c>
      <c r="E233">
        <v>9</v>
      </c>
      <c r="F233" t="s">
        <v>30</v>
      </c>
      <c r="G233" t="s">
        <v>78</v>
      </c>
      <c r="H233" t="s">
        <v>15</v>
      </c>
      <c r="J233" s="1">
        <v>45632</v>
      </c>
      <c r="K233" t="s">
        <v>300</v>
      </c>
      <c r="L233" t="s">
        <v>98</v>
      </c>
      <c r="M233" t="s">
        <v>117</v>
      </c>
      <c r="N233" t="s">
        <v>23</v>
      </c>
    </row>
    <row r="234" spans="1:14" x14ac:dyDescent="0.25">
      <c r="A234" t="s">
        <v>299</v>
      </c>
      <c r="B234">
        <v>6823</v>
      </c>
      <c r="C234">
        <v>771</v>
      </c>
      <c r="E234">
        <v>6</v>
      </c>
      <c r="F234" t="s">
        <v>30</v>
      </c>
      <c r="G234" t="s">
        <v>78</v>
      </c>
      <c r="H234" t="s">
        <v>40</v>
      </c>
      <c r="J234" s="1">
        <v>45632</v>
      </c>
      <c r="K234" t="s">
        <v>300</v>
      </c>
      <c r="L234" t="s">
        <v>98</v>
      </c>
      <c r="M234" t="s">
        <v>117</v>
      </c>
      <c r="N234" t="s">
        <v>23</v>
      </c>
    </row>
    <row r="235" spans="1:14" x14ac:dyDescent="0.25">
      <c r="A235" t="s">
        <v>299</v>
      </c>
      <c r="B235">
        <v>4364</v>
      </c>
      <c r="C235">
        <v>831</v>
      </c>
      <c r="E235">
        <v>2</v>
      </c>
      <c r="F235" t="s">
        <v>45</v>
      </c>
      <c r="G235" t="s">
        <v>46</v>
      </c>
      <c r="H235" t="s">
        <v>40</v>
      </c>
      <c r="J235" s="1">
        <v>45632</v>
      </c>
      <c r="K235" t="s">
        <v>300</v>
      </c>
      <c r="L235" t="s">
        <v>98</v>
      </c>
      <c r="M235" t="s">
        <v>117</v>
      </c>
      <c r="N235" t="s">
        <v>23</v>
      </c>
    </row>
    <row r="236" spans="1:14" x14ac:dyDescent="0.25">
      <c r="A236" t="s">
        <v>301</v>
      </c>
      <c r="B236">
        <v>6671</v>
      </c>
      <c r="C236">
        <v>2797</v>
      </c>
      <c r="E236">
        <v>10</v>
      </c>
      <c r="F236" t="s">
        <v>13</v>
      </c>
      <c r="G236" t="s">
        <v>82</v>
      </c>
      <c r="H236" t="s">
        <v>15</v>
      </c>
      <c r="J236" s="1">
        <v>44907</v>
      </c>
      <c r="K236" t="s">
        <v>302</v>
      </c>
      <c r="L236" t="s">
        <v>21</v>
      </c>
      <c r="M236" t="s">
        <v>172</v>
      </c>
      <c r="N236" t="s">
        <v>152</v>
      </c>
    </row>
    <row r="237" spans="1:14" x14ac:dyDescent="0.25">
      <c r="A237" t="s">
        <v>303</v>
      </c>
      <c r="B237">
        <v>7472</v>
      </c>
      <c r="C237">
        <v>1037</v>
      </c>
      <c r="E237">
        <v>3</v>
      </c>
      <c r="F237" t="s">
        <v>30</v>
      </c>
      <c r="G237" t="s">
        <v>64</v>
      </c>
      <c r="H237" t="s">
        <v>65</v>
      </c>
      <c r="J237" s="1">
        <v>44854</v>
      </c>
      <c r="K237" t="s">
        <v>304</v>
      </c>
      <c r="L237" t="s">
        <v>21</v>
      </c>
      <c r="M237" t="s">
        <v>63</v>
      </c>
      <c r="N237" t="s">
        <v>96</v>
      </c>
    </row>
    <row r="238" spans="1:14" x14ac:dyDescent="0.25">
      <c r="A238" t="s">
        <v>303</v>
      </c>
      <c r="B238">
        <v>9548</v>
      </c>
      <c r="C238">
        <v>1806</v>
      </c>
      <c r="E238">
        <v>9</v>
      </c>
      <c r="F238" t="s">
        <v>13</v>
      </c>
      <c r="G238" t="s">
        <v>28</v>
      </c>
      <c r="H238" t="s">
        <v>65</v>
      </c>
      <c r="J238" s="1">
        <v>44854</v>
      </c>
      <c r="K238" t="s">
        <v>304</v>
      </c>
      <c r="L238" t="s">
        <v>21</v>
      </c>
      <c r="M238" t="s">
        <v>63</v>
      </c>
      <c r="N238" t="s">
        <v>96</v>
      </c>
    </row>
    <row r="239" spans="1:14" x14ac:dyDescent="0.25">
      <c r="A239" t="s">
        <v>305</v>
      </c>
      <c r="B239">
        <v>7759</v>
      </c>
      <c r="C239">
        <v>3741</v>
      </c>
      <c r="E239">
        <v>17</v>
      </c>
      <c r="F239" t="s">
        <v>13</v>
      </c>
      <c r="G239" t="s">
        <v>28</v>
      </c>
      <c r="H239" t="s">
        <v>15</v>
      </c>
      <c r="J239" s="1">
        <v>44279</v>
      </c>
      <c r="K239" t="s">
        <v>306</v>
      </c>
      <c r="L239" t="s">
        <v>17</v>
      </c>
      <c r="M239" t="s">
        <v>18</v>
      </c>
      <c r="N239" t="s">
        <v>167</v>
      </c>
    </row>
    <row r="240" spans="1:14" x14ac:dyDescent="0.25">
      <c r="A240" t="s">
        <v>305</v>
      </c>
      <c r="B240">
        <v>7759</v>
      </c>
      <c r="C240">
        <v>3741</v>
      </c>
      <c r="E240">
        <v>17</v>
      </c>
      <c r="F240" t="s">
        <v>13</v>
      </c>
      <c r="G240" t="s">
        <v>28</v>
      </c>
      <c r="H240" t="s">
        <v>15</v>
      </c>
      <c r="J240" s="1">
        <v>45663</v>
      </c>
      <c r="K240" t="s">
        <v>307</v>
      </c>
      <c r="L240" t="s">
        <v>71</v>
      </c>
      <c r="M240" t="s">
        <v>72</v>
      </c>
      <c r="N240" t="s">
        <v>308</v>
      </c>
    </row>
    <row r="241" spans="1:14" x14ac:dyDescent="0.25">
      <c r="A241" t="s">
        <v>305</v>
      </c>
      <c r="B241">
        <v>7521</v>
      </c>
      <c r="C241">
        <v>3457</v>
      </c>
      <c r="E241">
        <v>16</v>
      </c>
      <c r="F241" t="s">
        <v>30</v>
      </c>
      <c r="G241" t="s">
        <v>57</v>
      </c>
      <c r="H241" t="s">
        <v>32</v>
      </c>
      <c r="J241" s="1">
        <v>44279</v>
      </c>
      <c r="K241" t="s">
        <v>306</v>
      </c>
      <c r="L241" t="s">
        <v>17</v>
      </c>
      <c r="M241" t="s">
        <v>18</v>
      </c>
      <c r="N241" t="s">
        <v>167</v>
      </c>
    </row>
    <row r="242" spans="1:14" x14ac:dyDescent="0.25">
      <c r="A242" t="s">
        <v>305</v>
      </c>
      <c r="B242">
        <v>7521</v>
      </c>
      <c r="C242">
        <v>3457</v>
      </c>
      <c r="E242">
        <v>16</v>
      </c>
      <c r="F242" t="s">
        <v>30</v>
      </c>
      <c r="G242" t="s">
        <v>57</v>
      </c>
      <c r="H242" t="s">
        <v>32</v>
      </c>
      <c r="J242" s="1">
        <v>45663</v>
      </c>
      <c r="K242" t="s">
        <v>307</v>
      </c>
      <c r="L242" t="s">
        <v>71</v>
      </c>
      <c r="M242" t="s">
        <v>72</v>
      </c>
      <c r="N242" t="s">
        <v>308</v>
      </c>
    </row>
    <row r="243" spans="1:14" x14ac:dyDescent="0.25">
      <c r="A243" t="s">
        <v>309</v>
      </c>
      <c r="B243">
        <v>9704</v>
      </c>
      <c r="C243">
        <v>4339</v>
      </c>
      <c r="E243">
        <v>12</v>
      </c>
      <c r="F243" t="s">
        <v>30</v>
      </c>
      <c r="G243" t="s">
        <v>31</v>
      </c>
      <c r="H243" t="s">
        <v>65</v>
      </c>
      <c r="J243" s="1">
        <v>44261</v>
      </c>
      <c r="K243" t="s">
        <v>310</v>
      </c>
      <c r="L243" t="s">
        <v>71</v>
      </c>
      <c r="M243" t="s">
        <v>138</v>
      </c>
      <c r="N243" t="s">
        <v>167</v>
      </c>
    </row>
    <row r="244" spans="1:14" x14ac:dyDescent="0.25">
      <c r="A244" t="s">
        <v>309</v>
      </c>
      <c r="B244">
        <v>4948</v>
      </c>
      <c r="C244">
        <v>2356</v>
      </c>
      <c r="E244">
        <v>18</v>
      </c>
      <c r="F244" t="s">
        <v>13</v>
      </c>
      <c r="G244" t="s">
        <v>28</v>
      </c>
      <c r="H244" t="s">
        <v>32</v>
      </c>
      <c r="J244" s="1">
        <v>44261</v>
      </c>
      <c r="K244" t="s">
        <v>310</v>
      </c>
      <c r="L244" t="s">
        <v>71</v>
      </c>
      <c r="M244" t="s">
        <v>138</v>
      </c>
      <c r="N244" t="s">
        <v>167</v>
      </c>
    </row>
    <row r="245" spans="1:14" x14ac:dyDescent="0.25">
      <c r="A245" t="s">
        <v>309</v>
      </c>
      <c r="B245">
        <v>6435</v>
      </c>
      <c r="C245">
        <v>334</v>
      </c>
      <c r="E245">
        <v>10</v>
      </c>
      <c r="F245" t="s">
        <v>13</v>
      </c>
      <c r="G245" t="s">
        <v>14</v>
      </c>
      <c r="H245" t="s">
        <v>32</v>
      </c>
      <c r="J245" s="1">
        <v>44261</v>
      </c>
      <c r="K245" t="s">
        <v>310</v>
      </c>
      <c r="L245" t="s">
        <v>71</v>
      </c>
      <c r="M245" t="s">
        <v>138</v>
      </c>
      <c r="N245" t="s">
        <v>167</v>
      </c>
    </row>
    <row r="246" spans="1:14" x14ac:dyDescent="0.25">
      <c r="A246" t="s">
        <v>311</v>
      </c>
      <c r="B246">
        <v>9965</v>
      </c>
      <c r="C246">
        <v>3033</v>
      </c>
      <c r="E246">
        <v>16</v>
      </c>
      <c r="F246" t="s">
        <v>30</v>
      </c>
      <c r="G246" t="s">
        <v>57</v>
      </c>
      <c r="H246" t="s">
        <v>65</v>
      </c>
      <c r="J246" s="1">
        <v>43999</v>
      </c>
      <c r="K246" t="s">
        <v>312</v>
      </c>
      <c r="L246" t="s">
        <v>42</v>
      </c>
      <c r="M246" t="s">
        <v>92</v>
      </c>
      <c r="N246" t="s">
        <v>313</v>
      </c>
    </row>
    <row r="247" spans="1:14" x14ac:dyDescent="0.25">
      <c r="A247" t="s">
        <v>311</v>
      </c>
      <c r="B247">
        <v>9965</v>
      </c>
      <c r="C247">
        <v>3033</v>
      </c>
      <c r="E247">
        <v>16</v>
      </c>
      <c r="F247" t="s">
        <v>30</v>
      </c>
      <c r="G247" t="s">
        <v>57</v>
      </c>
      <c r="H247" t="s">
        <v>65</v>
      </c>
      <c r="J247" s="1">
        <v>45170</v>
      </c>
      <c r="K247" t="s">
        <v>314</v>
      </c>
      <c r="L247" t="s">
        <v>25</v>
      </c>
      <c r="M247" t="s">
        <v>26</v>
      </c>
      <c r="N247" t="s">
        <v>273</v>
      </c>
    </row>
    <row r="248" spans="1:14" x14ac:dyDescent="0.25">
      <c r="A248" t="s">
        <v>315</v>
      </c>
      <c r="B248">
        <v>1523</v>
      </c>
      <c r="C248">
        <v>234</v>
      </c>
      <c r="E248">
        <v>3</v>
      </c>
      <c r="F248" t="s">
        <v>45</v>
      </c>
      <c r="G248" t="s">
        <v>60</v>
      </c>
      <c r="H248" t="s">
        <v>15</v>
      </c>
      <c r="J248" s="1">
        <v>45085</v>
      </c>
      <c r="K248" t="s">
        <v>316</v>
      </c>
      <c r="L248" t="s">
        <v>25</v>
      </c>
      <c r="M248" t="s">
        <v>68</v>
      </c>
      <c r="N248" t="s">
        <v>19</v>
      </c>
    </row>
    <row r="249" spans="1:14" x14ac:dyDescent="0.25">
      <c r="A249" t="s">
        <v>315</v>
      </c>
      <c r="B249">
        <v>9073</v>
      </c>
      <c r="C249">
        <v>424</v>
      </c>
      <c r="E249">
        <v>7</v>
      </c>
      <c r="F249" t="s">
        <v>13</v>
      </c>
      <c r="G249" t="s">
        <v>14</v>
      </c>
      <c r="H249" t="s">
        <v>32</v>
      </c>
      <c r="J249" s="1">
        <v>45085</v>
      </c>
      <c r="K249" t="s">
        <v>316</v>
      </c>
      <c r="L249" t="s">
        <v>25</v>
      </c>
      <c r="M249" t="s">
        <v>68</v>
      </c>
      <c r="N249" t="s">
        <v>19</v>
      </c>
    </row>
    <row r="250" spans="1:14" x14ac:dyDescent="0.25">
      <c r="A250" t="s">
        <v>317</v>
      </c>
      <c r="B250">
        <v>6447</v>
      </c>
      <c r="C250">
        <v>3079</v>
      </c>
      <c r="E250">
        <v>20</v>
      </c>
      <c r="F250" t="s">
        <v>13</v>
      </c>
      <c r="G250" t="s">
        <v>39</v>
      </c>
      <c r="H250" t="s">
        <v>65</v>
      </c>
      <c r="J250" s="1">
        <v>44280</v>
      </c>
      <c r="K250" t="s">
        <v>318</v>
      </c>
      <c r="L250" t="s">
        <v>25</v>
      </c>
      <c r="M250" t="s">
        <v>68</v>
      </c>
      <c r="N250" t="s">
        <v>167</v>
      </c>
    </row>
    <row r="251" spans="1:14" x14ac:dyDescent="0.25">
      <c r="A251" t="s">
        <v>317</v>
      </c>
      <c r="B251">
        <v>8947</v>
      </c>
      <c r="C251">
        <v>2807</v>
      </c>
      <c r="E251">
        <v>6</v>
      </c>
      <c r="F251" t="s">
        <v>13</v>
      </c>
      <c r="G251" t="s">
        <v>14</v>
      </c>
      <c r="H251" t="s">
        <v>47</v>
      </c>
      <c r="J251" s="1">
        <v>44280</v>
      </c>
      <c r="K251" t="s">
        <v>318</v>
      </c>
      <c r="L251" t="s">
        <v>25</v>
      </c>
      <c r="M251" t="s">
        <v>68</v>
      </c>
      <c r="N251" t="s">
        <v>167</v>
      </c>
    </row>
    <row r="252" spans="1:14" x14ac:dyDescent="0.25">
      <c r="A252" t="s">
        <v>319</v>
      </c>
      <c r="B252">
        <v>914</v>
      </c>
      <c r="C252">
        <v>400</v>
      </c>
      <c r="E252">
        <v>8</v>
      </c>
      <c r="F252" t="s">
        <v>30</v>
      </c>
      <c r="G252" t="s">
        <v>31</v>
      </c>
      <c r="H252" t="s">
        <v>32</v>
      </c>
      <c r="J252" s="1">
        <v>44199</v>
      </c>
      <c r="K252" t="s">
        <v>320</v>
      </c>
      <c r="L252" t="s">
        <v>42</v>
      </c>
      <c r="M252" t="s">
        <v>43</v>
      </c>
      <c r="N252" t="s">
        <v>276</v>
      </c>
    </row>
    <row r="253" spans="1:14" x14ac:dyDescent="0.25">
      <c r="A253" t="s">
        <v>319</v>
      </c>
      <c r="B253">
        <v>1548</v>
      </c>
      <c r="C253">
        <v>666</v>
      </c>
      <c r="E253">
        <v>3</v>
      </c>
      <c r="F253" t="s">
        <v>30</v>
      </c>
      <c r="G253" t="s">
        <v>64</v>
      </c>
      <c r="H253" t="s">
        <v>47</v>
      </c>
      <c r="J253" s="1">
        <v>44199</v>
      </c>
      <c r="K253" t="s">
        <v>320</v>
      </c>
      <c r="L253" t="s">
        <v>42</v>
      </c>
      <c r="M253" t="s">
        <v>43</v>
      </c>
      <c r="N253" t="s">
        <v>276</v>
      </c>
    </row>
    <row r="254" spans="1:14" x14ac:dyDescent="0.25">
      <c r="A254" t="s">
        <v>321</v>
      </c>
      <c r="B254">
        <v>2759</v>
      </c>
      <c r="C254">
        <v>1149</v>
      </c>
      <c r="E254">
        <v>6</v>
      </c>
      <c r="F254" t="s">
        <v>45</v>
      </c>
      <c r="G254" t="s">
        <v>46</v>
      </c>
      <c r="H254" t="s">
        <v>47</v>
      </c>
      <c r="J254" s="1">
        <v>45653</v>
      </c>
      <c r="K254" t="s">
        <v>322</v>
      </c>
      <c r="L254" t="s">
        <v>25</v>
      </c>
      <c r="M254" t="s">
        <v>51</v>
      </c>
      <c r="N254" t="s">
        <v>23</v>
      </c>
    </row>
    <row r="255" spans="1:14" x14ac:dyDescent="0.25">
      <c r="A255" t="s">
        <v>323</v>
      </c>
      <c r="B255">
        <v>1341</v>
      </c>
      <c r="C255">
        <v>615</v>
      </c>
      <c r="E255">
        <v>4</v>
      </c>
      <c r="F255" t="s">
        <v>13</v>
      </c>
      <c r="G255" t="s">
        <v>39</v>
      </c>
      <c r="H255" t="s">
        <v>15</v>
      </c>
      <c r="J255" s="1">
        <v>44785</v>
      </c>
      <c r="K255" t="s">
        <v>324</v>
      </c>
      <c r="L255" t="s">
        <v>17</v>
      </c>
      <c r="M255" t="s">
        <v>34</v>
      </c>
      <c r="N255" t="s">
        <v>209</v>
      </c>
    </row>
    <row r="256" spans="1:14" x14ac:dyDescent="0.25">
      <c r="A256" t="s">
        <v>325</v>
      </c>
      <c r="B256">
        <v>9851</v>
      </c>
      <c r="C256">
        <v>2669</v>
      </c>
      <c r="E256">
        <v>19</v>
      </c>
      <c r="F256" t="s">
        <v>13</v>
      </c>
      <c r="G256" t="s">
        <v>14</v>
      </c>
      <c r="H256" t="s">
        <v>32</v>
      </c>
      <c r="J256" s="1">
        <v>44648</v>
      </c>
      <c r="K256" t="s">
        <v>326</v>
      </c>
      <c r="L256" t="s">
        <v>98</v>
      </c>
      <c r="M256" t="s">
        <v>117</v>
      </c>
      <c r="N256" t="s">
        <v>134</v>
      </c>
    </row>
    <row r="257" spans="1:14" x14ac:dyDescent="0.25">
      <c r="A257" t="s">
        <v>325</v>
      </c>
      <c r="B257">
        <v>9851</v>
      </c>
      <c r="C257">
        <v>2669</v>
      </c>
      <c r="E257">
        <v>19</v>
      </c>
      <c r="F257" t="s">
        <v>13</v>
      </c>
      <c r="G257" t="s">
        <v>14</v>
      </c>
      <c r="H257" t="s">
        <v>32</v>
      </c>
      <c r="J257" s="1">
        <v>45122</v>
      </c>
      <c r="K257" t="s">
        <v>327</v>
      </c>
      <c r="L257" t="s">
        <v>25</v>
      </c>
      <c r="M257" t="s">
        <v>26</v>
      </c>
      <c r="N257" t="s">
        <v>105</v>
      </c>
    </row>
    <row r="258" spans="1:14" x14ac:dyDescent="0.25">
      <c r="A258" t="s">
        <v>325</v>
      </c>
      <c r="B258">
        <v>9851</v>
      </c>
      <c r="C258">
        <v>2669</v>
      </c>
      <c r="E258">
        <v>19</v>
      </c>
      <c r="F258" t="s">
        <v>13</v>
      </c>
      <c r="G258" t="s">
        <v>14</v>
      </c>
      <c r="H258" t="s">
        <v>32</v>
      </c>
      <c r="J258" s="1">
        <v>44826</v>
      </c>
      <c r="K258" t="s">
        <v>328</v>
      </c>
      <c r="L258" t="s">
        <v>17</v>
      </c>
      <c r="M258" t="s">
        <v>34</v>
      </c>
      <c r="N258" t="s">
        <v>131</v>
      </c>
    </row>
    <row r="259" spans="1:14" x14ac:dyDescent="0.25">
      <c r="A259" t="s">
        <v>325</v>
      </c>
      <c r="B259">
        <v>9989</v>
      </c>
      <c r="C259">
        <v>3930</v>
      </c>
      <c r="E259">
        <v>14</v>
      </c>
      <c r="F259" t="s">
        <v>45</v>
      </c>
      <c r="G259" t="s">
        <v>46</v>
      </c>
      <c r="H259" t="s">
        <v>32</v>
      </c>
      <c r="J259" s="1">
        <v>44648</v>
      </c>
      <c r="K259" t="s">
        <v>326</v>
      </c>
      <c r="L259" t="s">
        <v>98</v>
      </c>
      <c r="M259" t="s">
        <v>117</v>
      </c>
      <c r="N259" t="s">
        <v>134</v>
      </c>
    </row>
    <row r="260" spans="1:14" x14ac:dyDescent="0.25">
      <c r="A260" t="s">
        <v>325</v>
      </c>
      <c r="B260">
        <v>9989</v>
      </c>
      <c r="C260">
        <v>3930</v>
      </c>
      <c r="E260">
        <v>14</v>
      </c>
      <c r="F260" t="s">
        <v>45</v>
      </c>
      <c r="G260" t="s">
        <v>46</v>
      </c>
      <c r="H260" t="s">
        <v>32</v>
      </c>
      <c r="J260" s="1">
        <v>45122</v>
      </c>
      <c r="K260" t="s">
        <v>327</v>
      </c>
      <c r="L260" t="s">
        <v>25</v>
      </c>
      <c r="M260" t="s">
        <v>26</v>
      </c>
      <c r="N260" t="s">
        <v>105</v>
      </c>
    </row>
    <row r="261" spans="1:14" x14ac:dyDescent="0.25">
      <c r="A261" t="s">
        <v>325</v>
      </c>
      <c r="B261">
        <v>9989</v>
      </c>
      <c r="C261">
        <v>3930</v>
      </c>
      <c r="E261">
        <v>14</v>
      </c>
      <c r="F261" t="s">
        <v>45</v>
      </c>
      <c r="G261" t="s">
        <v>46</v>
      </c>
      <c r="H261" t="s">
        <v>32</v>
      </c>
      <c r="J261" s="1">
        <v>44826</v>
      </c>
      <c r="K261" t="s">
        <v>328</v>
      </c>
      <c r="L261" t="s">
        <v>17</v>
      </c>
      <c r="M261" t="s">
        <v>34</v>
      </c>
      <c r="N261" t="s">
        <v>131</v>
      </c>
    </row>
    <row r="262" spans="1:14" x14ac:dyDescent="0.25">
      <c r="A262" t="s">
        <v>329</v>
      </c>
      <c r="B262">
        <v>7421</v>
      </c>
      <c r="C262">
        <v>958</v>
      </c>
      <c r="E262">
        <v>10</v>
      </c>
      <c r="F262" t="s">
        <v>45</v>
      </c>
      <c r="G262" t="s">
        <v>46</v>
      </c>
      <c r="H262" t="s">
        <v>65</v>
      </c>
      <c r="J262" s="1">
        <v>44915</v>
      </c>
      <c r="K262" t="s">
        <v>330</v>
      </c>
      <c r="L262" t="s">
        <v>71</v>
      </c>
      <c r="M262" t="s">
        <v>138</v>
      </c>
      <c r="N262" t="s">
        <v>152</v>
      </c>
    </row>
    <row r="263" spans="1:14" x14ac:dyDescent="0.25">
      <c r="A263" t="s">
        <v>329</v>
      </c>
      <c r="B263">
        <v>7421</v>
      </c>
      <c r="C263">
        <v>958</v>
      </c>
      <c r="E263">
        <v>10</v>
      </c>
      <c r="F263" t="s">
        <v>45</v>
      </c>
      <c r="G263" t="s">
        <v>46</v>
      </c>
      <c r="H263" t="s">
        <v>65</v>
      </c>
      <c r="J263" s="1">
        <v>44577</v>
      </c>
      <c r="K263" t="s">
        <v>331</v>
      </c>
      <c r="L263" t="s">
        <v>71</v>
      </c>
      <c r="M263" t="s">
        <v>138</v>
      </c>
      <c r="N263" t="s">
        <v>87</v>
      </c>
    </row>
    <row r="264" spans="1:14" x14ac:dyDescent="0.25">
      <c r="A264" t="s">
        <v>329</v>
      </c>
      <c r="B264">
        <v>7421</v>
      </c>
      <c r="C264">
        <v>958</v>
      </c>
      <c r="E264">
        <v>10</v>
      </c>
      <c r="F264" t="s">
        <v>45</v>
      </c>
      <c r="G264" t="s">
        <v>46</v>
      </c>
      <c r="H264" t="s">
        <v>65</v>
      </c>
      <c r="J264" s="1">
        <v>44955</v>
      </c>
      <c r="K264" t="s">
        <v>332</v>
      </c>
      <c r="L264" t="s">
        <v>71</v>
      </c>
      <c r="M264" t="s">
        <v>72</v>
      </c>
      <c r="N264" t="s">
        <v>333</v>
      </c>
    </row>
    <row r="265" spans="1:14" x14ac:dyDescent="0.25">
      <c r="A265" t="s">
        <v>334</v>
      </c>
      <c r="B265">
        <v>3099</v>
      </c>
      <c r="C265">
        <v>479</v>
      </c>
      <c r="E265">
        <v>1</v>
      </c>
      <c r="F265" t="s">
        <v>30</v>
      </c>
      <c r="G265" t="s">
        <v>64</v>
      </c>
      <c r="H265" t="s">
        <v>65</v>
      </c>
      <c r="J265" s="1">
        <v>44576</v>
      </c>
      <c r="K265" t="s">
        <v>335</v>
      </c>
      <c r="L265" t="s">
        <v>25</v>
      </c>
      <c r="M265" t="s">
        <v>26</v>
      </c>
      <c r="N265" t="s">
        <v>87</v>
      </c>
    </row>
    <row r="266" spans="1:14" x14ac:dyDescent="0.25">
      <c r="A266" t="s">
        <v>334</v>
      </c>
      <c r="B266">
        <v>2521</v>
      </c>
      <c r="C266">
        <v>906</v>
      </c>
      <c r="E266">
        <v>7</v>
      </c>
      <c r="F266" t="s">
        <v>13</v>
      </c>
      <c r="G266" t="s">
        <v>82</v>
      </c>
      <c r="H266" t="s">
        <v>65</v>
      </c>
      <c r="J266" s="1">
        <v>44576</v>
      </c>
      <c r="K266" t="s">
        <v>335</v>
      </c>
      <c r="L266" t="s">
        <v>25</v>
      </c>
      <c r="M266" t="s">
        <v>26</v>
      </c>
      <c r="N266" t="s">
        <v>87</v>
      </c>
    </row>
    <row r="267" spans="1:14" x14ac:dyDescent="0.25">
      <c r="A267" t="s">
        <v>336</v>
      </c>
      <c r="B267">
        <v>6962</v>
      </c>
      <c r="C267">
        <v>3429</v>
      </c>
      <c r="E267">
        <v>12</v>
      </c>
      <c r="F267" t="s">
        <v>13</v>
      </c>
      <c r="G267" t="s">
        <v>14</v>
      </c>
      <c r="H267" t="s">
        <v>15</v>
      </c>
      <c r="J267" s="1">
        <v>45375</v>
      </c>
      <c r="K267" t="s">
        <v>337</v>
      </c>
      <c r="L267" t="s">
        <v>71</v>
      </c>
      <c r="M267" t="s">
        <v>72</v>
      </c>
      <c r="N267" t="s">
        <v>338</v>
      </c>
    </row>
    <row r="268" spans="1:14" x14ac:dyDescent="0.25">
      <c r="A268" t="s">
        <v>336</v>
      </c>
      <c r="B268">
        <v>6962</v>
      </c>
      <c r="C268">
        <v>3429</v>
      </c>
      <c r="E268">
        <v>12</v>
      </c>
      <c r="F268" t="s">
        <v>13</v>
      </c>
      <c r="G268" t="s">
        <v>14</v>
      </c>
      <c r="H268" t="s">
        <v>15</v>
      </c>
      <c r="J268" s="1">
        <v>45707</v>
      </c>
      <c r="K268" t="s">
        <v>339</v>
      </c>
      <c r="L268" t="s">
        <v>17</v>
      </c>
      <c r="M268" t="s">
        <v>18</v>
      </c>
      <c r="N268" t="s">
        <v>73</v>
      </c>
    </row>
    <row r="269" spans="1:14" x14ac:dyDescent="0.25">
      <c r="A269" t="s">
        <v>340</v>
      </c>
      <c r="B269">
        <v>1085</v>
      </c>
      <c r="C269">
        <v>301</v>
      </c>
      <c r="E269">
        <v>20</v>
      </c>
      <c r="F269" t="s">
        <v>45</v>
      </c>
      <c r="G269" t="s">
        <v>109</v>
      </c>
      <c r="H269" t="s">
        <v>15</v>
      </c>
      <c r="J269" s="1">
        <v>45486</v>
      </c>
      <c r="K269" t="s">
        <v>341</v>
      </c>
      <c r="L269" t="s">
        <v>25</v>
      </c>
      <c r="M269" t="s">
        <v>26</v>
      </c>
      <c r="N269" t="s">
        <v>215</v>
      </c>
    </row>
    <row r="270" spans="1:14" x14ac:dyDescent="0.25">
      <c r="A270" t="s">
        <v>342</v>
      </c>
      <c r="B270">
        <v>738</v>
      </c>
      <c r="C270">
        <v>342</v>
      </c>
      <c r="E270">
        <v>2</v>
      </c>
      <c r="F270" t="s">
        <v>45</v>
      </c>
      <c r="G270" t="s">
        <v>49</v>
      </c>
      <c r="H270" t="s">
        <v>32</v>
      </c>
      <c r="J270" s="1">
        <v>45044</v>
      </c>
      <c r="K270" t="s">
        <v>343</v>
      </c>
      <c r="L270" t="s">
        <v>98</v>
      </c>
      <c r="M270" t="s">
        <v>107</v>
      </c>
      <c r="N270" t="s">
        <v>145</v>
      </c>
    </row>
    <row r="271" spans="1:14" x14ac:dyDescent="0.25">
      <c r="A271" t="s">
        <v>342</v>
      </c>
      <c r="B271">
        <v>738</v>
      </c>
      <c r="C271">
        <v>342</v>
      </c>
      <c r="E271">
        <v>2</v>
      </c>
      <c r="F271" t="s">
        <v>45</v>
      </c>
      <c r="G271" t="s">
        <v>49</v>
      </c>
      <c r="H271" t="s">
        <v>32</v>
      </c>
      <c r="J271" s="1">
        <v>44170</v>
      </c>
      <c r="K271" t="s">
        <v>344</v>
      </c>
      <c r="L271" t="s">
        <v>25</v>
      </c>
      <c r="M271" t="s">
        <v>26</v>
      </c>
      <c r="N271" t="s">
        <v>287</v>
      </c>
    </row>
    <row r="272" spans="1:14" x14ac:dyDescent="0.25">
      <c r="A272" t="s">
        <v>342</v>
      </c>
      <c r="B272">
        <v>738</v>
      </c>
      <c r="C272">
        <v>342</v>
      </c>
      <c r="E272">
        <v>2</v>
      </c>
      <c r="F272" t="s">
        <v>45</v>
      </c>
      <c r="G272" t="s">
        <v>49</v>
      </c>
      <c r="H272" t="s">
        <v>32</v>
      </c>
      <c r="J272" s="1">
        <v>45426</v>
      </c>
      <c r="K272" t="s">
        <v>345</v>
      </c>
      <c r="L272" t="s">
        <v>98</v>
      </c>
      <c r="M272" t="s">
        <v>107</v>
      </c>
      <c r="N272" t="s">
        <v>35</v>
      </c>
    </row>
    <row r="273" spans="1:14" x14ac:dyDescent="0.25">
      <c r="A273" t="s">
        <v>342</v>
      </c>
      <c r="B273">
        <v>738</v>
      </c>
      <c r="C273">
        <v>342</v>
      </c>
      <c r="E273">
        <v>2</v>
      </c>
      <c r="F273" t="s">
        <v>45</v>
      </c>
      <c r="G273" t="s">
        <v>49</v>
      </c>
      <c r="H273" t="s">
        <v>32</v>
      </c>
      <c r="J273" s="1">
        <v>44579</v>
      </c>
      <c r="K273" t="s">
        <v>346</v>
      </c>
      <c r="L273" t="s">
        <v>25</v>
      </c>
      <c r="M273" t="s">
        <v>51</v>
      </c>
      <c r="N273" t="s">
        <v>87</v>
      </c>
    </row>
    <row r="274" spans="1:14" x14ac:dyDescent="0.25">
      <c r="A274" t="s">
        <v>347</v>
      </c>
      <c r="B274">
        <v>1366</v>
      </c>
      <c r="C274">
        <v>242</v>
      </c>
      <c r="E274">
        <v>17</v>
      </c>
      <c r="F274" t="s">
        <v>13</v>
      </c>
      <c r="G274" t="s">
        <v>14</v>
      </c>
      <c r="H274" t="s">
        <v>40</v>
      </c>
      <c r="J274" s="1">
        <v>45187</v>
      </c>
      <c r="K274" t="s">
        <v>348</v>
      </c>
      <c r="L274" t="s">
        <v>98</v>
      </c>
      <c r="M274" t="s">
        <v>99</v>
      </c>
      <c r="N274" t="s">
        <v>273</v>
      </c>
    </row>
    <row r="275" spans="1:14" x14ac:dyDescent="0.25">
      <c r="A275" t="s">
        <v>347</v>
      </c>
      <c r="B275">
        <v>1518</v>
      </c>
      <c r="C275">
        <v>155</v>
      </c>
      <c r="E275">
        <v>13</v>
      </c>
      <c r="F275" t="s">
        <v>30</v>
      </c>
      <c r="G275" t="s">
        <v>57</v>
      </c>
      <c r="H275" t="s">
        <v>47</v>
      </c>
      <c r="J275" s="1">
        <v>45187</v>
      </c>
      <c r="K275" t="s">
        <v>348</v>
      </c>
      <c r="L275" t="s">
        <v>98</v>
      </c>
      <c r="M275" t="s">
        <v>99</v>
      </c>
      <c r="N275" t="s">
        <v>273</v>
      </c>
    </row>
    <row r="276" spans="1:14" x14ac:dyDescent="0.25">
      <c r="A276" t="s">
        <v>349</v>
      </c>
      <c r="B276">
        <v>2962</v>
      </c>
      <c r="C276">
        <v>1470</v>
      </c>
      <c r="E276">
        <v>1</v>
      </c>
      <c r="F276" t="s">
        <v>13</v>
      </c>
      <c r="G276" t="s">
        <v>82</v>
      </c>
      <c r="H276" t="s">
        <v>65</v>
      </c>
      <c r="J276" s="1">
        <v>44328</v>
      </c>
      <c r="K276" t="s">
        <v>350</v>
      </c>
      <c r="L276" t="s">
        <v>25</v>
      </c>
      <c r="M276" t="s">
        <v>26</v>
      </c>
      <c r="N276" t="s">
        <v>108</v>
      </c>
    </row>
    <row r="277" spans="1:14" x14ac:dyDescent="0.25">
      <c r="A277" t="s">
        <v>349</v>
      </c>
      <c r="B277">
        <v>2962</v>
      </c>
      <c r="C277">
        <v>1470</v>
      </c>
      <c r="E277">
        <v>1</v>
      </c>
      <c r="F277" t="s">
        <v>13</v>
      </c>
      <c r="G277" t="s">
        <v>82</v>
      </c>
      <c r="H277" t="s">
        <v>65</v>
      </c>
      <c r="J277" s="1">
        <v>45186</v>
      </c>
      <c r="K277" t="s">
        <v>351</v>
      </c>
      <c r="L277" t="s">
        <v>17</v>
      </c>
      <c r="M277" t="s">
        <v>150</v>
      </c>
      <c r="N277" t="s">
        <v>273</v>
      </c>
    </row>
    <row r="278" spans="1:14" x14ac:dyDescent="0.25">
      <c r="A278" t="s">
        <v>349</v>
      </c>
      <c r="B278">
        <v>7131</v>
      </c>
      <c r="C278">
        <v>718</v>
      </c>
      <c r="E278">
        <v>12</v>
      </c>
      <c r="F278" t="s">
        <v>13</v>
      </c>
      <c r="G278" t="s">
        <v>28</v>
      </c>
      <c r="H278" t="s">
        <v>15</v>
      </c>
      <c r="J278" s="1">
        <v>44328</v>
      </c>
      <c r="K278" t="s">
        <v>350</v>
      </c>
      <c r="L278" t="s">
        <v>25</v>
      </c>
      <c r="M278" t="s">
        <v>26</v>
      </c>
      <c r="N278" t="s">
        <v>108</v>
      </c>
    </row>
    <row r="279" spans="1:14" x14ac:dyDescent="0.25">
      <c r="A279" t="s">
        <v>349</v>
      </c>
      <c r="B279">
        <v>7131</v>
      </c>
      <c r="C279">
        <v>718</v>
      </c>
      <c r="E279">
        <v>12</v>
      </c>
      <c r="F279" t="s">
        <v>13</v>
      </c>
      <c r="G279" t="s">
        <v>28</v>
      </c>
      <c r="H279" t="s">
        <v>15</v>
      </c>
      <c r="J279" s="1">
        <v>45186</v>
      </c>
      <c r="K279" t="s">
        <v>351</v>
      </c>
      <c r="L279" t="s">
        <v>17</v>
      </c>
      <c r="M279" t="s">
        <v>150</v>
      </c>
      <c r="N279" t="s">
        <v>273</v>
      </c>
    </row>
    <row r="280" spans="1:14" x14ac:dyDescent="0.25">
      <c r="A280" t="s">
        <v>349</v>
      </c>
      <c r="B280">
        <v>4200</v>
      </c>
      <c r="C280">
        <v>855</v>
      </c>
      <c r="E280">
        <v>10</v>
      </c>
      <c r="F280" t="s">
        <v>30</v>
      </c>
      <c r="G280" t="s">
        <v>57</v>
      </c>
      <c r="H280" t="s">
        <v>40</v>
      </c>
      <c r="J280" s="1">
        <v>44328</v>
      </c>
      <c r="K280" t="s">
        <v>350</v>
      </c>
      <c r="L280" t="s">
        <v>25</v>
      </c>
      <c r="M280" t="s">
        <v>26</v>
      </c>
      <c r="N280" t="s">
        <v>108</v>
      </c>
    </row>
    <row r="281" spans="1:14" x14ac:dyDescent="0.25">
      <c r="A281" t="s">
        <v>349</v>
      </c>
      <c r="B281">
        <v>4200</v>
      </c>
      <c r="C281">
        <v>855</v>
      </c>
      <c r="E281">
        <v>10</v>
      </c>
      <c r="F281" t="s">
        <v>30</v>
      </c>
      <c r="G281" t="s">
        <v>57</v>
      </c>
      <c r="H281" t="s">
        <v>40</v>
      </c>
      <c r="J281" s="1">
        <v>45186</v>
      </c>
      <c r="K281" t="s">
        <v>351</v>
      </c>
      <c r="L281" t="s">
        <v>17</v>
      </c>
      <c r="M281" t="s">
        <v>150</v>
      </c>
      <c r="N281" t="s">
        <v>273</v>
      </c>
    </row>
    <row r="282" spans="1:14" x14ac:dyDescent="0.25">
      <c r="A282" t="s">
        <v>352</v>
      </c>
      <c r="B282">
        <v>5934</v>
      </c>
      <c r="C282">
        <v>1563</v>
      </c>
      <c r="E282">
        <v>2</v>
      </c>
      <c r="F282" t="s">
        <v>30</v>
      </c>
      <c r="G282" t="s">
        <v>57</v>
      </c>
      <c r="H282" t="s">
        <v>40</v>
      </c>
      <c r="J282" s="1">
        <v>45541</v>
      </c>
      <c r="K282" t="s">
        <v>353</v>
      </c>
      <c r="L282" t="s">
        <v>21</v>
      </c>
      <c r="M282" t="s">
        <v>172</v>
      </c>
      <c r="N282" t="s">
        <v>159</v>
      </c>
    </row>
    <row r="283" spans="1:14" x14ac:dyDescent="0.25">
      <c r="A283" t="s">
        <v>354</v>
      </c>
      <c r="B283">
        <v>2701</v>
      </c>
      <c r="C283">
        <v>322</v>
      </c>
      <c r="E283">
        <v>11</v>
      </c>
      <c r="F283" t="s">
        <v>13</v>
      </c>
      <c r="G283" t="s">
        <v>28</v>
      </c>
      <c r="H283" t="s">
        <v>15</v>
      </c>
      <c r="J283" s="1">
        <v>44730</v>
      </c>
      <c r="K283" t="s">
        <v>355</v>
      </c>
      <c r="L283" t="s">
        <v>25</v>
      </c>
      <c r="M283" t="s">
        <v>51</v>
      </c>
      <c r="N283" t="s">
        <v>165</v>
      </c>
    </row>
    <row r="284" spans="1:14" x14ac:dyDescent="0.25">
      <c r="A284" t="s">
        <v>354</v>
      </c>
      <c r="B284">
        <v>7273</v>
      </c>
      <c r="C284">
        <v>2702</v>
      </c>
      <c r="E284">
        <v>18</v>
      </c>
      <c r="F284" t="s">
        <v>30</v>
      </c>
      <c r="G284" t="s">
        <v>64</v>
      </c>
      <c r="H284" t="s">
        <v>65</v>
      </c>
      <c r="J284" s="1">
        <v>44730</v>
      </c>
      <c r="K284" t="s">
        <v>355</v>
      </c>
      <c r="L284" t="s">
        <v>25</v>
      </c>
      <c r="M284" t="s">
        <v>51</v>
      </c>
      <c r="N284" t="s">
        <v>165</v>
      </c>
    </row>
    <row r="285" spans="1:14" x14ac:dyDescent="0.25">
      <c r="A285" t="s">
        <v>356</v>
      </c>
      <c r="B285">
        <v>2465</v>
      </c>
      <c r="C285">
        <v>699</v>
      </c>
      <c r="E285">
        <v>18</v>
      </c>
      <c r="F285" t="s">
        <v>30</v>
      </c>
      <c r="G285" t="s">
        <v>57</v>
      </c>
      <c r="H285" t="s">
        <v>32</v>
      </c>
      <c r="J285" s="1">
        <v>43973</v>
      </c>
      <c r="K285" t="s">
        <v>357</v>
      </c>
      <c r="L285" t="s">
        <v>42</v>
      </c>
      <c r="M285" t="s">
        <v>92</v>
      </c>
      <c r="N285" t="s">
        <v>59</v>
      </c>
    </row>
    <row r="286" spans="1:14" x14ac:dyDescent="0.25">
      <c r="A286" t="s">
        <v>358</v>
      </c>
      <c r="B286">
        <v>3479</v>
      </c>
      <c r="C286">
        <v>1087</v>
      </c>
      <c r="E286">
        <v>2</v>
      </c>
      <c r="F286" t="s">
        <v>30</v>
      </c>
      <c r="G286" t="s">
        <v>57</v>
      </c>
      <c r="H286" t="s">
        <v>40</v>
      </c>
      <c r="J286" s="1">
        <v>45582</v>
      </c>
      <c r="K286" t="s">
        <v>359</v>
      </c>
      <c r="L286" t="s">
        <v>71</v>
      </c>
      <c r="M286" t="s">
        <v>72</v>
      </c>
      <c r="N286" t="s">
        <v>360</v>
      </c>
    </row>
    <row r="287" spans="1:14" x14ac:dyDescent="0.25">
      <c r="A287" t="s">
        <v>358</v>
      </c>
      <c r="B287">
        <v>5457</v>
      </c>
      <c r="C287">
        <v>1765</v>
      </c>
      <c r="E287">
        <v>7</v>
      </c>
      <c r="F287" t="s">
        <v>13</v>
      </c>
      <c r="G287" t="s">
        <v>28</v>
      </c>
      <c r="H287" t="s">
        <v>40</v>
      </c>
      <c r="J287" s="1">
        <v>45582</v>
      </c>
      <c r="K287" t="s">
        <v>359</v>
      </c>
      <c r="L287" t="s">
        <v>71</v>
      </c>
      <c r="M287" t="s">
        <v>72</v>
      </c>
      <c r="N287" t="s">
        <v>360</v>
      </c>
    </row>
    <row r="288" spans="1:14" x14ac:dyDescent="0.25">
      <c r="A288" t="s">
        <v>361</v>
      </c>
      <c r="B288">
        <v>4957</v>
      </c>
      <c r="C288">
        <v>1152</v>
      </c>
      <c r="E288">
        <v>8</v>
      </c>
      <c r="F288" t="s">
        <v>30</v>
      </c>
      <c r="G288" t="s">
        <v>57</v>
      </c>
      <c r="H288" t="s">
        <v>47</v>
      </c>
      <c r="J288" s="1">
        <v>44642</v>
      </c>
      <c r="K288" t="s">
        <v>362</v>
      </c>
      <c r="L288" t="s">
        <v>98</v>
      </c>
      <c r="M288" t="s">
        <v>117</v>
      </c>
      <c r="N288" t="s">
        <v>134</v>
      </c>
    </row>
    <row r="289" spans="1:14" x14ac:dyDescent="0.25">
      <c r="A289" t="s">
        <v>363</v>
      </c>
      <c r="B289">
        <v>4404</v>
      </c>
      <c r="C289">
        <v>858</v>
      </c>
      <c r="E289">
        <v>17</v>
      </c>
      <c r="F289" t="s">
        <v>30</v>
      </c>
      <c r="G289" t="s">
        <v>31</v>
      </c>
      <c r="H289" t="s">
        <v>32</v>
      </c>
      <c r="J289" s="1">
        <v>45368</v>
      </c>
      <c r="K289" t="s">
        <v>364</v>
      </c>
      <c r="L289" t="s">
        <v>98</v>
      </c>
      <c r="M289" t="s">
        <v>99</v>
      </c>
      <c r="N289" t="s">
        <v>338</v>
      </c>
    </row>
    <row r="290" spans="1:14" x14ac:dyDescent="0.25">
      <c r="A290" t="s">
        <v>363</v>
      </c>
      <c r="B290">
        <v>8776</v>
      </c>
      <c r="C290">
        <v>2529</v>
      </c>
      <c r="E290">
        <v>15</v>
      </c>
      <c r="F290" t="s">
        <v>45</v>
      </c>
      <c r="G290" t="s">
        <v>60</v>
      </c>
      <c r="H290" t="s">
        <v>47</v>
      </c>
      <c r="J290" s="1">
        <v>45368</v>
      </c>
      <c r="K290" t="s">
        <v>364</v>
      </c>
      <c r="L290" t="s">
        <v>98</v>
      </c>
      <c r="M290" t="s">
        <v>99</v>
      </c>
      <c r="N290" t="s">
        <v>338</v>
      </c>
    </row>
    <row r="291" spans="1:14" x14ac:dyDescent="0.25">
      <c r="A291" t="s">
        <v>365</v>
      </c>
      <c r="B291">
        <v>9536</v>
      </c>
      <c r="C291">
        <v>1437</v>
      </c>
      <c r="E291">
        <v>9</v>
      </c>
      <c r="F291" t="s">
        <v>13</v>
      </c>
      <c r="G291" t="s">
        <v>82</v>
      </c>
      <c r="H291" t="s">
        <v>15</v>
      </c>
      <c r="J291" s="1">
        <v>43923</v>
      </c>
      <c r="K291" t="s">
        <v>366</v>
      </c>
      <c r="L291" t="s">
        <v>17</v>
      </c>
      <c r="M291" t="s">
        <v>34</v>
      </c>
      <c r="N291" t="s">
        <v>162</v>
      </c>
    </row>
    <row r="292" spans="1:14" x14ac:dyDescent="0.25">
      <c r="A292" t="s">
        <v>365</v>
      </c>
      <c r="B292">
        <v>2225</v>
      </c>
      <c r="C292">
        <v>589</v>
      </c>
      <c r="E292">
        <v>7</v>
      </c>
      <c r="F292" t="s">
        <v>45</v>
      </c>
      <c r="G292" t="s">
        <v>60</v>
      </c>
      <c r="H292" t="s">
        <v>47</v>
      </c>
      <c r="J292" s="1">
        <v>43923</v>
      </c>
      <c r="K292" t="s">
        <v>366</v>
      </c>
      <c r="L292" t="s">
        <v>17</v>
      </c>
      <c r="M292" t="s">
        <v>34</v>
      </c>
      <c r="N292" t="s">
        <v>162</v>
      </c>
    </row>
    <row r="293" spans="1:14" x14ac:dyDescent="0.25">
      <c r="A293" t="s">
        <v>367</v>
      </c>
      <c r="B293">
        <v>9574</v>
      </c>
      <c r="C293">
        <v>4045</v>
      </c>
      <c r="E293">
        <v>19</v>
      </c>
      <c r="F293" t="s">
        <v>45</v>
      </c>
      <c r="G293" t="s">
        <v>109</v>
      </c>
      <c r="H293" t="s">
        <v>15</v>
      </c>
      <c r="J293" s="1">
        <v>45364</v>
      </c>
      <c r="K293" t="s">
        <v>368</v>
      </c>
      <c r="L293" t="s">
        <v>42</v>
      </c>
      <c r="M293" t="s">
        <v>92</v>
      </c>
      <c r="N293" t="s">
        <v>338</v>
      </c>
    </row>
    <row r="294" spans="1:14" x14ac:dyDescent="0.25">
      <c r="A294" t="s">
        <v>367</v>
      </c>
      <c r="B294">
        <v>4382</v>
      </c>
      <c r="C294">
        <v>482</v>
      </c>
      <c r="E294">
        <v>17</v>
      </c>
      <c r="F294" t="s">
        <v>13</v>
      </c>
      <c r="G294" t="s">
        <v>14</v>
      </c>
      <c r="H294" t="s">
        <v>65</v>
      </c>
      <c r="J294" s="1">
        <v>45364</v>
      </c>
      <c r="K294" t="s">
        <v>368</v>
      </c>
      <c r="L294" t="s">
        <v>42</v>
      </c>
      <c r="M294" t="s">
        <v>92</v>
      </c>
      <c r="N294" t="s">
        <v>338</v>
      </c>
    </row>
    <row r="295" spans="1:14" x14ac:dyDescent="0.25">
      <c r="A295" t="s">
        <v>369</v>
      </c>
      <c r="B295">
        <v>8200</v>
      </c>
      <c r="C295">
        <v>257</v>
      </c>
      <c r="E295">
        <v>19</v>
      </c>
      <c r="F295" t="s">
        <v>13</v>
      </c>
      <c r="G295" t="s">
        <v>39</v>
      </c>
      <c r="H295" t="s">
        <v>65</v>
      </c>
      <c r="J295" s="1">
        <v>45006</v>
      </c>
      <c r="K295" t="s">
        <v>370</v>
      </c>
      <c r="L295" t="s">
        <v>98</v>
      </c>
      <c r="M295" t="s">
        <v>107</v>
      </c>
      <c r="N295" t="s">
        <v>245</v>
      </c>
    </row>
    <row r="296" spans="1:14" x14ac:dyDescent="0.25">
      <c r="A296" t="s">
        <v>369</v>
      </c>
      <c r="B296">
        <v>9316</v>
      </c>
      <c r="C296">
        <v>3003</v>
      </c>
      <c r="E296">
        <v>13</v>
      </c>
      <c r="F296" t="s">
        <v>45</v>
      </c>
      <c r="G296" t="s">
        <v>60</v>
      </c>
      <c r="H296" t="s">
        <v>47</v>
      </c>
      <c r="J296" s="1">
        <v>45006</v>
      </c>
      <c r="K296" t="s">
        <v>370</v>
      </c>
      <c r="L296" t="s">
        <v>98</v>
      </c>
      <c r="M296" t="s">
        <v>107</v>
      </c>
      <c r="N296" t="s">
        <v>245</v>
      </c>
    </row>
    <row r="297" spans="1:14" x14ac:dyDescent="0.25">
      <c r="A297" t="s">
        <v>369</v>
      </c>
      <c r="B297">
        <v>6379</v>
      </c>
      <c r="C297">
        <v>3128</v>
      </c>
      <c r="E297">
        <v>15</v>
      </c>
      <c r="F297" t="s">
        <v>13</v>
      </c>
      <c r="G297" t="s">
        <v>14</v>
      </c>
      <c r="H297" t="s">
        <v>65</v>
      </c>
      <c r="J297" s="1">
        <v>45006</v>
      </c>
      <c r="K297" t="s">
        <v>370</v>
      </c>
      <c r="L297" t="s">
        <v>98</v>
      </c>
      <c r="M297" t="s">
        <v>107</v>
      </c>
      <c r="N297" t="s">
        <v>245</v>
      </c>
    </row>
    <row r="298" spans="1:14" x14ac:dyDescent="0.25">
      <c r="A298" t="s">
        <v>371</v>
      </c>
      <c r="B298">
        <v>3348</v>
      </c>
      <c r="C298">
        <v>568</v>
      </c>
      <c r="E298">
        <v>5</v>
      </c>
      <c r="F298" t="s">
        <v>30</v>
      </c>
      <c r="G298" t="s">
        <v>57</v>
      </c>
      <c r="H298" t="s">
        <v>47</v>
      </c>
      <c r="J298" s="1">
        <v>45353</v>
      </c>
      <c r="K298" t="s">
        <v>372</v>
      </c>
      <c r="L298" t="s">
        <v>98</v>
      </c>
      <c r="M298" t="s">
        <v>117</v>
      </c>
      <c r="N298" t="s">
        <v>338</v>
      </c>
    </row>
    <row r="299" spans="1:14" x14ac:dyDescent="0.25">
      <c r="A299" t="s">
        <v>371</v>
      </c>
      <c r="B299">
        <v>3348</v>
      </c>
      <c r="C299">
        <v>568</v>
      </c>
      <c r="E299">
        <v>5</v>
      </c>
      <c r="F299" t="s">
        <v>30</v>
      </c>
      <c r="G299" t="s">
        <v>57</v>
      </c>
      <c r="H299" t="s">
        <v>47</v>
      </c>
      <c r="J299" s="1">
        <v>44316</v>
      </c>
      <c r="K299" t="s">
        <v>373</v>
      </c>
      <c r="L299" t="s">
        <v>25</v>
      </c>
      <c r="M299" t="s">
        <v>68</v>
      </c>
      <c r="N299" t="s">
        <v>139</v>
      </c>
    </row>
    <row r="300" spans="1:14" x14ac:dyDescent="0.25">
      <c r="A300" t="s">
        <v>371</v>
      </c>
      <c r="B300">
        <v>8856</v>
      </c>
      <c r="C300">
        <v>2020</v>
      </c>
      <c r="E300">
        <v>9</v>
      </c>
      <c r="F300" t="s">
        <v>30</v>
      </c>
      <c r="G300" t="s">
        <v>31</v>
      </c>
      <c r="H300" t="s">
        <v>32</v>
      </c>
      <c r="J300" s="1">
        <v>45353</v>
      </c>
      <c r="K300" t="s">
        <v>372</v>
      </c>
      <c r="L300" t="s">
        <v>98</v>
      </c>
      <c r="M300" t="s">
        <v>117</v>
      </c>
      <c r="N300" t="s">
        <v>338</v>
      </c>
    </row>
    <row r="301" spans="1:14" x14ac:dyDescent="0.25">
      <c r="A301" t="s">
        <v>371</v>
      </c>
      <c r="B301">
        <v>8856</v>
      </c>
      <c r="C301">
        <v>2020</v>
      </c>
      <c r="E301">
        <v>9</v>
      </c>
      <c r="F301" t="s">
        <v>30</v>
      </c>
      <c r="G301" t="s">
        <v>31</v>
      </c>
      <c r="H301" t="s">
        <v>32</v>
      </c>
      <c r="J301" s="1">
        <v>44316</v>
      </c>
      <c r="K301" t="s">
        <v>373</v>
      </c>
      <c r="L301" t="s">
        <v>25</v>
      </c>
      <c r="M301" t="s">
        <v>68</v>
      </c>
      <c r="N301" t="s">
        <v>139</v>
      </c>
    </row>
    <row r="302" spans="1:14" x14ac:dyDescent="0.25">
      <c r="A302" t="s">
        <v>374</v>
      </c>
      <c r="B302">
        <v>1760</v>
      </c>
      <c r="C302">
        <v>619</v>
      </c>
      <c r="E302">
        <v>16</v>
      </c>
      <c r="F302" t="s">
        <v>45</v>
      </c>
      <c r="G302" t="s">
        <v>60</v>
      </c>
      <c r="H302" t="s">
        <v>32</v>
      </c>
      <c r="J302" s="1">
        <v>44454</v>
      </c>
      <c r="K302" t="s">
        <v>375</v>
      </c>
      <c r="L302" t="s">
        <v>98</v>
      </c>
      <c r="M302" t="s">
        <v>99</v>
      </c>
      <c r="N302" t="s">
        <v>224</v>
      </c>
    </row>
    <row r="303" spans="1:14" x14ac:dyDescent="0.25">
      <c r="A303" t="s">
        <v>374</v>
      </c>
      <c r="B303">
        <v>1760</v>
      </c>
      <c r="C303">
        <v>619</v>
      </c>
      <c r="E303">
        <v>16</v>
      </c>
      <c r="F303" t="s">
        <v>45</v>
      </c>
      <c r="G303" t="s">
        <v>60</v>
      </c>
      <c r="H303" t="s">
        <v>32</v>
      </c>
      <c r="J303" s="1">
        <v>44954</v>
      </c>
      <c r="K303" t="s">
        <v>376</v>
      </c>
      <c r="L303" t="s">
        <v>71</v>
      </c>
      <c r="M303" t="s">
        <v>138</v>
      </c>
      <c r="N303" t="s">
        <v>333</v>
      </c>
    </row>
    <row r="304" spans="1:14" x14ac:dyDescent="0.25">
      <c r="A304" t="s">
        <v>374</v>
      </c>
      <c r="B304">
        <v>6351</v>
      </c>
      <c r="C304">
        <v>986</v>
      </c>
      <c r="E304">
        <v>15</v>
      </c>
      <c r="F304" t="s">
        <v>13</v>
      </c>
      <c r="G304" t="s">
        <v>28</v>
      </c>
      <c r="H304" t="s">
        <v>15</v>
      </c>
      <c r="J304" s="1">
        <v>44454</v>
      </c>
      <c r="K304" t="s">
        <v>375</v>
      </c>
      <c r="L304" t="s">
        <v>98</v>
      </c>
      <c r="M304" t="s">
        <v>99</v>
      </c>
      <c r="N304" t="s">
        <v>224</v>
      </c>
    </row>
    <row r="305" spans="1:14" x14ac:dyDescent="0.25">
      <c r="A305" t="s">
        <v>374</v>
      </c>
      <c r="B305">
        <v>6351</v>
      </c>
      <c r="C305">
        <v>986</v>
      </c>
      <c r="E305">
        <v>15</v>
      </c>
      <c r="F305" t="s">
        <v>13</v>
      </c>
      <c r="G305" t="s">
        <v>28</v>
      </c>
      <c r="H305" t="s">
        <v>15</v>
      </c>
      <c r="J305" s="1">
        <v>44954</v>
      </c>
      <c r="K305" t="s">
        <v>376</v>
      </c>
      <c r="L305" t="s">
        <v>71</v>
      </c>
      <c r="M305" t="s">
        <v>138</v>
      </c>
      <c r="N305" t="s">
        <v>333</v>
      </c>
    </row>
    <row r="306" spans="1:14" x14ac:dyDescent="0.25">
      <c r="A306" t="s">
        <v>377</v>
      </c>
      <c r="B306">
        <v>869</v>
      </c>
      <c r="C306">
        <v>373</v>
      </c>
      <c r="E306">
        <v>14</v>
      </c>
      <c r="F306" t="s">
        <v>30</v>
      </c>
      <c r="G306" t="s">
        <v>64</v>
      </c>
      <c r="H306" t="s">
        <v>47</v>
      </c>
      <c r="J306" s="1">
        <v>44385</v>
      </c>
      <c r="K306" t="s">
        <v>378</v>
      </c>
      <c r="L306" t="s">
        <v>25</v>
      </c>
      <c r="M306" t="s">
        <v>51</v>
      </c>
      <c r="N306" t="s">
        <v>27</v>
      </c>
    </row>
    <row r="307" spans="1:14" x14ac:dyDescent="0.25">
      <c r="A307" t="s">
        <v>377</v>
      </c>
      <c r="B307">
        <v>869</v>
      </c>
      <c r="C307">
        <v>373</v>
      </c>
      <c r="E307">
        <v>14</v>
      </c>
      <c r="F307" t="s">
        <v>30</v>
      </c>
      <c r="G307" t="s">
        <v>64</v>
      </c>
      <c r="H307" t="s">
        <v>47</v>
      </c>
      <c r="J307" s="1">
        <v>43929</v>
      </c>
      <c r="K307" t="s">
        <v>379</v>
      </c>
      <c r="L307" t="s">
        <v>98</v>
      </c>
      <c r="M307" t="s">
        <v>117</v>
      </c>
      <c r="N307" t="s">
        <v>162</v>
      </c>
    </row>
    <row r="308" spans="1:14" x14ac:dyDescent="0.25">
      <c r="A308" t="s">
        <v>377</v>
      </c>
      <c r="B308">
        <v>1486</v>
      </c>
      <c r="C308">
        <v>114</v>
      </c>
      <c r="E308">
        <v>7</v>
      </c>
      <c r="F308" t="s">
        <v>45</v>
      </c>
      <c r="G308" t="s">
        <v>109</v>
      </c>
      <c r="H308" t="s">
        <v>15</v>
      </c>
      <c r="J308" s="1">
        <v>44385</v>
      </c>
      <c r="K308" t="s">
        <v>378</v>
      </c>
      <c r="L308" t="s">
        <v>25</v>
      </c>
      <c r="M308" t="s">
        <v>51</v>
      </c>
      <c r="N308" t="s">
        <v>27</v>
      </c>
    </row>
    <row r="309" spans="1:14" x14ac:dyDescent="0.25">
      <c r="A309" t="s">
        <v>377</v>
      </c>
      <c r="B309">
        <v>1486</v>
      </c>
      <c r="C309">
        <v>114</v>
      </c>
      <c r="E309">
        <v>7</v>
      </c>
      <c r="F309" t="s">
        <v>45</v>
      </c>
      <c r="G309" t="s">
        <v>109</v>
      </c>
      <c r="H309" t="s">
        <v>15</v>
      </c>
      <c r="J309" s="1">
        <v>43929</v>
      </c>
      <c r="K309" t="s">
        <v>379</v>
      </c>
      <c r="L309" t="s">
        <v>98</v>
      </c>
      <c r="M309" t="s">
        <v>117</v>
      </c>
      <c r="N309" t="s">
        <v>162</v>
      </c>
    </row>
    <row r="310" spans="1:14" x14ac:dyDescent="0.25">
      <c r="A310" t="s">
        <v>380</v>
      </c>
      <c r="B310">
        <v>2999</v>
      </c>
      <c r="C310">
        <v>145</v>
      </c>
      <c r="E310">
        <v>13</v>
      </c>
      <c r="F310" t="s">
        <v>30</v>
      </c>
      <c r="G310" t="s">
        <v>78</v>
      </c>
      <c r="H310" t="s">
        <v>65</v>
      </c>
      <c r="J310" s="1">
        <v>44796</v>
      </c>
      <c r="K310" t="s">
        <v>381</v>
      </c>
      <c r="L310" t="s">
        <v>21</v>
      </c>
      <c r="M310" t="s">
        <v>22</v>
      </c>
      <c r="N310" t="s">
        <v>209</v>
      </c>
    </row>
    <row r="311" spans="1:14" x14ac:dyDescent="0.25">
      <c r="A311" t="s">
        <v>380</v>
      </c>
      <c r="B311">
        <v>5142</v>
      </c>
      <c r="C311">
        <v>1916</v>
      </c>
      <c r="E311">
        <v>20</v>
      </c>
      <c r="F311" t="s">
        <v>30</v>
      </c>
      <c r="G311" t="s">
        <v>64</v>
      </c>
      <c r="H311" t="s">
        <v>40</v>
      </c>
      <c r="J311" s="1">
        <v>44796</v>
      </c>
      <c r="K311" t="s">
        <v>381</v>
      </c>
      <c r="L311" t="s">
        <v>21</v>
      </c>
      <c r="M311" t="s">
        <v>22</v>
      </c>
      <c r="N311" t="s">
        <v>209</v>
      </c>
    </row>
    <row r="312" spans="1:14" x14ac:dyDescent="0.25">
      <c r="A312" t="s">
        <v>382</v>
      </c>
      <c r="B312">
        <v>1239</v>
      </c>
      <c r="C312">
        <v>575</v>
      </c>
      <c r="E312">
        <v>17</v>
      </c>
      <c r="F312" t="s">
        <v>13</v>
      </c>
      <c r="G312" t="s">
        <v>39</v>
      </c>
      <c r="H312" t="s">
        <v>15</v>
      </c>
      <c r="J312" s="1">
        <v>44912</v>
      </c>
      <c r="K312" t="s">
        <v>383</v>
      </c>
      <c r="L312" t="s">
        <v>25</v>
      </c>
      <c r="M312" t="s">
        <v>68</v>
      </c>
      <c r="N312" t="s">
        <v>152</v>
      </c>
    </row>
    <row r="313" spans="1:14" x14ac:dyDescent="0.25">
      <c r="A313" t="s">
        <v>382</v>
      </c>
      <c r="B313">
        <v>1239</v>
      </c>
      <c r="C313">
        <v>575</v>
      </c>
      <c r="E313">
        <v>17</v>
      </c>
      <c r="F313" t="s">
        <v>13</v>
      </c>
      <c r="G313" t="s">
        <v>39</v>
      </c>
      <c r="H313" t="s">
        <v>15</v>
      </c>
      <c r="J313" s="1">
        <v>44720</v>
      </c>
      <c r="K313" t="s">
        <v>384</v>
      </c>
      <c r="L313" t="s">
        <v>21</v>
      </c>
      <c r="M313" t="s">
        <v>63</v>
      </c>
      <c r="N313" t="s">
        <v>165</v>
      </c>
    </row>
    <row r="314" spans="1:14" x14ac:dyDescent="0.25">
      <c r="A314" t="s">
        <v>382</v>
      </c>
      <c r="B314">
        <v>1262</v>
      </c>
      <c r="C314">
        <v>515</v>
      </c>
      <c r="E314">
        <v>16</v>
      </c>
      <c r="F314" t="s">
        <v>13</v>
      </c>
      <c r="G314" t="s">
        <v>14</v>
      </c>
      <c r="H314" t="s">
        <v>40</v>
      </c>
      <c r="J314" s="1">
        <v>44912</v>
      </c>
      <c r="K314" t="s">
        <v>383</v>
      </c>
      <c r="L314" t="s">
        <v>25</v>
      </c>
      <c r="M314" t="s">
        <v>68</v>
      </c>
      <c r="N314" t="s">
        <v>152</v>
      </c>
    </row>
    <row r="315" spans="1:14" x14ac:dyDescent="0.25">
      <c r="A315" t="s">
        <v>382</v>
      </c>
      <c r="B315">
        <v>1262</v>
      </c>
      <c r="C315">
        <v>515</v>
      </c>
      <c r="E315">
        <v>16</v>
      </c>
      <c r="F315" t="s">
        <v>13</v>
      </c>
      <c r="G315" t="s">
        <v>14</v>
      </c>
      <c r="H315" t="s">
        <v>40</v>
      </c>
      <c r="J315" s="1">
        <v>44720</v>
      </c>
      <c r="K315" t="s">
        <v>384</v>
      </c>
      <c r="L315" t="s">
        <v>21</v>
      </c>
      <c r="M315" t="s">
        <v>63</v>
      </c>
      <c r="N315" t="s">
        <v>165</v>
      </c>
    </row>
    <row r="316" spans="1:14" x14ac:dyDescent="0.25">
      <c r="A316" t="s">
        <v>385</v>
      </c>
      <c r="B316">
        <v>1033</v>
      </c>
      <c r="C316">
        <v>254</v>
      </c>
      <c r="E316">
        <v>5</v>
      </c>
      <c r="F316" t="s">
        <v>45</v>
      </c>
      <c r="G316" t="s">
        <v>109</v>
      </c>
      <c r="H316" t="s">
        <v>65</v>
      </c>
      <c r="J316" s="1">
        <v>44071</v>
      </c>
      <c r="K316" t="s">
        <v>386</v>
      </c>
      <c r="L316" t="s">
        <v>25</v>
      </c>
      <c r="M316" t="s">
        <v>68</v>
      </c>
      <c r="N316" t="s">
        <v>185</v>
      </c>
    </row>
    <row r="317" spans="1:14" x14ac:dyDescent="0.25">
      <c r="A317" t="s">
        <v>387</v>
      </c>
      <c r="B317">
        <v>1518</v>
      </c>
      <c r="C317">
        <v>159</v>
      </c>
      <c r="E317">
        <v>19</v>
      </c>
      <c r="F317" t="s">
        <v>13</v>
      </c>
      <c r="G317" t="s">
        <v>28</v>
      </c>
      <c r="H317" t="s">
        <v>15</v>
      </c>
      <c r="J317" s="1">
        <v>44100</v>
      </c>
      <c r="K317" t="s">
        <v>388</v>
      </c>
      <c r="L317" t="s">
        <v>42</v>
      </c>
      <c r="M317" t="s">
        <v>75</v>
      </c>
      <c r="N317" t="s">
        <v>389</v>
      </c>
    </row>
    <row r="318" spans="1:14" x14ac:dyDescent="0.25">
      <c r="A318" t="s">
        <v>390</v>
      </c>
      <c r="B318">
        <v>8581</v>
      </c>
      <c r="C318">
        <v>2444</v>
      </c>
      <c r="E318">
        <v>2</v>
      </c>
      <c r="F318" t="s">
        <v>30</v>
      </c>
      <c r="G318" t="s">
        <v>64</v>
      </c>
      <c r="H318" t="s">
        <v>32</v>
      </c>
      <c r="J318" s="1">
        <v>44178</v>
      </c>
      <c r="K318" t="s">
        <v>391</v>
      </c>
      <c r="L318" t="s">
        <v>21</v>
      </c>
      <c r="M318" t="s">
        <v>172</v>
      </c>
      <c r="N318" t="s">
        <v>287</v>
      </c>
    </row>
    <row r="319" spans="1:14" x14ac:dyDescent="0.25">
      <c r="A319" t="s">
        <v>390</v>
      </c>
      <c r="B319">
        <v>8581</v>
      </c>
      <c r="C319">
        <v>2444</v>
      </c>
      <c r="E319">
        <v>2</v>
      </c>
      <c r="F319" t="s">
        <v>30</v>
      </c>
      <c r="G319" t="s">
        <v>64</v>
      </c>
      <c r="H319" t="s">
        <v>32</v>
      </c>
      <c r="J319" s="1">
        <v>44154</v>
      </c>
      <c r="K319" t="s">
        <v>392</v>
      </c>
      <c r="L319" t="s">
        <v>17</v>
      </c>
      <c r="M319" t="s">
        <v>34</v>
      </c>
      <c r="N319" t="s">
        <v>80</v>
      </c>
    </row>
    <row r="320" spans="1:14" x14ac:dyDescent="0.25">
      <c r="A320" t="s">
        <v>393</v>
      </c>
      <c r="B320">
        <v>1167</v>
      </c>
      <c r="C320">
        <v>463</v>
      </c>
      <c r="E320">
        <v>5</v>
      </c>
      <c r="F320" t="s">
        <v>30</v>
      </c>
      <c r="G320" t="s">
        <v>31</v>
      </c>
      <c r="H320" t="s">
        <v>15</v>
      </c>
      <c r="J320" s="1">
        <v>45182</v>
      </c>
      <c r="K320" t="s">
        <v>394</v>
      </c>
      <c r="L320" t="s">
        <v>71</v>
      </c>
      <c r="M320" t="s">
        <v>86</v>
      </c>
      <c r="N320" t="s">
        <v>273</v>
      </c>
    </row>
    <row r="321" spans="1:14" x14ac:dyDescent="0.25">
      <c r="A321" t="s">
        <v>393</v>
      </c>
      <c r="B321">
        <v>2841</v>
      </c>
      <c r="C321">
        <v>803</v>
      </c>
      <c r="E321">
        <v>20</v>
      </c>
      <c r="F321" t="s">
        <v>13</v>
      </c>
      <c r="G321" t="s">
        <v>39</v>
      </c>
      <c r="H321" t="s">
        <v>47</v>
      </c>
      <c r="J321" s="1">
        <v>45182</v>
      </c>
      <c r="K321" t="s">
        <v>394</v>
      </c>
      <c r="L321" t="s">
        <v>71</v>
      </c>
      <c r="M321" t="s">
        <v>86</v>
      </c>
      <c r="N321" t="s">
        <v>273</v>
      </c>
    </row>
    <row r="322" spans="1:14" x14ac:dyDescent="0.25">
      <c r="A322" t="s">
        <v>393</v>
      </c>
      <c r="B322">
        <v>5680</v>
      </c>
      <c r="C322">
        <v>2159</v>
      </c>
      <c r="E322">
        <v>19</v>
      </c>
      <c r="F322" t="s">
        <v>45</v>
      </c>
      <c r="G322" t="s">
        <v>46</v>
      </c>
      <c r="H322" t="s">
        <v>15</v>
      </c>
      <c r="J322" s="1">
        <v>45182</v>
      </c>
      <c r="K322" t="s">
        <v>394</v>
      </c>
      <c r="L322" t="s">
        <v>71</v>
      </c>
      <c r="M322" t="s">
        <v>86</v>
      </c>
      <c r="N322" t="s">
        <v>273</v>
      </c>
    </row>
    <row r="323" spans="1:14" x14ac:dyDescent="0.25">
      <c r="A323" t="s">
        <v>395</v>
      </c>
      <c r="B323">
        <v>8204</v>
      </c>
      <c r="C323">
        <v>2382</v>
      </c>
      <c r="E323">
        <v>6</v>
      </c>
      <c r="F323" t="s">
        <v>30</v>
      </c>
      <c r="G323" t="s">
        <v>31</v>
      </c>
      <c r="H323" t="s">
        <v>15</v>
      </c>
      <c r="J323" s="1">
        <v>43921</v>
      </c>
      <c r="K323" t="s">
        <v>396</v>
      </c>
      <c r="L323" t="s">
        <v>21</v>
      </c>
      <c r="M323" t="s">
        <v>22</v>
      </c>
      <c r="N323" t="s">
        <v>55</v>
      </c>
    </row>
    <row r="324" spans="1:14" x14ac:dyDescent="0.25">
      <c r="A324" t="s">
        <v>395</v>
      </c>
      <c r="B324">
        <v>8204</v>
      </c>
      <c r="C324">
        <v>2382</v>
      </c>
      <c r="E324">
        <v>6</v>
      </c>
      <c r="F324" t="s">
        <v>30</v>
      </c>
      <c r="G324" t="s">
        <v>31</v>
      </c>
      <c r="H324" t="s">
        <v>15</v>
      </c>
      <c r="J324" s="1">
        <v>44124</v>
      </c>
      <c r="K324" t="s">
        <v>397</v>
      </c>
      <c r="L324" t="s">
        <v>25</v>
      </c>
      <c r="M324" t="s">
        <v>26</v>
      </c>
      <c r="N324" t="s">
        <v>119</v>
      </c>
    </row>
    <row r="325" spans="1:14" x14ac:dyDescent="0.25">
      <c r="A325" t="s">
        <v>395</v>
      </c>
      <c r="B325">
        <v>2850</v>
      </c>
      <c r="C325">
        <v>904</v>
      </c>
      <c r="E325">
        <v>6</v>
      </c>
      <c r="F325" t="s">
        <v>13</v>
      </c>
      <c r="G325" t="s">
        <v>82</v>
      </c>
      <c r="H325" t="s">
        <v>40</v>
      </c>
      <c r="J325" s="1">
        <v>43921</v>
      </c>
      <c r="K325" t="s">
        <v>396</v>
      </c>
      <c r="L325" t="s">
        <v>21</v>
      </c>
      <c r="M325" t="s">
        <v>22</v>
      </c>
      <c r="N325" t="s">
        <v>55</v>
      </c>
    </row>
    <row r="326" spans="1:14" x14ac:dyDescent="0.25">
      <c r="A326" t="s">
        <v>395</v>
      </c>
      <c r="B326">
        <v>2850</v>
      </c>
      <c r="C326">
        <v>904</v>
      </c>
      <c r="E326">
        <v>6</v>
      </c>
      <c r="F326" t="s">
        <v>13</v>
      </c>
      <c r="G326" t="s">
        <v>82</v>
      </c>
      <c r="H326" t="s">
        <v>40</v>
      </c>
      <c r="J326" s="1">
        <v>44124</v>
      </c>
      <c r="K326" t="s">
        <v>397</v>
      </c>
      <c r="L326" t="s">
        <v>25</v>
      </c>
      <c r="M326" t="s">
        <v>26</v>
      </c>
      <c r="N326" t="s">
        <v>119</v>
      </c>
    </row>
    <row r="327" spans="1:14" x14ac:dyDescent="0.25">
      <c r="A327" t="s">
        <v>398</v>
      </c>
      <c r="B327">
        <v>907</v>
      </c>
      <c r="C327">
        <v>391</v>
      </c>
      <c r="E327">
        <v>9</v>
      </c>
      <c r="F327" t="s">
        <v>30</v>
      </c>
      <c r="G327" t="s">
        <v>31</v>
      </c>
      <c r="H327" t="s">
        <v>47</v>
      </c>
      <c r="J327" s="1">
        <v>45142</v>
      </c>
      <c r="K327" t="s">
        <v>399</v>
      </c>
      <c r="L327" t="s">
        <v>25</v>
      </c>
      <c r="M327" t="s">
        <v>51</v>
      </c>
      <c r="N327" t="s">
        <v>121</v>
      </c>
    </row>
    <row r="328" spans="1:14" x14ac:dyDescent="0.25">
      <c r="A328" t="s">
        <v>400</v>
      </c>
      <c r="B328">
        <v>2174</v>
      </c>
      <c r="C328">
        <v>265</v>
      </c>
      <c r="E328">
        <v>19</v>
      </c>
      <c r="F328" t="s">
        <v>30</v>
      </c>
      <c r="G328" t="s">
        <v>31</v>
      </c>
      <c r="H328" t="s">
        <v>47</v>
      </c>
      <c r="J328" s="1">
        <v>44662</v>
      </c>
      <c r="K328" t="s">
        <v>401</v>
      </c>
      <c r="L328" t="s">
        <v>98</v>
      </c>
      <c r="M328" t="s">
        <v>107</v>
      </c>
      <c r="N328" t="s">
        <v>187</v>
      </c>
    </row>
    <row r="329" spans="1:14" x14ac:dyDescent="0.25">
      <c r="A329" t="s">
        <v>400</v>
      </c>
      <c r="B329">
        <v>8541</v>
      </c>
      <c r="C329">
        <v>2029</v>
      </c>
      <c r="E329">
        <v>12</v>
      </c>
      <c r="F329" t="s">
        <v>13</v>
      </c>
      <c r="G329" t="s">
        <v>14</v>
      </c>
      <c r="H329" t="s">
        <v>47</v>
      </c>
      <c r="J329" s="1">
        <v>44662</v>
      </c>
      <c r="K329" t="s">
        <v>401</v>
      </c>
      <c r="L329" t="s">
        <v>98</v>
      </c>
      <c r="M329" t="s">
        <v>107</v>
      </c>
      <c r="N329" t="s">
        <v>187</v>
      </c>
    </row>
    <row r="330" spans="1:14" x14ac:dyDescent="0.25">
      <c r="A330" t="s">
        <v>400</v>
      </c>
      <c r="B330">
        <v>1931</v>
      </c>
      <c r="C330">
        <v>551</v>
      </c>
      <c r="E330">
        <v>3</v>
      </c>
      <c r="F330" t="s">
        <v>45</v>
      </c>
      <c r="G330" t="s">
        <v>109</v>
      </c>
      <c r="H330" t="s">
        <v>40</v>
      </c>
      <c r="J330" s="1">
        <v>44662</v>
      </c>
      <c r="K330" t="s">
        <v>401</v>
      </c>
      <c r="L330" t="s">
        <v>98</v>
      </c>
      <c r="M330" t="s">
        <v>107</v>
      </c>
      <c r="N330" t="s">
        <v>187</v>
      </c>
    </row>
    <row r="331" spans="1:14" x14ac:dyDescent="0.25">
      <c r="A331" t="s">
        <v>402</v>
      </c>
      <c r="B331">
        <v>1281</v>
      </c>
      <c r="C331">
        <v>340</v>
      </c>
      <c r="E331">
        <v>3</v>
      </c>
      <c r="F331" t="s">
        <v>13</v>
      </c>
      <c r="G331" t="s">
        <v>14</v>
      </c>
      <c r="H331" t="s">
        <v>32</v>
      </c>
      <c r="J331" s="1">
        <v>44561</v>
      </c>
      <c r="K331" t="s">
        <v>403</v>
      </c>
      <c r="L331" t="s">
        <v>71</v>
      </c>
      <c r="M331" t="s">
        <v>86</v>
      </c>
      <c r="N331" t="s">
        <v>90</v>
      </c>
    </row>
    <row r="332" spans="1:14" x14ac:dyDescent="0.25">
      <c r="A332" t="s">
        <v>402</v>
      </c>
      <c r="B332">
        <v>2404</v>
      </c>
      <c r="C332">
        <v>253</v>
      </c>
      <c r="E332">
        <v>15</v>
      </c>
      <c r="F332" t="s">
        <v>13</v>
      </c>
      <c r="G332" t="s">
        <v>39</v>
      </c>
      <c r="H332" t="s">
        <v>65</v>
      </c>
      <c r="J332" s="1">
        <v>44561</v>
      </c>
      <c r="K332" t="s">
        <v>403</v>
      </c>
      <c r="L332" t="s">
        <v>71</v>
      </c>
      <c r="M332" t="s">
        <v>86</v>
      </c>
      <c r="N332" t="s">
        <v>90</v>
      </c>
    </row>
    <row r="333" spans="1:14" x14ac:dyDescent="0.25">
      <c r="A333" t="s">
        <v>404</v>
      </c>
      <c r="B333">
        <v>2119</v>
      </c>
      <c r="C333">
        <v>196</v>
      </c>
      <c r="E333">
        <v>1</v>
      </c>
      <c r="F333" t="s">
        <v>45</v>
      </c>
      <c r="G333" t="s">
        <v>60</v>
      </c>
      <c r="H333" t="s">
        <v>65</v>
      </c>
      <c r="J333" s="1">
        <v>44059</v>
      </c>
      <c r="K333" t="s">
        <v>405</v>
      </c>
      <c r="L333" t="s">
        <v>42</v>
      </c>
      <c r="M333" t="s">
        <v>43</v>
      </c>
      <c r="N333" t="s">
        <v>185</v>
      </c>
    </row>
    <row r="334" spans="1:14" x14ac:dyDescent="0.25">
      <c r="A334" t="s">
        <v>406</v>
      </c>
      <c r="B334">
        <v>3137</v>
      </c>
      <c r="C334">
        <v>571</v>
      </c>
      <c r="E334">
        <v>9</v>
      </c>
      <c r="F334" t="s">
        <v>30</v>
      </c>
      <c r="G334" t="s">
        <v>31</v>
      </c>
      <c r="H334" t="s">
        <v>32</v>
      </c>
      <c r="J334" s="1">
        <v>45690</v>
      </c>
      <c r="K334" t="s">
        <v>407</v>
      </c>
      <c r="L334" t="s">
        <v>21</v>
      </c>
      <c r="M334" t="s">
        <v>22</v>
      </c>
      <c r="N334" t="s">
        <v>73</v>
      </c>
    </row>
    <row r="335" spans="1:14" x14ac:dyDescent="0.25">
      <c r="A335" t="s">
        <v>408</v>
      </c>
      <c r="B335">
        <v>2323</v>
      </c>
      <c r="C335">
        <v>727</v>
      </c>
      <c r="E335">
        <v>7</v>
      </c>
      <c r="F335" t="s">
        <v>45</v>
      </c>
      <c r="G335" t="s">
        <v>46</v>
      </c>
      <c r="H335" t="s">
        <v>65</v>
      </c>
      <c r="J335" s="1">
        <v>44616</v>
      </c>
      <c r="K335" t="s">
        <v>409</v>
      </c>
      <c r="L335" t="s">
        <v>71</v>
      </c>
      <c r="M335" t="s">
        <v>72</v>
      </c>
      <c r="N335" t="s">
        <v>137</v>
      </c>
    </row>
    <row r="336" spans="1:14" x14ac:dyDescent="0.25">
      <c r="A336" t="s">
        <v>408</v>
      </c>
      <c r="B336">
        <v>1368</v>
      </c>
      <c r="C336">
        <v>406</v>
      </c>
      <c r="E336">
        <v>9</v>
      </c>
      <c r="F336" t="s">
        <v>45</v>
      </c>
      <c r="G336" t="s">
        <v>109</v>
      </c>
      <c r="H336" t="s">
        <v>15</v>
      </c>
      <c r="J336" s="1">
        <v>44616</v>
      </c>
      <c r="K336" t="s">
        <v>409</v>
      </c>
      <c r="L336" t="s">
        <v>71</v>
      </c>
      <c r="M336" t="s">
        <v>72</v>
      </c>
      <c r="N336" t="s">
        <v>137</v>
      </c>
    </row>
    <row r="337" spans="1:14" x14ac:dyDescent="0.25">
      <c r="A337" t="s">
        <v>410</v>
      </c>
      <c r="B337">
        <v>9204</v>
      </c>
      <c r="C337">
        <v>3289</v>
      </c>
      <c r="E337">
        <v>16</v>
      </c>
      <c r="F337" t="s">
        <v>13</v>
      </c>
      <c r="G337" t="s">
        <v>39</v>
      </c>
      <c r="H337" t="s">
        <v>47</v>
      </c>
      <c r="J337" s="1">
        <v>45347</v>
      </c>
      <c r="K337" t="s">
        <v>411</v>
      </c>
      <c r="L337" t="s">
        <v>17</v>
      </c>
      <c r="M337" t="s">
        <v>18</v>
      </c>
      <c r="N337" t="s">
        <v>218</v>
      </c>
    </row>
    <row r="338" spans="1:14" x14ac:dyDescent="0.25">
      <c r="A338" t="s">
        <v>410</v>
      </c>
      <c r="B338">
        <v>9204</v>
      </c>
      <c r="C338">
        <v>3289</v>
      </c>
      <c r="E338">
        <v>16</v>
      </c>
      <c r="F338" t="s">
        <v>13</v>
      </c>
      <c r="G338" t="s">
        <v>39</v>
      </c>
      <c r="H338" t="s">
        <v>47</v>
      </c>
      <c r="J338" s="1">
        <v>44362</v>
      </c>
      <c r="K338" t="s">
        <v>412</v>
      </c>
      <c r="L338" t="s">
        <v>17</v>
      </c>
      <c r="M338" t="s">
        <v>18</v>
      </c>
      <c r="N338" t="s">
        <v>125</v>
      </c>
    </row>
    <row r="339" spans="1:14" x14ac:dyDescent="0.25">
      <c r="A339" t="s">
        <v>410</v>
      </c>
      <c r="B339">
        <v>9894</v>
      </c>
      <c r="C339">
        <v>3698</v>
      </c>
      <c r="E339">
        <v>20</v>
      </c>
      <c r="F339" t="s">
        <v>30</v>
      </c>
      <c r="G339" t="s">
        <v>64</v>
      </c>
      <c r="H339" t="s">
        <v>40</v>
      </c>
      <c r="J339" s="1">
        <v>45347</v>
      </c>
      <c r="K339" t="s">
        <v>411</v>
      </c>
      <c r="L339" t="s">
        <v>17</v>
      </c>
      <c r="M339" t="s">
        <v>18</v>
      </c>
      <c r="N339" t="s">
        <v>218</v>
      </c>
    </row>
    <row r="340" spans="1:14" x14ac:dyDescent="0.25">
      <c r="A340" t="s">
        <v>410</v>
      </c>
      <c r="B340">
        <v>9894</v>
      </c>
      <c r="C340">
        <v>3698</v>
      </c>
      <c r="E340">
        <v>20</v>
      </c>
      <c r="F340" t="s">
        <v>30</v>
      </c>
      <c r="G340" t="s">
        <v>64</v>
      </c>
      <c r="H340" t="s">
        <v>40</v>
      </c>
      <c r="J340" s="1">
        <v>44362</v>
      </c>
      <c r="K340" t="s">
        <v>412</v>
      </c>
      <c r="L340" t="s">
        <v>17</v>
      </c>
      <c r="M340" t="s">
        <v>18</v>
      </c>
      <c r="N340" t="s">
        <v>125</v>
      </c>
    </row>
    <row r="341" spans="1:14" x14ac:dyDescent="0.25">
      <c r="A341" t="s">
        <v>413</v>
      </c>
      <c r="B341">
        <v>5322</v>
      </c>
      <c r="C341">
        <v>1423</v>
      </c>
      <c r="E341">
        <v>18</v>
      </c>
      <c r="F341" t="s">
        <v>45</v>
      </c>
      <c r="G341" t="s">
        <v>60</v>
      </c>
      <c r="H341" t="s">
        <v>65</v>
      </c>
      <c r="J341" s="1">
        <v>44903</v>
      </c>
      <c r="K341" t="s">
        <v>414</v>
      </c>
      <c r="L341" t="s">
        <v>71</v>
      </c>
      <c r="M341" t="s">
        <v>138</v>
      </c>
      <c r="N341" t="s">
        <v>152</v>
      </c>
    </row>
    <row r="342" spans="1:14" x14ac:dyDescent="0.25">
      <c r="A342" t="s">
        <v>413</v>
      </c>
      <c r="B342">
        <v>5322</v>
      </c>
      <c r="C342">
        <v>1423</v>
      </c>
      <c r="E342">
        <v>18</v>
      </c>
      <c r="F342" t="s">
        <v>45</v>
      </c>
      <c r="G342" t="s">
        <v>60</v>
      </c>
      <c r="H342" t="s">
        <v>65</v>
      </c>
      <c r="J342" s="1">
        <v>45269</v>
      </c>
      <c r="K342" t="s">
        <v>415</v>
      </c>
      <c r="L342" t="s">
        <v>71</v>
      </c>
      <c r="M342" t="s">
        <v>72</v>
      </c>
      <c r="N342" t="s">
        <v>102</v>
      </c>
    </row>
    <row r="343" spans="1:14" x14ac:dyDescent="0.25">
      <c r="A343" t="s">
        <v>416</v>
      </c>
      <c r="B343">
        <v>2666</v>
      </c>
      <c r="C343">
        <v>559</v>
      </c>
      <c r="E343">
        <v>14</v>
      </c>
      <c r="F343" t="s">
        <v>45</v>
      </c>
      <c r="G343" t="s">
        <v>49</v>
      </c>
      <c r="H343" t="s">
        <v>65</v>
      </c>
      <c r="J343" s="1">
        <v>44758</v>
      </c>
      <c r="K343" t="s">
        <v>417</v>
      </c>
      <c r="L343" t="s">
        <v>98</v>
      </c>
      <c r="M343" t="s">
        <v>117</v>
      </c>
      <c r="N343" t="s">
        <v>418</v>
      </c>
    </row>
    <row r="344" spans="1:14" x14ac:dyDescent="0.25">
      <c r="A344" t="s">
        <v>419</v>
      </c>
      <c r="B344">
        <v>8383</v>
      </c>
      <c r="C344">
        <v>937</v>
      </c>
      <c r="E344">
        <v>4</v>
      </c>
      <c r="F344" t="s">
        <v>45</v>
      </c>
      <c r="G344" t="s">
        <v>60</v>
      </c>
      <c r="H344" t="s">
        <v>15</v>
      </c>
      <c r="J344" s="1">
        <v>45417</v>
      </c>
      <c r="K344" t="s">
        <v>420</v>
      </c>
      <c r="L344" t="s">
        <v>17</v>
      </c>
      <c r="M344" t="s">
        <v>34</v>
      </c>
      <c r="N344" t="s">
        <v>35</v>
      </c>
    </row>
    <row r="345" spans="1:14" x14ac:dyDescent="0.25">
      <c r="A345" t="s">
        <v>421</v>
      </c>
      <c r="B345">
        <v>7560</v>
      </c>
      <c r="C345">
        <v>821</v>
      </c>
      <c r="E345">
        <v>4</v>
      </c>
      <c r="F345" t="s">
        <v>30</v>
      </c>
      <c r="G345" t="s">
        <v>64</v>
      </c>
      <c r="H345" t="s">
        <v>40</v>
      </c>
      <c r="J345" s="1">
        <v>44473</v>
      </c>
      <c r="K345" t="s">
        <v>422</v>
      </c>
      <c r="L345" t="s">
        <v>21</v>
      </c>
      <c r="M345" t="s">
        <v>22</v>
      </c>
      <c r="N345" t="s">
        <v>37</v>
      </c>
    </row>
    <row r="346" spans="1:14" x14ac:dyDescent="0.25">
      <c r="A346" t="s">
        <v>423</v>
      </c>
      <c r="B346">
        <v>1314</v>
      </c>
      <c r="C346">
        <v>490</v>
      </c>
      <c r="E346">
        <v>16</v>
      </c>
      <c r="F346" t="s">
        <v>45</v>
      </c>
      <c r="G346" t="s">
        <v>60</v>
      </c>
      <c r="H346" t="s">
        <v>15</v>
      </c>
      <c r="J346" s="1">
        <v>44520</v>
      </c>
      <c r="K346" t="s">
        <v>424</v>
      </c>
      <c r="L346" t="s">
        <v>25</v>
      </c>
      <c r="M346" t="s">
        <v>26</v>
      </c>
      <c r="N346" t="s">
        <v>175</v>
      </c>
    </row>
    <row r="347" spans="1:14" x14ac:dyDescent="0.25">
      <c r="A347" t="s">
        <v>423</v>
      </c>
      <c r="B347">
        <v>4390</v>
      </c>
      <c r="C347">
        <v>179</v>
      </c>
      <c r="E347">
        <v>1</v>
      </c>
      <c r="F347" t="s">
        <v>45</v>
      </c>
      <c r="G347" t="s">
        <v>46</v>
      </c>
      <c r="H347" t="s">
        <v>32</v>
      </c>
      <c r="J347" s="1">
        <v>44520</v>
      </c>
      <c r="K347" t="s">
        <v>424</v>
      </c>
      <c r="L347" t="s">
        <v>25</v>
      </c>
      <c r="M347" t="s">
        <v>26</v>
      </c>
      <c r="N347" t="s">
        <v>175</v>
      </c>
    </row>
    <row r="348" spans="1:14" x14ac:dyDescent="0.25">
      <c r="A348" t="s">
        <v>423</v>
      </c>
      <c r="B348">
        <v>1150</v>
      </c>
      <c r="C348">
        <v>58</v>
      </c>
      <c r="E348">
        <v>7</v>
      </c>
      <c r="F348" t="s">
        <v>30</v>
      </c>
      <c r="G348" t="s">
        <v>78</v>
      </c>
      <c r="H348" t="s">
        <v>32</v>
      </c>
      <c r="J348" s="1">
        <v>44520</v>
      </c>
      <c r="K348" t="s">
        <v>424</v>
      </c>
      <c r="L348" t="s">
        <v>25</v>
      </c>
      <c r="M348" t="s">
        <v>26</v>
      </c>
      <c r="N348" t="s">
        <v>175</v>
      </c>
    </row>
    <row r="349" spans="1:14" x14ac:dyDescent="0.25">
      <c r="A349" t="s">
        <v>425</v>
      </c>
      <c r="B349">
        <v>1574</v>
      </c>
      <c r="C349">
        <v>258</v>
      </c>
      <c r="E349">
        <v>17</v>
      </c>
      <c r="F349" t="s">
        <v>30</v>
      </c>
      <c r="G349" t="s">
        <v>31</v>
      </c>
      <c r="H349" t="s">
        <v>40</v>
      </c>
      <c r="J349" s="1">
        <v>44089</v>
      </c>
      <c r="K349" t="s">
        <v>426</v>
      </c>
      <c r="L349" t="s">
        <v>42</v>
      </c>
      <c r="M349" t="s">
        <v>75</v>
      </c>
      <c r="N349" t="s">
        <v>389</v>
      </c>
    </row>
    <row r="350" spans="1:14" x14ac:dyDescent="0.25">
      <c r="A350" t="s">
        <v>425</v>
      </c>
      <c r="B350">
        <v>5635</v>
      </c>
      <c r="C350">
        <v>318</v>
      </c>
      <c r="E350">
        <v>17</v>
      </c>
      <c r="F350" t="s">
        <v>30</v>
      </c>
      <c r="G350" t="s">
        <v>78</v>
      </c>
      <c r="H350" t="s">
        <v>15</v>
      </c>
      <c r="J350" s="1">
        <v>44089</v>
      </c>
      <c r="K350" t="s">
        <v>426</v>
      </c>
      <c r="L350" t="s">
        <v>42</v>
      </c>
      <c r="M350" t="s">
        <v>75</v>
      </c>
      <c r="N350" t="s">
        <v>389</v>
      </c>
    </row>
    <row r="351" spans="1:14" x14ac:dyDescent="0.25">
      <c r="A351" t="s">
        <v>425</v>
      </c>
      <c r="B351">
        <v>6515</v>
      </c>
      <c r="C351">
        <v>961</v>
      </c>
      <c r="E351">
        <v>11</v>
      </c>
      <c r="F351" t="s">
        <v>45</v>
      </c>
      <c r="G351" t="s">
        <v>60</v>
      </c>
      <c r="H351" t="s">
        <v>32</v>
      </c>
      <c r="J351" s="1">
        <v>44089</v>
      </c>
      <c r="K351" t="s">
        <v>426</v>
      </c>
      <c r="L351" t="s">
        <v>42</v>
      </c>
      <c r="M351" t="s">
        <v>75</v>
      </c>
      <c r="N351" t="s">
        <v>389</v>
      </c>
    </row>
    <row r="352" spans="1:14" x14ac:dyDescent="0.25">
      <c r="A352" t="s">
        <v>427</v>
      </c>
      <c r="B352">
        <v>1231</v>
      </c>
      <c r="C352">
        <v>214</v>
      </c>
      <c r="E352">
        <v>20</v>
      </c>
      <c r="F352" t="s">
        <v>13</v>
      </c>
      <c r="G352" t="s">
        <v>39</v>
      </c>
      <c r="H352" t="s">
        <v>32</v>
      </c>
      <c r="J352" s="1">
        <v>44943</v>
      </c>
      <c r="K352" t="s">
        <v>428</v>
      </c>
      <c r="L352" t="s">
        <v>98</v>
      </c>
      <c r="M352" t="s">
        <v>99</v>
      </c>
      <c r="N352" t="s">
        <v>333</v>
      </c>
    </row>
    <row r="353" spans="1:14" x14ac:dyDescent="0.25">
      <c r="A353" t="s">
        <v>427</v>
      </c>
      <c r="B353">
        <v>1231</v>
      </c>
      <c r="C353">
        <v>214</v>
      </c>
      <c r="E353">
        <v>20</v>
      </c>
      <c r="F353" t="s">
        <v>13</v>
      </c>
      <c r="G353" t="s">
        <v>39</v>
      </c>
      <c r="H353" t="s">
        <v>32</v>
      </c>
      <c r="J353" s="1">
        <v>43998</v>
      </c>
      <c r="K353" t="s">
        <v>429</v>
      </c>
      <c r="L353" t="s">
        <v>25</v>
      </c>
      <c r="M353" t="s">
        <v>68</v>
      </c>
      <c r="N353" t="s">
        <v>313</v>
      </c>
    </row>
    <row r="354" spans="1:14" x14ac:dyDescent="0.25">
      <c r="A354" t="s">
        <v>430</v>
      </c>
      <c r="B354">
        <v>6891</v>
      </c>
      <c r="C354">
        <v>2529</v>
      </c>
      <c r="E354">
        <v>3</v>
      </c>
      <c r="F354" t="s">
        <v>30</v>
      </c>
      <c r="G354" t="s">
        <v>78</v>
      </c>
      <c r="H354" t="s">
        <v>32</v>
      </c>
      <c r="J354" s="1">
        <v>45413</v>
      </c>
      <c r="K354" t="s">
        <v>431</v>
      </c>
      <c r="L354" t="s">
        <v>98</v>
      </c>
      <c r="M354" t="s">
        <v>117</v>
      </c>
      <c r="N354" t="s">
        <v>35</v>
      </c>
    </row>
    <row r="355" spans="1:14" x14ac:dyDescent="0.25">
      <c r="A355" t="s">
        <v>432</v>
      </c>
      <c r="B355">
        <v>7524</v>
      </c>
      <c r="C355">
        <v>2308</v>
      </c>
      <c r="E355">
        <v>15</v>
      </c>
      <c r="F355" t="s">
        <v>13</v>
      </c>
      <c r="G355" t="s">
        <v>39</v>
      </c>
      <c r="H355" t="s">
        <v>40</v>
      </c>
      <c r="J355" s="1">
        <v>45267</v>
      </c>
      <c r="K355" t="s">
        <v>433</v>
      </c>
      <c r="L355" t="s">
        <v>71</v>
      </c>
      <c r="M355" t="s">
        <v>86</v>
      </c>
      <c r="N355" t="s">
        <v>102</v>
      </c>
    </row>
    <row r="356" spans="1:14" x14ac:dyDescent="0.25">
      <c r="A356" t="s">
        <v>432</v>
      </c>
      <c r="B356">
        <v>6864</v>
      </c>
      <c r="C356">
        <v>1824</v>
      </c>
      <c r="E356">
        <v>14</v>
      </c>
      <c r="F356" t="s">
        <v>13</v>
      </c>
      <c r="G356" t="s">
        <v>28</v>
      </c>
      <c r="H356" t="s">
        <v>47</v>
      </c>
      <c r="J356" s="1">
        <v>45267</v>
      </c>
      <c r="K356" t="s">
        <v>433</v>
      </c>
      <c r="L356" t="s">
        <v>71</v>
      </c>
      <c r="M356" t="s">
        <v>86</v>
      </c>
      <c r="N356" t="s">
        <v>102</v>
      </c>
    </row>
    <row r="357" spans="1:14" x14ac:dyDescent="0.25">
      <c r="A357" t="s">
        <v>434</v>
      </c>
      <c r="B357">
        <v>4215</v>
      </c>
      <c r="C357">
        <v>432</v>
      </c>
      <c r="E357">
        <v>14</v>
      </c>
      <c r="F357" t="s">
        <v>45</v>
      </c>
      <c r="G357" t="s">
        <v>49</v>
      </c>
      <c r="H357" t="s">
        <v>32</v>
      </c>
      <c r="J357" s="1">
        <v>45324</v>
      </c>
      <c r="K357" t="s">
        <v>435</v>
      </c>
      <c r="L357" t="s">
        <v>98</v>
      </c>
      <c r="M357" t="s">
        <v>99</v>
      </c>
      <c r="N357" t="s">
        <v>218</v>
      </c>
    </row>
    <row r="358" spans="1:14" x14ac:dyDescent="0.25">
      <c r="A358" t="s">
        <v>436</v>
      </c>
      <c r="B358">
        <v>622</v>
      </c>
      <c r="C358">
        <v>218</v>
      </c>
      <c r="E358">
        <v>19</v>
      </c>
      <c r="F358" t="s">
        <v>45</v>
      </c>
      <c r="G358" t="s">
        <v>109</v>
      </c>
      <c r="H358" t="s">
        <v>47</v>
      </c>
      <c r="J358" s="1">
        <v>45466</v>
      </c>
      <c r="K358" t="s">
        <v>437</v>
      </c>
      <c r="L358" t="s">
        <v>42</v>
      </c>
      <c r="M358" t="s">
        <v>75</v>
      </c>
      <c r="N358" t="s">
        <v>262</v>
      </c>
    </row>
    <row r="359" spans="1:14" x14ac:dyDescent="0.25">
      <c r="A359" t="s">
        <v>436</v>
      </c>
      <c r="B359">
        <v>1755</v>
      </c>
      <c r="C359">
        <v>495</v>
      </c>
      <c r="E359">
        <v>18</v>
      </c>
      <c r="F359" t="s">
        <v>30</v>
      </c>
      <c r="G359" t="s">
        <v>31</v>
      </c>
      <c r="H359" t="s">
        <v>15</v>
      </c>
      <c r="J359" s="1">
        <v>45466</v>
      </c>
      <c r="K359" t="s">
        <v>437</v>
      </c>
      <c r="L359" t="s">
        <v>42</v>
      </c>
      <c r="M359" t="s">
        <v>75</v>
      </c>
      <c r="N359" t="s">
        <v>262</v>
      </c>
    </row>
    <row r="360" spans="1:14" x14ac:dyDescent="0.25">
      <c r="A360" t="s">
        <v>436</v>
      </c>
      <c r="B360">
        <v>8020</v>
      </c>
      <c r="C360">
        <v>3898</v>
      </c>
      <c r="E360">
        <v>20</v>
      </c>
      <c r="F360" t="s">
        <v>13</v>
      </c>
      <c r="G360" t="s">
        <v>14</v>
      </c>
      <c r="H360" t="s">
        <v>40</v>
      </c>
      <c r="J360" s="1">
        <v>45466</v>
      </c>
      <c r="K360" t="s">
        <v>437</v>
      </c>
      <c r="L360" t="s">
        <v>42</v>
      </c>
      <c r="M360" t="s">
        <v>75</v>
      </c>
      <c r="N360" t="s">
        <v>262</v>
      </c>
    </row>
    <row r="361" spans="1:14" x14ac:dyDescent="0.25">
      <c r="A361" t="s">
        <v>438</v>
      </c>
      <c r="B361">
        <v>7333</v>
      </c>
      <c r="C361">
        <v>1576</v>
      </c>
      <c r="E361">
        <v>4</v>
      </c>
      <c r="F361" t="s">
        <v>13</v>
      </c>
      <c r="G361" t="s">
        <v>39</v>
      </c>
      <c r="H361" t="s">
        <v>47</v>
      </c>
      <c r="J361" s="1">
        <v>45450</v>
      </c>
      <c r="K361" t="s">
        <v>439</v>
      </c>
      <c r="L361" t="s">
        <v>25</v>
      </c>
      <c r="M361" t="s">
        <v>26</v>
      </c>
      <c r="N361" t="s">
        <v>262</v>
      </c>
    </row>
    <row r="362" spans="1:14" x14ac:dyDescent="0.25">
      <c r="A362" t="s">
        <v>440</v>
      </c>
      <c r="B362">
        <v>7690</v>
      </c>
      <c r="C362">
        <v>1134</v>
      </c>
      <c r="E362">
        <v>4</v>
      </c>
      <c r="F362" t="s">
        <v>13</v>
      </c>
      <c r="G362" t="s">
        <v>14</v>
      </c>
      <c r="H362" t="s">
        <v>65</v>
      </c>
      <c r="J362" s="1">
        <v>45212</v>
      </c>
      <c r="K362" t="s">
        <v>441</v>
      </c>
      <c r="L362" t="s">
        <v>25</v>
      </c>
      <c r="M362" t="s">
        <v>68</v>
      </c>
      <c r="N362" t="s">
        <v>442</v>
      </c>
    </row>
    <row r="363" spans="1:14" x14ac:dyDescent="0.25">
      <c r="A363" t="s">
        <v>440</v>
      </c>
      <c r="B363">
        <v>912</v>
      </c>
      <c r="C363">
        <v>246</v>
      </c>
      <c r="E363">
        <v>2</v>
      </c>
      <c r="F363" t="s">
        <v>45</v>
      </c>
      <c r="G363" t="s">
        <v>60</v>
      </c>
      <c r="H363" t="s">
        <v>40</v>
      </c>
      <c r="J363" s="1">
        <v>45212</v>
      </c>
      <c r="K363" t="s">
        <v>441</v>
      </c>
      <c r="L363" t="s">
        <v>25</v>
      </c>
      <c r="M363" t="s">
        <v>68</v>
      </c>
      <c r="N363" t="s">
        <v>442</v>
      </c>
    </row>
    <row r="364" spans="1:14" x14ac:dyDescent="0.25">
      <c r="A364" t="s">
        <v>443</v>
      </c>
      <c r="B364">
        <v>2791</v>
      </c>
      <c r="C364">
        <v>894</v>
      </c>
      <c r="E364">
        <v>14</v>
      </c>
      <c r="F364" t="s">
        <v>13</v>
      </c>
      <c r="G364" t="s">
        <v>39</v>
      </c>
      <c r="H364" t="s">
        <v>65</v>
      </c>
      <c r="J364" s="1">
        <v>44842</v>
      </c>
      <c r="K364" t="s">
        <v>444</v>
      </c>
      <c r="L364" t="s">
        <v>71</v>
      </c>
      <c r="M364" t="s">
        <v>86</v>
      </c>
      <c r="N364" t="s">
        <v>96</v>
      </c>
    </row>
    <row r="365" spans="1:14" x14ac:dyDescent="0.25">
      <c r="A365" t="s">
        <v>443</v>
      </c>
      <c r="B365">
        <v>2791</v>
      </c>
      <c r="C365">
        <v>894</v>
      </c>
      <c r="E365">
        <v>14</v>
      </c>
      <c r="F365" t="s">
        <v>13</v>
      </c>
      <c r="G365" t="s">
        <v>39</v>
      </c>
      <c r="H365" t="s">
        <v>65</v>
      </c>
      <c r="J365" s="1">
        <v>45226</v>
      </c>
      <c r="K365" t="s">
        <v>445</v>
      </c>
      <c r="L365" t="s">
        <v>98</v>
      </c>
      <c r="M365" t="s">
        <v>107</v>
      </c>
      <c r="N365" t="s">
        <v>442</v>
      </c>
    </row>
    <row r="366" spans="1:14" x14ac:dyDescent="0.25">
      <c r="A366" t="s">
        <v>443</v>
      </c>
      <c r="B366">
        <v>2791</v>
      </c>
      <c r="C366">
        <v>894</v>
      </c>
      <c r="E366">
        <v>14</v>
      </c>
      <c r="F366" t="s">
        <v>13</v>
      </c>
      <c r="G366" t="s">
        <v>39</v>
      </c>
      <c r="H366" t="s">
        <v>65</v>
      </c>
      <c r="J366" s="1">
        <v>44236</v>
      </c>
      <c r="K366" t="s">
        <v>446</v>
      </c>
      <c r="L366" t="s">
        <v>71</v>
      </c>
      <c r="M366" t="s">
        <v>72</v>
      </c>
      <c r="N366" t="s">
        <v>292</v>
      </c>
    </row>
    <row r="367" spans="1:14" x14ac:dyDescent="0.25">
      <c r="A367" t="s">
        <v>443</v>
      </c>
      <c r="B367">
        <v>6223</v>
      </c>
      <c r="C367">
        <v>1478</v>
      </c>
      <c r="E367">
        <v>3</v>
      </c>
      <c r="F367" t="s">
        <v>45</v>
      </c>
      <c r="G367" t="s">
        <v>60</v>
      </c>
      <c r="H367" t="s">
        <v>32</v>
      </c>
      <c r="J367" s="1">
        <v>44842</v>
      </c>
      <c r="K367" t="s">
        <v>444</v>
      </c>
      <c r="L367" t="s">
        <v>71</v>
      </c>
      <c r="M367" t="s">
        <v>86</v>
      </c>
      <c r="N367" t="s">
        <v>96</v>
      </c>
    </row>
    <row r="368" spans="1:14" x14ac:dyDescent="0.25">
      <c r="A368" t="s">
        <v>443</v>
      </c>
      <c r="B368">
        <v>6223</v>
      </c>
      <c r="C368">
        <v>1478</v>
      </c>
      <c r="E368">
        <v>3</v>
      </c>
      <c r="F368" t="s">
        <v>45</v>
      </c>
      <c r="G368" t="s">
        <v>60</v>
      </c>
      <c r="H368" t="s">
        <v>32</v>
      </c>
      <c r="J368" s="1">
        <v>45226</v>
      </c>
      <c r="K368" t="s">
        <v>445</v>
      </c>
      <c r="L368" t="s">
        <v>98</v>
      </c>
      <c r="M368" t="s">
        <v>107</v>
      </c>
      <c r="N368" t="s">
        <v>442</v>
      </c>
    </row>
    <row r="369" spans="1:14" x14ac:dyDescent="0.25">
      <c r="A369" t="s">
        <v>443</v>
      </c>
      <c r="B369">
        <v>6223</v>
      </c>
      <c r="C369">
        <v>1478</v>
      </c>
      <c r="E369">
        <v>3</v>
      </c>
      <c r="F369" t="s">
        <v>45</v>
      </c>
      <c r="G369" t="s">
        <v>60</v>
      </c>
      <c r="H369" t="s">
        <v>32</v>
      </c>
      <c r="J369" s="1">
        <v>44236</v>
      </c>
      <c r="K369" t="s">
        <v>446</v>
      </c>
      <c r="L369" t="s">
        <v>71</v>
      </c>
      <c r="M369" t="s">
        <v>72</v>
      </c>
      <c r="N369" t="s">
        <v>292</v>
      </c>
    </row>
    <row r="370" spans="1:14" x14ac:dyDescent="0.25">
      <c r="A370" t="s">
        <v>443</v>
      </c>
      <c r="B370">
        <v>8943</v>
      </c>
      <c r="C370">
        <v>3121</v>
      </c>
      <c r="E370">
        <v>17</v>
      </c>
      <c r="F370" t="s">
        <v>45</v>
      </c>
      <c r="G370" t="s">
        <v>49</v>
      </c>
      <c r="H370" t="s">
        <v>32</v>
      </c>
      <c r="J370" s="1">
        <v>44842</v>
      </c>
      <c r="K370" t="s">
        <v>444</v>
      </c>
      <c r="L370" t="s">
        <v>71</v>
      </c>
      <c r="M370" t="s">
        <v>86</v>
      </c>
      <c r="N370" t="s">
        <v>96</v>
      </c>
    </row>
    <row r="371" spans="1:14" x14ac:dyDescent="0.25">
      <c r="A371" t="s">
        <v>443</v>
      </c>
      <c r="B371">
        <v>8943</v>
      </c>
      <c r="C371">
        <v>3121</v>
      </c>
      <c r="E371">
        <v>17</v>
      </c>
      <c r="F371" t="s">
        <v>45</v>
      </c>
      <c r="G371" t="s">
        <v>49</v>
      </c>
      <c r="H371" t="s">
        <v>32</v>
      </c>
      <c r="J371" s="1">
        <v>45226</v>
      </c>
      <c r="K371" t="s">
        <v>445</v>
      </c>
      <c r="L371" t="s">
        <v>98</v>
      </c>
      <c r="M371" t="s">
        <v>107</v>
      </c>
      <c r="N371" t="s">
        <v>442</v>
      </c>
    </row>
    <row r="372" spans="1:14" x14ac:dyDescent="0.25">
      <c r="A372" t="s">
        <v>443</v>
      </c>
      <c r="B372">
        <v>8943</v>
      </c>
      <c r="C372">
        <v>3121</v>
      </c>
      <c r="E372">
        <v>17</v>
      </c>
      <c r="F372" t="s">
        <v>45</v>
      </c>
      <c r="G372" t="s">
        <v>49</v>
      </c>
      <c r="H372" t="s">
        <v>32</v>
      </c>
      <c r="J372" s="1">
        <v>44236</v>
      </c>
      <c r="K372" t="s">
        <v>446</v>
      </c>
      <c r="L372" t="s">
        <v>71</v>
      </c>
      <c r="M372" t="s">
        <v>72</v>
      </c>
      <c r="N372" t="s">
        <v>292</v>
      </c>
    </row>
    <row r="373" spans="1:14" x14ac:dyDescent="0.25">
      <c r="A373" t="s">
        <v>443</v>
      </c>
      <c r="B373">
        <v>3297</v>
      </c>
      <c r="C373">
        <v>102</v>
      </c>
      <c r="E373">
        <v>12</v>
      </c>
      <c r="F373" t="s">
        <v>13</v>
      </c>
      <c r="G373" t="s">
        <v>82</v>
      </c>
      <c r="H373" t="s">
        <v>47</v>
      </c>
      <c r="J373" s="1">
        <v>44842</v>
      </c>
      <c r="K373" t="s">
        <v>444</v>
      </c>
      <c r="L373" t="s">
        <v>71</v>
      </c>
      <c r="M373" t="s">
        <v>86</v>
      </c>
      <c r="N373" t="s">
        <v>96</v>
      </c>
    </row>
    <row r="374" spans="1:14" x14ac:dyDescent="0.25">
      <c r="A374" t="s">
        <v>443</v>
      </c>
      <c r="B374">
        <v>3297</v>
      </c>
      <c r="C374">
        <v>102</v>
      </c>
      <c r="E374">
        <v>12</v>
      </c>
      <c r="F374" t="s">
        <v>13</v>
      </c>
      <c r="G374" t="s">
        <v>82</v>
      </c>
      <c r="H374" t="s">
        <v>47</v>
      </c>
      <c r="J374" s="1">
        <v>45226</v>
      </c>
      <c r="K374" t="s">
        <v>445</v>
      </c>
      <c r="L374" t="s">
        <v>98</v>
      </c>
      <c r="M374" t="s">
        <v>107</v>
      </c>
      <c r="N374" t="s">
        <v>442</v>
      </c>
    </row>
    <row r="375" spans="1:14" x14ac:dyDescent="0.25">
      <c r="A375" t="s">
        <v>443</v>
      </c>
      <c r="B375">
        <v>3297</v>
      </c>
      <c r="C375">
        <v>102</v>
      </c>
      <c r="E375">
        <v>12</v>
      </c>
      <c r="F375" t="s">
        <v>13</v>
      </c>
      <c r="G375" t="s">
        <v>82</v>
      </c>
      <c r="H375" t="s">
        <v>47</v>
      </c>
      <c r="J375" s="1">
        <v>44236</v>
      </c>
      <c r="K375" t="s">
        <v>446</v>
      </c>
      <c r="L375" t="s">
        <v>71</v>
      </c>
      <c r="M375" t="s">
        <v>72</v>
      </c>
      <c r="N375" t="s">
        <v>292</v>
      </c>
    </row>
    <row r="376" spans="1:14" x14ac:dyDescent="0.25">
      <c r="A376" t="s">
        <v>447</v>
      </c>
      <c r="B376">
        <v>8769</v>
      </c>
      <c r="C376">
        <v>1989</v>
      </c>
      <c r="E376">
        <v>20</v>
      </c>
      <c r="F376" t="s">
        <v>30</v>
      </c>
      <c r="G376" t="s">
        <v>64</v>
      </c>
      <c r="H376" t="s">
        <v>15</v>
      </c>
      <c r="J376" s="1">
        <v>44138</v>
      </c>
      <c r="K376" t="s">
        <v>448</v>
      </c>
      <c r="L376" t="s">
        <v>21</v>
      </c>
      <c r="M376" t="s">
        <v>22</v>
      </c>
      <c r="N376" t="s">
        <v>80</v>
      </c>
    </row>
    <row r="377" spans="1:14" x14ac:dyDescent="0.25">
      <c r="A377" t="s">
        <v>449</v>
      </c>
      <c r="B377">
        <v>9057</v>
      </c>
      <c r="C377">
        <v>1888</v>
      </c>
      <c r="E377">
        <v>19</v>
      </c>
      <c r="F377" t="s">
        <v>13</v>
      </c>
      <c r="G377" t="s">
        <v>28</v>
      </c>
      <c r="H377" t="s">
        <v>65</v>
      </c>
      <c r="J377" s="1">
        <v>44711</v>
      </c>
      <c r="K377" t="s">
        <v>450</v>
      </c>
      <c r="L377" t="s">
        <v>17</v>
      </c>
      <c r="M377" t="s">
        <v>34</v>
      </c>
      <c r="N377" t="s">
        <v>180</v>
      </c>
    </row>
    <row r="378" spans="1:14" x14ac:dyDescent="0.25">
      <c r="A378" t="s">
        <v>449</v>
      </c>
      <c r="B378">
        <v>6864</v>
      </c>
      <c r="C378">
        <v>3275</v>
      </c>
      <c r="E378">
        <v>11</v>
      </c>
      <c r="F378" t="s">
        <v>45</v>
      </c>
      <c r="G378" t="s">
        <v>46</v>
      </c>
      <c r="H378" t="s">
        <v>47</v>
      </c>
      <c r="J378" s="1">
        <v>44711</v>
      </c>
      <c r="K378" t="s">
        <v>450</v>
      </c>
      <c r="L378" t="s">
        <v>17</v>
      </c>
      <c r="M378" t="s">
        <v>34</v>
      </c>
      <c r="N378" t="s">
        <v>180</v>
      </c>
    </row>
    <row r="379" spans="1:14" x14ac:dyDescent="0.25">
      <c r="A379" t="s">
        <v>449</v>
      </c>
      <c r="B379">
        <v>9200</v>
      </c>
      <c r="C379">
        <v>809</v>
      </c>
      <c r="E379">
        <v>13</v>
      </c>
      <c r="F379" t="s">
        <v>13</v>
      </c>
      <c r="G379" t="s">
        <v>39</v>
      </c>
      <c r="H379" t="s">
        <v>65</v>
      </c>
      <c r="J379" s="1">
        <v>44711</v>
      </c>
      <c r="K379" t="s">
        <v>450</v>
      </c>
      <c r="L379" t="s">
        <v>17</v>
      </c>
      <c r="M379" t="s">
        <v>34</v>
      </c>
      <c r="N379" t="s">
        <v>180</v>
      </c>
    </row>
    <row r="380" spans="1:14" x14ac:dyDescent="0.25">
      <c r="A380" t="s">
        <v>451</v>
      </c>
      <c r="B380">
        <v>6113</v>
      </c>
      <c r="C380">
        <v>2508</v>
      </c>
      <c r="E380">
        <v>6</v>
      </c>
      <c r="F380" t="s">
        <v>13</v>
      </c>
      <c r="G380" t="s">
        <v>39</v>
      </c>
      <c r="H380" t="s">
        <v>15</v>
      </c>
      <c r="J380" s="1">
        <v>45459</v>
      </c>
      <c r="K380" t="s">
        <v>452</v>
      </c>
      <c r="L380" t="s">
        <v>17</v>
      </c>
      <c r="M380" t="s">
        <v>34</v>
      </c>
      <c r="N380" t="s">
        <v>262</v>
      </c>
    </row>
    <row r="381" spans="1:14" x14ac:dyDescent="0.25">
      <c r="A381" t="s">
        <v>451</v>
      </c>
      <c r="B381">
        <v>7733</v>
      </c>
      <c r="C381">
        <v>2784</v>
      </c>
      <c r="E381">
        <v>15</v>
      </c>
      <c r="F381" t="s">
        <v>45</v>
      </c>
      <c r="G381" t="s">
        <v>46</v>
      </c>
      <c r="H381" t="s">
        <v>40</v>
      </c>
      <c r="J381" s="1">
        <v>45459</v>
      </c>
      <c r="K381" t="s">
        <v>452</v>
      </c>
      <c r="L381" t="s">
        <v>17</v>
      </c>
      <c r="M381" t="s">
        <v>34</v>
      </c>
      <c r="N381" t="s">
        <v>262</v>
      </c>
    </row>
    <row r="382" spans="1:14" x14ac:dyDescent="0.25">
      <c r="A382" t="s">
        <v>451</v>
      </c>
      <c r="B382">
        <v>8524</v>
      </c>
      <c r="C382">
        <v>154</v>
      </c>
      <c r="E382">
        <v>14</v>
      </c>
      <c r="F382" t="s">
        <v>45</v>
      </c>
      <c r="G382" t="s">
        <v>46</v>
      </c>
      <c r="H382" t="s">
        <v>65</v>
      </c>
      <c r="J382" s="1">
        <v>45459</v>
      </c>
      <c r="K382" t="s">
        <v>452</v>
      </c>
      <c r="L382" t="s">
        <v>17</v>
      </c>
      <c r="M382" t="s">
        <v>34</v>
      </c>
      <c r="N382" t="s">
        <v>262</v>
      </c>
    </row>
    <row r="383" spans="1:14" x14ac:dyDescent="0.25">
      <c r="A383" t="s">
        <v>451</v>
      </c>
      <c r="B383">
        <v>6187</v>
      </c>
      <c r="C383">
        <v>2344</v>
      </c>
      <c r="E383">
        <v>15</v>
      </c>
      <c r="F383" t="s">
        <v>45</v>
      </c>
      <c r="G383" t="s">
        <v>109</v>
      </c>
      <c r="H383" t="s">
        <v>40</v>
      </c>
      <c r="J383" s="1">
        <v>45459</v>
      </c>
      <c r="K383" t="s">
        <v>452</v>
      </c>
      <c r="L383" t="s">
        <v>17</v>
      </c>
      <c r="M383" t="s">
        <v>34</v>
      </c>
      <c r="N383" t="s">
        <v>262</v>
      </c>
    </row>
    <row r="384" spans="1:14" x14ac:dyDescent="0.25">
      <c r="A384" t="s">
        <v>453</v>
      </c>
      <c r="B384">
        <v>4364</v>
      </c>
      <c r="C384">
        <v>148</v>
      </c>
      <c r="E384">
        <v>18</v>
      </c>
      <c r="F384" t="s">
        <v>45</v>
      </c>
      <c r="G384" t="s">
        <v>46</v>
      </c>
      <c r="H384" t="s">
        <v>40</v>
      </c>
      <c r="J384" s="1">
        <v>44757</v>
      </c>
      <c r="K384" t="s">
        <v>454</v>
      </c>
      <c r="L384" t="s">
        <v>98</v>
      </c>
      <c r="M384" t="s">
        <v>107</v>
      </c>
      <c r="N384" t="s">
        <v>418</v>
      </c>
    </row>
    <row r="385" spans="1:14" x14ac:dyDescent="0.25">
      <c r="A385" t="s">
        <v>453</v>
      </c>
      <c r="B385">
        <v>736</v>
      </c>
      <c r="C385">
        <v>286</v>
      </c>
      <c r="E385">
        <v>12</v>
      </c>
      <c r="F385" t="s">
        <v>30</v>
      </c>
      <c r="G385" t="s">
        <v>31</v>
      </c>
      <c r="H385" t="s">
        <v>40</v>
      </c>
      <c r="J385" s="1">
        <v>44757</v>
      </c>
      <c r="K385" t="s">
        <v>454</v>
      </c>
      <c r="L385" t="s">
        <v>98</v>
      </c>
      <c r="M385" t="s">
        <v>107</v>
      </c>
      <c r="N385" t="s">
        <v>418</v>
      </c>
    </row>
    <row r="386" spans="1:14" x14ac:dyDescent="0.25">
      <c r="A386" t="s">
        <v>455</v>
      </c>
      <c r="B386">
        <v>9905</v>
      </c>
      <c r="C386">
        <v>633</v>
      </c>
      <c r="E386">
        <v>17</v>
      </c>
      <c r="F386" t="s">
        <v>30</v>
      </c>
      <c r="G386" t="s">
        <v>31</v>
      </c>
      <c r="H386" t="s">
        <v>40</v>
      </c>
      <c r="J386" s="1">
        <v>44395</v>
      </c>
      <c r="K386" t="s">
        <v>456</v>
      </c>
      <c r="L386" t="s">
        <v>71</v>
      </c>
      <c r="M386" t="s">
        <v>72</v>
      </c>
      <c r="N386" t="s">
        <v>27</v>
      </c>
    </row>
    <row r="387" spans="1:14" x14ac:dyDescent="0.25">
      <c r="A387" t="s">
        <v>455</v>
      </c>
      <c r="B387">
        <v>9905</v>
      </c>
      <c r="C387">
        <v>633</v>
      </c>
      <c r="E387">
        <v>17</v>
      </c>
      <c r="F387" t="s">
        <v>30</v>
      </c>
      <c r="G387" t="s">
        <v>31</v>
      </c>
      <c r="H387" t="s">
        <v>40</v>
      </c>
      <c r="J387" s="1">
        <v>44471</v>
      </c>
      <c r="K387" t="s">
        <v>457</v>
      </c>
      <c r="L387" t="s">
        <v>17</v>
      </c>
      <c r="M387" t="s">
        <v>150</v>
      </c>
      <c r="N387" t="s">
        <v>37</v>
      </c>
    </row>
    <row r="388" spans="1:14" x14ac:dyDescent="0.25">
      <c r="A388" t="s">
        <v>458</v>
      </c>
      <c r="B388">
        <v>2493</v>
      </c>
      <c r="C388">
        <v>1221</v>
      </c>
      <c r="E388">
        <v>9</v>
      </c>
      <c r="F388" t="s">
        <v>30</v>
      </c>
      <c r="G388" t="s">
        <v>64</v>
      </c>
      <c r="H388" t="s">
        <v>47</v>
      </c>
      <c r="J388" s="1">
        <v>45398</v>
      </c>
      <c r="K388" t="s">
        <v>459</v>
      </c>
      <c r="L388" t="s">
        <v>21</v>
      </c>
      <c r="M388" t="s">
        <v>63</v>
      </c>
      <c r="N388" t="s">
        <v>235</v>
      </c>
    </row>
    <row r="389" spans="1:14" x14ac:dyDescent="0.25">
      <c r="A389" t="s">
        <v>458</v>
      </c>
      <c r="B389">
        <v>9849</v>
      </c>
      <c r="C389">
        <v>963</v>
      </c>
      <c r="E389">
        <v>1</v>
      </c>
      <c r="F389" t="s">
        <v>30</v>
      </c>
      <c r="G389" t="s">
        <v>31</v>
      </c>
      <c r="H389" t="s">
        <v>47</v>
      </c>
      <c r="J389" s="1">
        <v>45398</v>
      </c>
      <c r="K389" t="s">
        <v>459</v>
      </c>
      <c r="L389" t="s">
        <v>21</v>
      </c>
      <c r="M389" t="s">
        <v>63</v>
      </c>
      <c r="N389" t="s">
        <v>235</v>
      </c>
    </row>
    <row r="390" spans="1:14" x14ac:dyDescent="0.25">
      <c r="A390" t="s">
        <v>460</v>
      </c>
      <c r="B390">
        <v>3423</v>
      </c>
      <c r="C390">
        <v>804</v>
      </c>
      <c r="E390">
        <v>4</v>
      </c>
      <c r="F390" t="s">
        <v>13</v>
      </c>
      <c r="G390" t="s">
        <v>28</v>
      </c>
      <c r="H390" t="s">
        <v>47</v>
      </c>
      <c r="J390" s="1">
        <v>44021</v>
      </c>
      <c r="K390" t="s">
        <v>461</v>
      </c>
      <c r="L390" t="s">
        <v>21</v>
      </c>
      <c r="M390" t="s">
        <v>172</v>
      </c>
      <c r="N390" t="s">
        <v>462</v>
      </c>
    </row>
    <row r="391" spans="1:14" x14ac:dyDescent="0.25">
      <c r="A391" t="s">
        <v>460</v>
      </c>
      <c r="B391">
        <v>3423</v>
      </c>
      <c r="C391">
        <v>804</v>
      </c>
      <c r="E391">
        <v>4</v>
      </c>
      <c r="F391" t="s">
        <v>13</v>
      </c>
      <c r="G391" t="s">
        <v>28</v>
      </c>
      <c r="H391" t="s">
        <v>47</v>
      </c>
      <c r="J391" s="1">
        <v>44037</v>
      </c>
      <c r="K391" t="s">
        <v>463</v>
      </c>
      <c r="L391" t="s">
        <v>71</v>
      </c>
      <c r="M391" t="s">
        <v>72</v>
      </c>
      <c r="N391" t="s">
        <v>462</v>
      </c>
    </row>
    <row r="392" spans="1:14" x14ac:dyDescent="0.25">
      <c r="A392" t="s">
        <v>460</v>
      </c>
      <c r="B392">
        <v>3423</v>
      </c>
      <c r="C392">
        <v>804</v>
      </c>
      <c r="E392">
        <v>4</v>
      </c>
      <c r="F392" t="s">
        <v>13</v>
      </c>
      <c r="G392" t="s">
        <v>28</v>
      </c>
      <c r="H392" t="s">
        <v>47</v>
      </c>
      <c r="J392" s="1">
        <v>45315</v>
      </c>
      <c r="K392" t="s">
        <v>464</v>
      </c>
      <c r="L392" t="s">
        <v>71</v>
      </c>
      <c r="M392" t="s">
        <v>86</v>
      </c>
      <c r="N392" t="s">
        <v>76</v>
      </c>
    </row>
    <row r="393" spans="1:14" x14ac:dyDescent="0.25">
      <c r="A393" t="s">
        <v>460</v>
      </c>
      <c r="B393">
        <v>3423</v>
      </c>
      <c r="C393">
        <v>804</v>
      </c>
      <c r="E393">
        <v>4</v>
      </c>
      <c r="F393" t="s">
        <v>13</v>
      </c>
      <c r="G393" t="s">
        <v>28</v>
      </c>
      <c r="H393" t="s">
        <v>47</v>
      </c>
      <c r="J393" s="1">
        <v>43955</v>
      </c>
      <c r="K393" t="s">
        <v>465</v>
      </c>
      <c r="L393" t="s">
        <v>71</v>
      </c>
      <c r="M393" t="s">
        <v>72</v>
      </c>
      <c r="N393" t="s">
        <v>59</v>
      </c>
    </row>
    <row r="394" spans="1:14" x14ac:dyDescent="0.25">
      <c r="A394" t="s">
        <v>460</v>
      </c>
      <c r="B394">
        <v>3423</v>
      </c>
      <c r="C394">
        <v>804</v>
      </c>
      <c r="E394">
        <v>4</v>
      </c>
      <c r="F394" t="s">
        <v>13</v>
      </c>
      <c r="G394" t="s">
        <v>28</v>
      </c>
      <c r="H394" t="s">
        <v>47</v>
      </c>
      <c r="J394" s="1">
        <v>44513</v>
      </c>
      <c r="K394" t="s">
        <v>466</v>
      </c>
      <c r="L394" t="s">
        <v>98</v>
      </c>
      <c r="M394" t="s">
        <v>107</v>
      </c>
      <c r="N394" t="s">
        <v>175</v>
      </c>
    </row>
    <row r="395" spans="1:14" x14ac:dyDescent="0.25">
      <c r="A395" t="s">
        <v>467</v>
      </c>
      <c r="B395">
        <v>3900</v>
      </c>
      <c r="C395">
        <v>115</v>
      </c>
      <c r="E395">
        <v>9</v>
      </c>
      <c r="F395" t="s">
        <v>45</v>
      </c>
      <c r="G395" t="s">
        <v>49</v>
      </c>
      <c r="H395" t="s">
        <v>65</v>
      </c>
      <c r="J395" s="1">
        <v>45206</v>
      </c>
      <c r="K395" t="s">
        <v>468</v>
      </c>
      <c r="L395" t="s">
        <v>21</v>
      </c>
      <c r="M395" t="s">
        <v>63</v>
      </c>
      <c r="N395" t="s">
        <v>442</v>
      </c>
    </row>
    <row r="396" spans="1:14" x14ac:dyDescent="0.25">
      <c r="A396" t="s">
        <v>469</v>
      </c>
      <c r="B396">
        <v>8568</v>
      </c>
      <c r="C396">
        <v>2419</v>
      </c>
      <c r="E396">
        <v>11</v>
      </c>
      <c r="F396" t="s">
        <v>13</v>
      </c>
      <c r="G396" t="s">
        <v>14</v>
      </c>
      <c r="H396" t="s">
        <v>15</v>
      </c>
      <c r="J396" s="1">
        <v>44492</v>
      </c>
      <c r="K396" t="s">
        <v>470</v>
      </c>
      <c r="L396" t="s">
        <v>25</v>
      </c>
      <c r="M396" t="s">
        <v>68</v>
      </c>
      <c r="N396" t="s">
        <v>37</v>
      </c>
    </row>
    <row r="397" spans="1:14" x14ac:dyDescent="0.25">
      <c r="A397" t="s">
        <v>469</v>
      </c>
      <c r="B397">
        <v>3283</v>
      </c>
      <c r="C397">
        <v>71</v>
      </c>
      <c r="E397">
        <v>6</v>
      </c>
      <c r="F397" t="s">
        <v>30</v>
      </c>
      <c r="G397" t="s">
        <v>31</v>
      </c>
      <c r="H397" t="s">
        <v>40</v>
      </c>
      <c r="J397" s="1">
        <v>44492</v>
      </c>
      <c r="K397" t="s">
        <v>470</v>
      </c>
      <c r="L397" t="s">
        <v>25</v>
      </c>
      <c r="M397" t="s">
        <v>68</v>
      </c>
      <c r="N397" t="s">
        <v>37</v>
      </c>
    </row>
    <row r="398" spans="1:14" x14ac:dyDescent="0.25">
      <c r="A398" t="s">
        <v>471</v>
      </c>
      <c r="B398">
        <v>7643</v>
      </c>
      <c r="C398">
        <v>3720</v>
      </c>
      <c r="E398">
        <v>19</v>
      </c>
      <c r="F398" t="s">
        <v>13</v>
      </c>
      <c r="G398" t="s">
        <v>14</v>
      </c>
      <c r="H398" t="s">
        <v>40</v>
      </c>
      <c r="J398" s="1">
        <v>44760</v>
      </c>
      <c r="K398" t="s">
        <v>472</v>
      </c>
      <c r="L398" t="s">
        <v>71</v>
      </c>
      <c r="M398" t="s">
        <v>72</v>
      </c>
      <c r="N398" t="s">
        <v>418</v>
      </c>
    </row>
    <row r="399" spans="1:14" x14ac:dyDescent="0.25">
      <c r="A399" t="s">
        <v>473</v>
      </c>
      <c r="B399">
        <v>3461</v>
      </c>
      <c r="C399">
        <v>1537</v>
      </c>
      <c r="E399">
        <v>15</v>
      </c>
      <c r="F399" t="s">
        <v>45</v>
      </c>
      <c r="G399" t="s">
        <v>60</v>
      </c>
      <c r="H399" t="s">
        <v>40</v>
      </c>
      <c r="J399" s="1">
        <v>45527</v>
      </c>
      <c r="K399" t="s">
        <v>474</v>
      </c>
      <c r="L399" t="s">
        <v>21</v>
      </c>
      <c r="M399" t="s">
        <v>22</v>
      </c>
      <c r="N399" t="s">
        <v>114</v>
      </c>
    </row>
    <row r="400" spans="1:14" x14ac:dyDescent="0.25">
      <c r="A400" t="s">
        <v>473</v>
      </c>
      <c r="B400">
        <v>5714</v>
      </c>
      <c r="C400">
        <v>1438</v>
      </c>
      <c r="E400">
        <v>6</v>
      </c>
      <c r="F400" t="s">
        <v>13</v>
      </c>
      <c r="G400" t="s">
        <v>14</v>
      </c>
      <c r="H400" t="s">
        <v>47</v>
      </c>
      <c r="J400" s="1">
        <v>45527</v>
      </c>
      <c r="K400" t="s">
        <v>474</v>
      </c>
      <c r="L400" t="s">
        <v>21</v>
      </c>
      <c r="M400" t="s">
        <v>22</v>
      </c>
      <c r="N400" t="s">
        <v>114</v>
      </c>
    </row>
    <row r="401" spans="1:14" x14ac:dyDescent="0.25">
      <c r="A401" t="s">
        <v>473</v>
      </c>
      <c r="B401">
        <v>3853</v>
      </c>
      <c r="C401">
        <v>1457</v>
      </c>
      <c r="E401">
        <v>10</v>
      </c>
      <c r="F401" t="s">
        <v>30</v>
      </c>
      <c r="G401" t="s">
        <v>78</v>
      </c>
      <c r="H401" t="s">
        <v>65</v>
      </c>
      <c r="J401" s="1">
        <v>45527</v>
      </c>
      <c r="K401" t="s">
        <v>474</v>
      </c>
      <c r="L401" t="s">
        <v>21</v>
      </c>
      <c r="M401" t="s">
        <v>22</v>
      </c>
      <c r="N401" t="s">
        <v>114</v>
      </c>
    </row>
    <row r="402" spans="1:14" x14ac:dyDescent="0.25">
      <c r="A402" t="s">
        <v>475</v>
      </c>
      <c r="B402">
        <v>6016</v>
      </c>
      <c r="C402">
        <v>431</v>
      </c>
      <c r="E402">
        <v>20</v>
      </c>
      <c r="F402" t="s">
        <v>30</v>
      </c>
      <c r="G402" t="s">
        <v>31</v>
      </c>
      <c r="H402" t="s">
        <v>15</v>
      </c>
      <c r="J402" s="1">
        <v>44132</v>
      </c>
      <c r="K402" t="s">
        <v>476</v>
      </c>
      <c r="L402" t="s">
        <v>21</v>
      </c>
      <c r="M402" t="s">
        <v>22</v>
      </c>
      <c r="N402" t="s">
        <v>119</v>
      </c>
    </row>
    <row r="403" spans="1:14" x14ac:dyDescent="0.25">
      <c r="A403" t="s">
        <v>477</v>
      </c>
      <c r="B403">
        <v>1290</v>
      </c>
      <c r="C403">
        <v>204</v>
      </c>
      <c r="E403">
        <v>12</v>
      </c>
      <c r="F403" t="s">
        <v>30</v>
      </c>
      <c r="G403" t="s">
        <v>57</v>
      </c>
      <c r="H403" t="s">
        <v>15</v>
      </c>
      <c r="J403" s="1">
        <v>45458</v>
      </c>
      <c r="K403" t="s">
        <v>478</v>
      </c>
      <c r="L403" t="s">
        <v>25</v>
      </c>
      <c r="M403" t="s">
        <v>26</v>
      </c>
      <c r="N403" t="s">
        <v>262</v>
      </c>
    </row>
    <row r="404" spans="1:14" x14ac:dyDescent="0.25">
      <c r="A404" t="s">
        <v>477</v>
      </c>
      <c r="B404">
        <v>1290</v>
      </c>
      <c r="C404">
        <v>204</v>
      </c>
      <c r="E404">
        <v>12</v>
      </c>
      <c r="F404" t="s">
        <v>30</v>
      </c>
      <c r="G404" t="s">
        <v>57</v>
      </c>
      <c r="H404" t="s">
        <v>15</v>
      </c>
      <c r="J404" s="1">
        <v>45645</v>
      </c>
      <c r="K404" t="s">
        <v>479</v>
      </c>
      <c r="L404" t="s">
        <v>42</v>
      </c>
      <c r="M404" t="s">
        <v>92</v>
      </c>
      <c r="N404" t="s">
        <v>23</v>
      </c>
    </row>
    <row r="405" spans="1:14" x14ac:dyDescent="0.25">
      <c r="A405" t="s">
        <v>480</v>
      </c>
      <c r="B405">
        <v>4569</v>
      </c>
      <c r="C405">
        <v>1693</v>
      </c>
      <c r="E405">
        <v>10</v>
      </c>
      <c r="F405" t="s">
        <v>13</v>
      </c>
      <c r="G405" t="s">
        <v>28</v>
      </c>
      <c r="H405" t="s">
        <v>15</v>
      </c>
      <c r="J405" s="1">
        <v>44078</v>
      </c>
      <c r="K405" t="s">
        <v>481</v>
      </c>
      <c r="L405" t="s">
        <v>21</v>
      </c>
      <c r="M405" t="s">
        <v>63</v>
      </c>
      <c r="N405" t="s">
        <v>389</v>
      </c>
    </row>
    <row r="406" spans="1:14" x14ac:dyDescent="0.25">
      <c r="A406" t="s">
        <v>482</v>
      </c>
      <c r="B406">
        <v>3083</v>
      </c>
      <c r="C406">
        <v>1151</v>
      </c>
      <c r="E406">
        <v>16</v>
      </c>
      <c r="F406" t="s">
        <v>45</v>
      </c>
      <c r="G406" t="s">
        <v>109</v>
      </c>
      <c r="H406" t="s">
        <v>32</v>
      </c>
      <c r="J406" s="1">
        <v>44667</v>
      </c>
      <c r="K406" t="s">
        <v>483</v>
      </c>
      <c r="L406" t="s">
        <v>17</v>
      </c>
      <c r="M406" t="s">
        <v>34</v>
      </c>
      <c r="N406" t="s">
        <v>187</v>
      </c>
    </row>
    <row r="407" spans="1:14" x14ac:dyDescent="0.25">
      <c r="A407" t="s">
        <v>484</v>
      </c>
      <c r="B407">
        <v>3522</v>
      </c>
      <c r="C407">
        <v>898</v>
      </c>
      <c r="E407">
        <v>15</v>
      </c>
      <c r="F407" t="s">
        <v>30</v>
      </c>
      <c r="G407" t="s">
        <v>31</v>
      </c>
      <c r="H407" t="s">
        <v>47</v>
      </c>
      <c r="J407" s="1">
        <v>45533</v>
      </c>
      <c r="K407" t="s">
        <v>485</v>
      </c>
      <c r="L407" t="s">
        <v>98</v>
      </c>
      <c r="M407" t="s">
        <v>117</v>
      </c>
      <c r="N407" t="s">
        <v>114</v>
      </c>
    </row>
    <row r="408" spans="1:14" x14ac:dyDescent="0.25">
      <c r="A408" t="s">
        <v>484</v>
      </c>
      <c r="B408">
        <v>3522</v>
      </c>
      <c r="C408">
        <v>898</v>
      </c>
      <c r="E408">
        <v>15</v>
      </c>
      <c r="F408" t="s">
        <v>30</v>
      </c>
      <c r="G408" t="s">
        <v>31</v>
      </c>
      <c r="H408" t="s">
        <v>47</v>
      </c>
      <c r="J408" s="1">
        <v>44575</v>
      </c>
      <c r="K408" t="s">
        <v>486</v>
      </c>
      <c r="L408" t="s">
        <v>42</v>
      </c>
      <c r="M408" t="s">
        <v>43</v>
      </c>
      <c r="N408" t="s">
        <v>87</v>
      </c>
    </row>
    <row r="409" spans="1:14" x14ac:dyDescent="0.25">
      <c r="A409" t="s">
        <v>487</v>
      </c>
      <c r="B409">
        <v>7301</v>
      </c>
      <c r="C409">
        <v>3602</v>
      </c>
      <c r="E409">
        <v>3</v>
      </c>
      <c r="F409" t="s">
        <v>30</v>
      </c>
      <c r="G409" t="s">
        <v>78</v>
      </c>
      <c r="H409" t="s">
        <v>32</v>
      </c>
      <c r="J409" s="1">
        <v>45389</v>
      </c>
      <c r="K409" t="s">
        <v>488</v>
      </c>
      <c r="L409" t="s">
        <v>71</v>
      </c>
      <c r="M409" t="s">
        <v>138</v>
      </c>
      <c r="N409" t="s">
        <v>235</v>
      </c>
    </row>
    <row r="410" spans="1:14" x14ac:dyDescent="0.25">
      <c r="A410" t="s">
        <v>489</v>
      </c>
      <c r="B410">
        <v>4462</v>
      </c>
      <c r="C410">
        <v>121</v>
      </c>
      <c r="E410">
        <v>8</v>
      </c>
      <c r="F410" t="s">
        <v>13</v>
      </c>
      <c r="G410" t="s">
        <v>39</v>
      </c>
      <c r="H410" t="s">
        <v>65</v>
      </c>
      <c r="J410" s="1">
        <v>44675</v>
      </c>
      <c r="K410" t="s">
        <v>490</v>
      </c>
      <c r="L410" t="s">
        <v>21</v>
      </c>
      <c r="M410" t="s">
        <v>63</v>
      </c>
      <c r="N410" t="s">
        <v>187</v>
      </c>
    </row>
    <row r="411" spans="1:14" x14ac:dyDescent="0.25">
      <c r="A411" t="s">
        <v>489</v>
      </c>
      <c r="B411">
        <v>6212</v>
      </c>
      <c r="C411">
        <v>1881</v>
      </c>
      <c r="E411">
        <v>17</v>
      </c>
      <c r="F411" t="s">
        <v>13</v>
      </c>
      <c r="G411" t="s">
        <v>82</v>
      </c>
      <c r="H411" t="s">
        <v>65</v>
      </c>
      <c r="J411" s="1">
        <v>44675</v>
      </c>
      <c r="K411" t="s">
        <v>490</v>
      </c>
      <c r="L411" t="s">
        <v>21</v>
      </c>
      <c r="M411" t="s">
        <v>63</v>
      </c>
      <c r="N411" t="s">
        <v>187</v>
      </c>
    </row>
    <row r="412" spans="1:14" x14ac:dyDescent="0.25">
      <c r="A412" t="s">
        <v>491</v>
      </c>
      <c r="B412">
        <v>4027</v>
      </c>
      <c r="C412">
        <v>1386</v>
      </c>
      <c r="E412">
        <v>3</v>
      </c>
      <c r="F412" t="s">
        <v>45</v>
      </c>
      <c r="G412" t="s">
        <v>109</v>
      </c>
      <c r="H412" t="s">
        <v>40</v>
      </c>
      <c r="J412" s="1">
        <v>44070</v>
      </c>
      <c r="K412" t="s">
        <v>492</v>
      </c>
      <c r="L412" t="s">
        <v>17</v>
      </c>
      <c r="M412" t="s">
        <v>150</v>
      </c>
      <c r="N412" t="s">
        <v>185</v>
      </c>
    </row>
    <row r="413" spans="1:14" x14ac:dyDescent="0.25">
      <c r="A413" t="s">
        <v>493</v>
      </c>
      <c r="B413">
        <v>1676</v>
      </c>
      <c r="C413">
        <v>330</v>
      </c>
      <c r="E413">
        <v>14</v>
      </c>
      <c r="F413" t="s">
        <v>13</v>
      </c>
      <c r="G413" t="s">
        <v>39</v>
      </c>
      <c r="H413" t="s">
        <v>40</v>
      </c>
      <c r="J413" s="1">
        <v>44986</v>
      </c>
      <c r="K413" t="s">
        <v>494</v>
      </c>
      <c r="L413" t="s">
        <v>98</v>
      </c>
      <c r="M413" t="s">
        <v>117</v>
      </c>
      <c r="N413" t="s">
        <v>245</v>
      </c>
    </row>
    <row r="414" spans="1:14" x14ac:dyDescent="0.25">
      <c r="A414" t="s">
        <v>493</v>
      </c>
      <c r="B414">
        <v>3927</v>
      </c>
      <c r="C414">
        <v>1133</v>
      </c>
      <c r="E414">
        <v>12</v>
      </c>
      <c r="F414" t="s">
        <v>45</v>
      </c>
      <c r="G414" t="s">
        <v>109</v>
      </c>
      <c r="H414" t="s">
        <v>65</v>
      </c>
      <c r="J414" s="1">
        <v>44986</v>
      </c>
      <c r="K414" t="s">
        <v>494</v>
      </c>
      <c r="L414" t="s">
        <v>98</v>
      </c>
      <c r="M414" t="s">
        <v>117</v>
      </c>
      <c r="N414" t="s">
        <v>245</v>
      </c>
    </row>
    <row r="415" spans="1:14" x14ac:dyDescent="0.25">
      <c r="A415" t="s">
        <v>493</v>
      </c>
      <c r="B415">
        <v>2776</v>
      </c>
      <c r="C415">
        <v>887</v>
      </c>
      <c r="E415">
        <v>9</v>
      </c>
      <c r="F415" t="s">
        <v>13</v>
      </c>
      <c r="G415" t="s">
        <v>82</v>
      </c>
      <c r="H415" t="s">
        <v>32</v>
      </c>
      <c r="J415" s="1">
        <v>44986</v>
      </c>
      <c r="K415" t="s">
        <v>494</v>
      </c>
      <c r="L415" t="s">
        <v>98</v>
      </c>
      <c r="M415" t="s">
        <v>117</v>
      </c>
      <c r="N415" t="s">
        <v>245</v>
      </c>
    </row>
    <row r="416" spans="1:14" x14ac:dyDescent="0.25">
      <c r="A416" t="s">
        <v>495</v>
      </c>
      <c r="B416">
        <v>7684</v>
      </c>
      <c r="C416">
        <v>1157</v>
      </c>
      <c r="E416">
        <v>12</v>
      </c>
      <c r="F416" t="s">
        <v>45</v>
      </c>
      <c r="G416" t="s">
        <v>60</v>
      </c>
      <c r="H416" t="s">
        <v>65</v>
      </c>
      <c r="J416" s="1">
        <v>44106</v>
      </c>
      <c r="K416" t="s">
        <v>496</v>
      </c>
      <c r="L416" t="s">
        <v>21</v>
      </c>
      <c r="M416" t="s">
        <v>22</v>
      </c>
      <c r="N416" t="s">
        <v>119</v>
      </c>
    </row>
    <row r="417" spans="1:14" x14ac:dyDescent="0.25">
      <c r="A417" t="s">
        <v>495</v>
      </c>
      <c r="B417">
        <v>7684</v>
      </c>
      <c r="C417">
        <v>1157</v>
      </c>
      <c r="E417">
        <v>12</v>
      </c>
      <c r="F417" t="s">
        <v>45</v>
      </c>
      <c r="G417" t="s">
        <v>60</v>
      </c>
      <c r="H417" t="s">
        <v>65</v>
      </c>
      <c r="J417" s="1">
        <v>44005</v>
      </c>
      <c r="K417" t="s">
        <v>497</v>
      </c>
      <c r="L417" t="s">
        <v>25</v>
      </c>
      <c r="M417" t="s">
        <v>26</v>
      </c>
      <c r="N417" t="s">
        <v>313</v>
      </c>
    </row>
    <row r="418" spans="1:14" x14ac:dyDescent="0.25">
      <c r="A418" t="s">
        <v>495</v>
      </c>
      <c r="B418">
        <v>7684</v>
      </c>
      <c r="C418">
        <v>1157</v>
      </c>
      <c r="E418">
        <v>12</v>
      </c>
      <c r="F418" t="s">
        <v>45</v>
      </c>
      <c r="G418" t="s">
        <v>60</v>
      </c>
      <c r="H418" t="s">
        <v>65</v>
      </c>
      <c r="J418" s="1">
        <v>45159</v>
      </c>
      <c r="K418" t="s">
        <v>498</v>
      </c>
      <c r="L418" t="s">
        <v>98</v>
      </c>
      <c r="M418" t="s">
        <v>99</v>
      </c>
      <c r="N418" t="s">
        <v>121</v>
      </c>
    </row>
    <row r="419" spans="1:14" x14ac:dyDescent="0.25">
      <c r="A419" t="s">
        <v>499</v>
      </c>
      <c r="B419">
        <v>6008</v>
      </c>
      <c r="C419">
        <v>2498</v>
      </c>
      <c r="E419">
        <v>17</v>
      </c>
      <c r="F419" t="s">
        <v>13</v>
      </c>
      <c r="G419" t="s">
        <v>82</v>
      </c>
      <c r="H419" t="s">
        <v>47</v>
      </c>
      <c r="J419" s="1">
        <v>44758</v>
      </c>
      <c r="K419" t="s">
        <v>500</v>
      </c>
      <c r="L419" t="s">
        <v>17</v>
      </c>
      <c r="M419" t="s">
        <v>18</v>
      </c>
      <c r="N419" t="s">
        <v>418</v>
      </c>
    </row>
    <row r="420" spans="1:14" x14ac:dyDescent="0.25">
      <c r="A420" t="s">
        <v>501</v>
      </c>
      <c r="B420">
        <v>7344</v>
      </c>
      <c r="C420">
        <v>2598</v>
      </c>
      <c r="E420">
        <v>20</v>
      </c>
      <c r="F420" t="s">
        <v>45</v>
      </c>
      <c r="G420" t="s">
        <v>109</v>
      </c>
      <c r="H420" t="s">
        <v>65</v>
      </c>
      <c r="J420" s="1">
        <v>44774</v>
      </c>
      <c r="K420" t="s">
        <v>502</v>
      </c>
      <c r="L420" t="s">
        <v>71</v>
      </c>
      <c r="M420" t="s">
        <v>72</v>
      </c>
      <c r="N420" t="s">
        <v>209</v>
      </c>
    </row>
    <row r="421" spans="1:14" x14ac:dyDescent="0.25">
      <c r="A421" t="s">
        <v>503</v>
      </c>
      <c r="B421">
        <v>6932</v>
      </c>
      <c r="C421">
        <v>3218</v>
      </c>
      <c r="E421">
        <v>20</v>
      </c>
      <c r="F421" t="s">
        <v>30</v>
      </c>
      <c r="G421" t="s">
        <v>31</v>
      </c>
      <c r="H421" t="s">
        <v>65</v>
      </c>
      <c r="J421" s="1">
        <v>44028</v>
      </c>
      <c r="K421" t="s">
        <v>504</v>
      </c>
      <c r="L421" t="s">
        <v>17</v>
      </c>
      <c r="M421" t="s">
        <v>34</v>
      </c>
      <c r="N421" t="s">
        <v>462</v>
      </c>
    </row>
    <row r="422" spans="1:14" x14ac:dyDescent="0.25">
      <c r="A422" t="s">
        <v>505</v>
      </c>
      <c r="B422">
        <v>7748</v>
      </c>
      <c r="C422">
        <v>1706</v>
      </c>
      <c r="E422">
        <v>16</v>
      </c>
      <c r="F422" t="s">
        <v>13</v>
      </c>
      <c r="G422" t="s">
        <v>14</v>
      </c>
      <c r="H422" t="s">
        <v>40</v>
      </c>
      <c r="J422" s="1">
        <v>43953</v>
      </c>
      <c r="K422" t="s">
        <v>506</v>
      </c>
      <c r="L422" t="s">
        <v>98</v>
      </c>
      <c r="M422" t="s">
        <v>107</v>
      </c>
      <c r="N422" t="s">
        <v>59</v>
      </c>
    </row>
    <row r="423" spans="1:14" x14ac:dyDescent="0.25">
      <c r="A423" t="s">
        <v>505</v>
      </c>
      <c r="B423">
        <v>6381</v>
      </c>
      <c r="C423">
        <v>2763</v>
      </c>
      <c r="E423">
        <v>20</v>
      </c>
      <c r="F423" t="s">
        <v>30</v>
      </c>
      <c r="G423" t="s">
        <v>57</v>
      </c>
      <c r="H423" t="s">
        <v>15</v>
      </c>
      <c r="J423" s="1">
        <v>43953</v>
      </c>
      <c r="K423" t="s">
        <v>506</v>
      </c>
      <c r="L423" t="s">
        <v>98</v>
      </c>
      <c r="M423" t="s">
        <v>107</v>
      </c>
      <c r="N423" t="s">
        <v>59</v>
      </c>
    </row>
    <row r="424" spans="1:14" x14ac:dyDescent="0.25">
      <c r="A424" t="s">
        <v>505</v>
      </c>
      <c r="B424">
        <v>992</v>
      </c>
      <c r="C424">
        <v>64</v>
      </c>
      <c r="E424">
        <v>6</v>
      </c>
      <c r="F424" t="s">
        <v>13</v>
      </c>
      <c r="G424" t="s">
        <v>82</v>
      </c>
      <c r="H424" t="s">
        <v>47</v>
      </c>
      <c r="J424" s="1">
        <v>43953</v>
      </c>
      <c r="K424" t="s">
        <v>506</v>
      </c>
      <c r="L424" t="s">
        <v>98</v>
      </c>
      <c r="M424" t="s">
        <v>107</v>
      </c>
      <c r="N424" t="s">
        <v>59</v>
      </c>
    </row>
    <row r="425" spans="1:14" x14ac:dyDescent="0.25">
      <c r="A425" t="s">
        <v>507</v>
      </c>
      <c r="B425">
        <v>8649</v>
      </c>
      <c r="C425">
        <v>2631</v>
      </c>
      <c r="E425">
        <v>13</v>
      </c>
      <c r="F425" t="s">
        <v>13</v>
      </c>
      <c r="G425" t="s">
        <v>39</v>
      </c>
      <c r="H425" t="s">
        <v>40</v>
      </c>
      <c r="J425" s="1">
        <v>45301</v>
      </c>
      <c r="K425" t="s">
        <v>508</v>
      </c>
      <c r="L425" t="s">
        <v>42</v>
      </c>
      <c r="M425" t="s">
        <v>92</v>
      </c>
      <c r="N425" t="s">
        <v>76</v>
      </c>
    </row>
    <row r="426" spans="1:14" x14ac:dyDescent="0.25">
      <c r="A426" t="s">
        <v>507</v>
      </c>
      <c r="B426">
        <v>8649</v>
      </c>
      <c r="C426">
        <v>2631</v>
      </c>
      <c r="E426">
        <v>13</v>
      </c>
      <c r="F426" t="s">
        <v>13</v>
      </c>
      <c r="G426" t="s">
        <v>39</v>
      </c>
      <c r="H426" t="s">
        <v>40</v>
      </c>
      <c r="J426" s="1">
        <v>44104</v>
      </c>
      <c r="K426" t="s">
        <v>509</v>
      </c>
      <c r="L426" t="s">
        <v>25</v>
      </c>
      <c r="M426" t="s">
        <v>68</v>
      </c>
      <c r="N426" t="s">
        <v>389</v>
      </c>
    </row>
    <row r="427" spans="1:14" x14ac:dyDescent="0.25">
      <c r="A427" t="s">
        <v>510</v>
      </c>
      <c r="B427">
        <v>4099</v>
      </c>
      <c r="C427">
        <v>52</v>
      </c>
      <c r="E427">
        <v>18</v>
      </c>
      <c r="F427" t="s">
        <v>13</v>
      </c>
      <c r="G427" t="s">
        <v>39</v>
      </c>
      <c r="H427" t="s">
        <v>15</v>
      </c>
      <c r="J427" s="1">
        <v>44648</v>
      </c>
      <c r="K427" t="s">
        <v>511</v>
      </c>
      <c r="L427" t="s">
        <v>25</v>
      </c>
      <c r="M427" t="s">
        <v>51</v>
      </c>
      <c r="N427" t="s">
        <v>134</v>
      </c>
    </row>
    <row r="428" spans="1:14" x14ac:dyDescent="0.25">
      <c r="A428" t="s">
        <v>512</v>
      </c>
      <c r="B428">
        <v>2539</v>
      </c>
      <c r="C428">
        <v>324</v>
      </c>
      <c r="E428">
        <v>5</v>
      </c>
      <c r="F428" t="s">
        <v>13</v>
      </c>
      <c r="G428" t="s">
        <v>14</v>
      </c>
      <c r="H428" t="s">
        <v>15</v>
      </c>
      <c r="J428" s="1">
        <v>44226</v>
      </c>
      <c r="K428" t="s">
        <v>513</v>
      </c>
      <c r="L428" t="s">
        <v>42</v>
      </c>
      <c r="M428" t="s">
        <v>92</v>
      </c>
      <c r="N428" t="s">
        <v>276</v>
      </c>
    </row>
    <row r="429" spans="1:14" x14ac:dyDescent="0.25">
      <c r="A429" t="s">
        <v>514</v>
      </c>
      <c r="B429">
        <v>9845</v>
      </c>
      <c r="C429">
        <v>3062</v>
      </c>
      <c r="E429">
        <v>9</v>
      </c>
      <c r="F429" t="s">
        <v>30</v>
      </c>
      <c r="G429" t="s">
        <v>64</v>
      </c>
      <c r="H429" t="s">
        <v>65</v>
      </c>
      <c r="J429" s="1">
        <v>45730</v>
      </c>
      <c r="K429" t="s">
        <v>515</v>
      </c>
      <c r="L429" t="s">
        <v>17</v>
      </c>
      <c r="M429" t="s">
        <v>34</v>
      </c>
      <c r="N429" t="s">
        <v>157</v>
      </c>
    </row>
    <row r="430" spans="1:14" x14ac:dyDescent="0.25">
      <c r="A430" t="s">
        <v>516</v>
      </c>
      <c r="B430">
        <v>2901</v>
      </c>
      <c r="C430">
        <v>1411</v>
      </c>
      <c r="E430">
        <v>2</v>
      </c>
      <c r="F430" t="s">
        <v>30</v>
      </c>
      <c r="G430" t="s">
        <v>64</v>
      </c>
      <c r="H430" t="s">
        <v>32</v>
      </c>
      <c r="J430" s="1">
        <v>44495</v>
      </c>
      <c r="K430" t="s">
        <v>517</v>
      </c>
      <c r="L430" t="s">
        <v>71</v>
      </c>
      <c r="M430" t="s">
        <v>86</v>
      </c>
      <c r="N430" t="s">
        <v>37</v>
      </c>
    </row>
    <row r="431" spans="1:14" x14ac:dyDescent="0.25">
      <c r="A431" t="s">
        <v>516</v>
      </c>
      <c r="B431">
        <v>2901</v>
      </c>
      <c r="C431">
        <v>1411</v>
      </c>
      <c r="E431">
        <v>2</v>
      </c>
      <c r="F431" t="s">
        <v>30</v>
      </c>
      <c r="G431" t="s">
        <v>64</v>
      </c>
      <c r="H431" t="s">
        <v>32</v>
      </c>
      <c r="J431" s="1">
        <v>44937</v>
      </c>
      <c r="K431" t="s">
        <v>518</v>
      </c>
      <c r="L431" t="s">
        <v>42</v>
      </c>
      <c r="M431" t="s">
        <v>43</v>
      </c>
      <c r="N431" t="s">
        <v>333</v>
      </c>
    </row>
    <row r="432" spans="1:14" x14ac:dyDescent="0.25">
      <c r="A432" t="s">
        <v>516</v>
      </c>
      <c r="B432">
        <v>6934</v>
      </c>
      <c r="C432">
        <v>1152</v>
      </c>
      <c r="E432">
        <v>6</v>
      </c>
      <c r="F432" t="s">
        <v>30</v>
      </c>
      <c r="G432" t="s">
        <v>31</v>
      </c>
      <c r="H432" t="s">
        <v>47</v>
      </c>
      <c r="J432" s="1">
        <v>44495</v>
      </c>
      <c r="K432" t="s">
        <v>517</v>
      </c>
      <c r="L432" t="s">
        <v>71</v>
      </c>
      <c r="M432" t="s">
        <v>86</v>
      </c>
      <c r="N432" t="s">
        <v>37</v>
      </c>
    </row>
    <row r="433" spans="1:14" x14ac:dyDescent="0.25">
      <c r="A433" t="s">
        <v>516</v>
      </c>
      <c r="B433">
        <v>6934</v>
      </c>
      <c r="C433">
        <v>1152</v>
      </c>
      <c r="E433">
        <v>6</v>
      </c>
      <c r="F433" t="s">
        <v>30</v>
      </c>
      <c r="G433" t="s">
        <v>31</v>
      </c>
      <c r="H433" t="s">
        <v>47</v>
      </c>
      <c r="J433" s="1">
        <v>44937</v>
      </c>
      <c r="K433" t="s">
        <v>518</v>
      </c>
      <c r="L433" t="s">
        <v>42</v>
      </c>
      <c r="M433" t="s">
        <v>43</v>
      </c>
      <c r="N433" t="s">
        <v>333</v>
      </c>
    </row>
    <row r="434" spans="1:14" x14ac:dyDescent="0.25">
      <c r="A434" t="s">
        <v>519</v>
      </c>
      <c r="B434">
        <v>9640</v>
      </c>
      <c r="C434">
        <v>2606</v>
      </c>
      <c r="E434">
        <v>2</v>
      </c>
      <c r="F434" t="s">
        <v>45</v>
      </c>
      <c r="G434" t="s">
        <v>109</v>
      </c>
      <c r="H434" t="s">
        <v>47</v>
      </c>
      <c r="J434" s="1">
        <v>44500</v>
      </c>
      <c r="K434" t="s">
        <v>520</v>
      </c>
      <c r="L434" t="s">
        <v>21</v>
      </c>
      <c r="M434" t="s">
        <v>172</v>
      </c>
      <c r="N434" t="s">
        <v>37</v>
      </c>
    </row>
    <row r="435" spans="1:14" x14ac:dyDescent="0.25">
      <c r="A435" t="s">
        <v>521</v>
      </c>
      <c r="B435">
        <v>7930</v>
      </c>
      <c r="C435">
        <v>1981</v>
      </c>
      <c r="E435">
        <v>13</v>
      </c>
      <c r="F435" t="s">
        <v>45</v>
      </c>
      <c r="G435" t="s">
        <v>49</v>
      </c>
      <c r="H435" t="s">
        <v>47</v>
      </c>
      <c r="J435" s="1">
        <v>45050</v>
      </c>
      <c r="K435" t="s">
        <v>522</v>
      </c>
      <c r="L435" t="s">
        <v>98</v>
      </c>
      <c r="M435" t="s">
        <v>117</v>
      </c>
      <c r="N435" t="s">
        <v>127</v>
      </c>
    </row>
    <row r="436" spans="1:14" x14ac:dyDescent="0.25">
      <c r="A436" t="s">
        <v>521</v>
      </c>
      <c r="B436">
        <v>7930</v>
      </c>
      <c r="C436">
        <v>1981</v>
      </c>
      <c r="E436">
        <v>13</v>
      </c>
      <c r="F436" t="s">
        <v>45</v>
      </c>
      <c r="G436" t="s">
        <v>49</v>
      </c>
      <c r="H436" t="s">
        <v>47</v>
      </c>
      <c r="J436" s="1">
        <v>45513</v>
      </c>
      <c r="K436" t="s">
        <v>523</v>
      </c>
      <c r="L436" t="s">
        <v>21</v>
      </c>
      <c r="M436" t="s">
        <v>63</v>
      </c>
      <c r="N436" t="s">
        <v>114</v>
      </c>
    </row>
    <row r="437" spans="1:14" x14ac:dyDescent="0.25">
      <c r="A437" t="s">
        <v>524</v>
      </c>
      <c r="B437">
        <v>9894</v>
      </c>
      <c r="C437">
        <v>829</v>
      </c>
      <c r="E437">
        <v>1</v>
      </c>
      <c r="F437" t="s">
        <v>30</v>
      </c>
      <c r="G437" t="s">
        <v>78</v>
      </c>
      <c r="H437" t="s">
        <v>65</v>
      </c>
      <c r="J437" s="1">
        <v>44794</v>
      </c>
      <c r="K437" t="s">
        <v>525</v>
      </c>
      <c r="L437" t="s">
        <v>42</v>
      </c>
      <c r="M437" t="s">
        <v>75</v>
      </c>
      <c r="N437" t="s">
        <v>209</v>
      </c>
    </row>
    <row r="438" spans="1:14" x14ac:dyDescent="0.25">
      <c r="A438" t="s">
        <v>524</v>
      </c>
      <c r="B438">
        <v>4534</v>
      </c>
      <c r="C438">
        <v>2235</v>
      </c>
      <c r="E438">
        <v>4</v>
      </c>
      <c r="F438" t="s">
        <v>45</v>
      </c>
      <c r="G438" t="s">
        <v>46</v>
      </c>
      <c r="H438" t="s">
        <v>65</v>
      </c>
      <c r="J438" s="1">
        <v>44794</v>
      </c>
      <c r="K438" t="s">
        <v>525</v>
      </c>
      <c r="L438" t="s">
        <v>42</v>
      </c>
      <c r="M438" t="s">
        <v>75</v>
      </c>
      <c r="N438" t="s">
        <v>209</v>
      </c>
    </row>
    <row r="439" spans="1:14" x14ac:dyDescent="0.25">
      <c r="A439" t="s">
        <v>526</v>
      </c>
      <c r="B439">
        <v>4911</v>
      </c>
      <c r="C439">
        <v>186</v>
      </c>
      <c r="E439">
        <v>20</v>
      </c>
      <c r="F439" t="s">
        <v>13</v>
      </c>
      <c r="G439" t="s">
        <v>82</v>
      </c>
      <c r="H439" t="s">
        <v>32</v>
      </c>
      <c r="J439" s="1">
        <v>44731</v>
      </c>
      <c r="K439" t="s">
        <v>527</v>
      </c>
      <c r="L439" t="s">
        <v>25</v>
      </c>
      <c r="M439" t="s">
        <v>26</v>
      </c>
      <c r="N439" t="s">
        <v>165</v>
      </c>
    </row>
    <row r="440" spans="1:14" x14ac:dyDescent="0.25">
      <c r="A440" t="s">
        <v>526</v>
      </c>
      <c r="B440">
        <v>531</v>
      </c>
      <c r="C440">
        <v>189</v>
      </c>
      <c r="E440">
        <v>20</v>
      </c>
      <c r="F440" t="s">
        <v>45</v>
      </c>
      <c r="G440" t="s">
        <v>109</v>
      </c>
      <c r="H440" t="s">
        <v>32</v>
      </c>
      <c r="J440" s="1">
        <v>44731</v>
      </c>
      <c r="K440" t="s">
        <v>527</v>
      </c>
      <c r="L440" t="s">
        <v>25</v>
      </c>
      <c r="M440" t="s">
        <v>26</v>
      </c>
      <c r="N440" t="s">
        <v>165</v>
      </c>
    </row>
    <row r="441" spans="1:14" x14ac:dyDescent="0.25">
      <c r="A441" t="s">
        <v>528</v>
      </c>
      <c r="B441">
        <v>9707</v>
      </c>
      <c r="C441">
        <v>3483</v>
      </c>
      <c r="E441">
        <v>10</v>
      </c>
      <c r="F441" t="s">
        <v>13</v>
      </c>
      <c r="G441" t="s">
        <v>14</v>
      </c>
      <c r="H441" t="s">
        <v>40</v>
      </c>
      <c r="J441" s="1">
        <v>45686</v>
      </c>
      <c r="K441" t="s">
        <v>529</v>
      </c>
      <c r="L441" t="s">
        <v>21</v>
      </c>
      <c r="M441" t="s">
        <v>172</v>
      </c>
      <c r="N441" t="s">
        <v>308</v>
      </c>
    </row>
    <row r="442" spans="1:14" x14ac:dyDescent="0.25">
      <c r="A442" t="s">
        <v>528</v>
      </c>
      <c r="B442">
        <v>8521</v>
      </c>
      <c r="C442">
        <v>2584</v>
      </c>
      <c r="E442">
        <v>7</v>
      </c>
      <c r="F442" t="s">
        <v>30</v>
      </c>
      <c r="G442" t="s">
        <v>64</v>
      </c>
      <c r="H442" t="s">
        <v>65</v>
      </c>
      <c r="J442" s="1">
        <v>45686</v>
      </c>
      <c r="K442" t="s">
        <v>529</v>
      </c>
      <c r="L442" t="s">
        <v>21</v>
      </c>
      <c r="M442" t="s">
        <v>172</v>
      </c>
      <c r="N442" t="s">
        <v>308</v>
      </c>
    </row>
    <row r="443" spans="1:14" x14ac:dyDescent="0.25">
      <c r="A443" t="s">
        <v>530</v>
      </c>
      <c r="B443">
        <v>8438</v>
      </c>
      <c r="C443">
        <v>3427</v>
      </c>
      <c r="E443">
        <v>12</v>
      </c>
      <c r="F443" t="s">
        <v>30</v>
      </c>
      <c r="G443" t="s">
        <v>78</v>
      </c>
      <c r="H443" t="s">
        <v>47</v>
      </c>
      <c r="J443" s="1">
        <v>44575</v>
      </c>
      <c r="K443" t="s">
        <v>531</v>
      </c>
      <c r="L443" t="s">
        <v>25</v>
      </c>
      <c r="M443" t="s">
        <v>26</v>
      </c>
      <c r="N443" t="s">
        <v>87</v>
      </c>
    </row>
    <row r="444" spans="1:14" x14ac:dyDescent="0.25">
      <c r="A444" t="s">
        <v>530</v>
      </c>
      <c r="B444">
        <v>1689</v>
      </c>
      <c r="C444">
        <v>109</v>
      </c>
      <c r="E444">
        <v>9</v>
      </c>
      <c r="F444" t="s">
        <v>13</v>
      </c>
      <c r="G444" t="s">
        <v>14</v>
      </c>
      <c r="H444" t="s">
        <v>15</v>
      </c>
      <c r="J444" s="1">
        <v>44575</v>
      </c>
      <c r="K444" t="s">
        <v>531</v>
      </c>
      <c r="L444" t="s">
        <v>25</v>
      </c>
      <c r="M444" t="s">
        <v>26</v>
      </c>
      <c r="N444" t="s">
        <v>87</v>
      </c>
    </row>
    <row r="445" spans="1:14" x14ac:dyDescent="0.25">
      <c r="A445" t="s">
        <v>530</v>
      </c>
      <c r="B445">
        <v>3936</v>
      </c>
      <c r="C445">
        <v>1626</v>
      </c>
      <c r="E445">
        <v>14</v>
      </c>
      <c r="F445" t="s">
        <v>30</v>
      </c>
      <c r="G445" t="s">
        <v>64</v>
      </c>
      <c r="H445" t="s">
        <v>65</v>
      </c>
      <c r="J445" s="1">
        <v>44575</v>
      </c>
      <c r="K445" t="s">
        <v>531</v>
      </c>
      <c r="L445" t="s">
        <v>25</v>
      </c>
      <c r="M445" t="s">
        <v>26</v>
      </c>
      <c r="N445" t="s">
        <v>87</v>
      </c>
    </row>
    <row r="446" spans="1:14" x14ac:dyDescent="0.25">
      <c r="A446" t="s">
        <v>532</v>
      </c>
      <c r="B446">
        <v>7664</v>
      </c>
      <c r="C446">
        <v>1753</v>
      </c>
      <c r="E446">
        <v>19</v>
      </c>
      <c r="F446" t="s">
        <v>13</v>
      </c>
      <c r="G446" t="s">
        <v>82</v>
      </c>
      <c r="H446" t="s">
        <v>32</v>
      </c>
      <c r="J446" s="1">
        <v>45092</v>
      </c>
      <c r="K446" t="s">
        <v>533</v>
      </c>
      <c r="L446" t="s">
        <v>98</v>
      </c>
      <c r="M446" t="s">
        <v>107</v>
      </c>
      <c r="N446" t="s">
        <v>19</v>
      </c>
    </row>
    <row r="447" spans="1:14" x14ac:dyDescent="0.25">
      <c r="A447" t="s">
        <v>534</v>
      </c>
      <c r="B447">
        <v>721</v>
      </c>
      <c r="C447">
        <v>258</v>
      </c>
      <c r="E447">
        <v>13</v>
      </c>
      <c r="F447" t="s">
        <v>13</v>
      </c>
      <c r="G447" t="s">
        <v>39</v>
      </c>
      <c r="H447" t="s">
        <v>32</v>
      </c>
      <c r="J447" s="1">
        <v>45217</v>
      </c>
      <c r="K447" t="s">
        <v>535</v>
      </c>
      <c r="L447" t="s">
        <v>21</v>
      </c>
      <c r="M447" t="s">
        <v>172</v>
      </c>
      <c r="N447" t="s">
        <v>442</v>
      </c>
    </row>
    <row r="448" spans="1:14" x14ac:dyDescent="0.25">
      <c r="A448" t="s">
        <v>534</v>
      </c>
      <c r="B448">
        <v>721</v>
      </c>
      <c r="C448">
        <v>258</v>
      </c>
      <c r="E448">
        <v>13</v>
      </c>
      <c r="F448" t="s">
        <v>13</v>
      </c>
      <c r="G448" t="s">
        <v>39</v>
      </c>
      <c r="H448" t="s">
        <v>32</v>
      </c>
      <c r="J448" s="1">
        <v>44725</v>
      </c>
      <c r="K448" t="s">
        <v>536</v>
      </c>
      <c r="L448" t="s">
        <v>25</v>
      </c>
      <c r="M448" t="s">
        <v>26</v>
      </c>
      <c r="N448" t="s">
        <v>165</v>
      </c>
    </row>
    <row r="449" spans="1:14" x14ac:dyDescent="0.25">
      <c r="A449" t="s">
        <v>534</v>
      </c>
      <c r="B449">
        <v>8364</v>
      </c>
      <c r="C449">
        <v>3055</v>
      </c>
      <c r="E449">
        <v>17</v>
      </c>
      <c r="F449" t="s">
        <v>13</v>
      </c>
      <c r="G449" t="s">
        <v>39</v>
      </c>
      <c r="H449" t="s">
        <v>47</v>
      </c>
      <c r="J449" s="1">
        <v>45217</v>
      </c>
      <c r="K449" t="s">
        <v>535</v>
      </c>
      <c r="L449" t="s">
        <v>21</v>
      </c>
      <c r="M449" t="s">
        <v>172</v>
      </c>
      <c r="N449" t="s">
        <v>442</v>
      </c>
    </row>
    <row r="450" spans="1:14" x14ac:dyDescent="0.25">
      <c r="A450" t="s">
        <v>534</v>
      </c>
      <c r="B450">
        <v>8364</v>
      </c>
      <c r="C450">
        <v>3055</v>
      </c>
      <c r="E450">
        <v>17</v>
      </c>
      <c r="F450" t="s">
        <v>13</v>
      </c>
      <c r="G450" t="s">
        <v>39</v>
      </c>
      <c r="H450" t="s">
        <v>47</v>
      </c>
      <c r="J450" s="1">
        <v>44725</v>
      </c>
      <c r="K450" t="s">
        <v>536</v>
      </c>
      <c r="L450" t="s">
        <v>25</v>
      </c>
      <c r="M450" t="s">
        <v>26</v>
      </c>
      <c r="N450" t="s">
        <v>165</v>
      </c>
    </row>
    <row r="451" spans="1:14" x14ac:dyDescent="0.25">
      <c r="A451" t="s">
        <v>534</v>
      </c>
      <c r="B451">
        <v>5234</v>
      </c>
      <c r="C451">
        <v>2021</v>
      </c>
      <c r="E451">
        <v>15</v>
      </c>
      <c r="F451" t="s">
        <v>45</v>
      </c>
      <c r="G451" t="s">
        <v>109</v>
      </c>
      <c r="H451" t="s">
        <v>40</v>
      </c>
      <c r="J451" s="1">
        <v>45217</v>
      </c>
      <c r="K451" t="s">
        <v>535</v>
      </c>
      <c r="L451" t="s">
        <v>21</v>
      </c>
      <c r="M451" t="s">
        <v>172</v>
      </c>
      <c r="N451" t="s">
        <v>442</v>
      </c>
    </row>
    <row r="452" spans="1:14" x14ac:dyDescent="0.25">
      <c r="A452" t="s">
        <v>534</v>
      </c>
      <c r="B452">
        <v>5234</v>
      </c>
      <c r="C452">
        <v>2021</v>
      </c>
      <c r="E452">
        <v>15</v>
      </c>
      <c r="F452" t="s">
        <v>45</v>
      </c>
      <c r="G452" t="s">
        <v>109</v>
      </c>
      <c r="H452" t="s">
        <v>40</v>
      </c>
      <c r="J452" s="1">
        <v>44725</v>
      </c>
      <c r="K452" t="s">
        <v>536</v>
      </c>
      <c r="L452" t="s">
        <v>25</v>
      </c>
      <c r="M452" t="s">
        <v>26</v>
      </c>
      <c r="N452" t="s">
        <v>165</v>
      </c>
    </row>
    <row r="453" spans="1:14" x14ac:dyDescent="0.25">
      <c r="A453" t="s">
        <v>537</v>
      </c>
      <c r="B453">
        <v>3944</v>
      </c>
      <c r="C453">
        <v>1559</v>
      </c>
      <c r="E453">
        <v>18</v>
      </c>
      <c r="F453" t="s">
        <v>13</v>
      </c>
      <c r="G453" t="s">
        <v>82</v>
      </c>
      <c r="H453" t="s">
        <v>47</v>
      </c>
      <c r="J453" s="1">
        <v>45455</v>
      </c>
      <c r="K453" t="s">
        <v>538</v>
      </c>
      <c r="L453" t="s">
        <v>42</v>
      </c>
      <c r="M453" t="s">
        <v>92</v>
      </c>
      <c r="N453" t="s">
        <v>262</v>
      </c>
    </row>
    <row r="454" spans="1:14" x14ac:dyDescent="0.25">
      <c r="A454" t="s">
        <v>537</v>
      </c>
      <c r="B454">
        <v>6711</v>
      </c>
      <c r="C454">
        <v>1045</v>
      </c>
      <c r="E454">
        <v>12</v>
      </c>
      <c r="F454" t="s">
        <v>30</v>
      </c>
      <c r="G454" t="s">
        <v>31</v>
      </c>
      <c r="H454" t="s">
        <v>47</v>
      </c>
      <c r="J454" s="1">
        <v>45455</v>
      </c>
      <c r="K454" t="s">
        <v>538</v>
      </c>
      <c r="L454" t="s">
        <v>42</v>
      </c>
      <c r="M454" t="s">
        <v>92</v>
      </c>
      <c r="N454" t="s">
        <v>262</v>
      </c>
    </row>
    <row r="455" spans="1:14" x14ac:dyDescent="0.25">
      <c r="A455" t="s">
        <v>537</v>
      </c>
      <c r="B455">
        <v>5031</v>
      </c>
      <c r="C455">
        <v>714</v>
      </c>
      <c r="E455">
        <v>4</v>
      </c>
      <c r="F455" t="s">
        <v>45</v>
      </c>
      <c r="G455" t="s">
        <v>46</v>
      </c>
      <c r="H455" t="s">
        <v>47</v>
      </c>
      <c r="J455" s="1">
        <v>45455</v>
      </c>
      <c r="K455" t="s">
        <v>538</v>
      </c>
      <c r="L455" t="s">
        <v>42</v>
      </c>
      <c r="M455" t="s">
        <v>92</v>
      </c>
      <c r="N455" t="s">
        <v>262</v>
      </c>
    </row>
    <row r="456" spans="1:14" x14ac:dyDescent="0.25">
      <c r="A456" t="s">
        <v>537</v>
      </c>
      <c r="B456">
        <v>6295</v>
      </c>
      <c r="C456">
        <v>2469</v>
      </c>
      <c r="E456">
        <v>14</v>
      </c>
      <c r="F456" t="s">
        <v>30</v>
      </c>
      <c r="G456" t="s">
        <v>78</v>
      </c>
      <c r="H456" t="s">
        <v>40</v>
      </c>
      <c r="J456" s="1">
        <v>45455</v>
      </c>
      <c r="K456" t="s">
        <v>538</v>
      </c>
      <c r="L456" t="s">
        <v>42</v>
      </c>
      <c r="M456" t="s">
        <v>92</v>
      </c>
      <c r="N456" t="s">
        <v>262</v>
      </c>
    </row>
    <row r="457" spans="1:14" x14ac:dyDescent="0.25">
      <c r="A457" t="s">
        <v>539</v>
      </c>
      <c r="B457">
        <v>9654</v>
      </c>
      <c r="C457">
        <v>4111</v>
      </c>
      <c r="E457">
        <v>1</v>
      </c>
      <c r="F457" t="s">
        <v>30</v>
      </c>
      <c r="G457" t="s">
        <v>64</v>
      </c>
      <c r="H457" t="s">
        <v>15</v>
      </c>
      <c r="J457" s="1">
        <v>44739</v>
      </c>
      <c r="K457" t="s">
        <v>540</v>
      </c>
      <c r="L457" t="s">
        <v>42</v>
      </c>
      <c r="M457" t="s">
        <v>92</v>
      </c>
      <c r="N457" t="s">
        <v>165</v>
      </c>
    </row>
    <row r="458" spans="1:14" x14ac:dyDescent="0.25">
      <c r="A458" t="s">
        <v>539</v>
      </c>
      <c r="B458">
        <v>3112</v>
      </c>
      <c r="C458">
        <v>1065</v>
      </c>
      <c r="E458">
        <v>20</v>
      </c>
      <c r="F458" t="s">
        <v>30</v>
      </c>
      <c r="G458" t="s">
        <v>78</v>
      </c>
      <c r="H458" t="s">
        <v>65</v>
      </c>
      <c r="J458" s="1">
        <v>44739</v>
      </c>
      <c r="K458" t="s">
        <v>540</v>
      </c>
      <c r="L458" t="s">
        <v>42</v>
      </c>
      <c r="M458" t="s">
        <v>92</v>
      </c>
      <c r="N458" t="s">
        <v>165</v>
      </c>
    </row>
    <row r="459" spans="1:14" x14ac:dyDescent="0.25">
      <c r="A459" t="s">
        <v>541</v>
      </c>
      <c r="B459">
        <v>7838</v>
      </c>
      <c r="C459">
        <v>1142</v>
      </c>
      <c r="E459">
        <v>13</v>
      </c>
      <c r="F459" t="s">
        <v>13</v>
      </c>
      <c r="G459" t="s">
        <v>82</v>
      </c>
      <c r="H459" t="s">
        <v>15</v>
      </c>
      <c r="J459" s="1">
        <v>44245</v>
      </c>
      <c r="K459" t="s">
        <v>542</v>
      </c>
      <c r="L459" t="s">
        <v>42</v>
      </c>
      <c r="M459" t="s">
        <v>92</v>
      </c>
      <c r="N459" t="s">
        <v>292</v>
      </c>
    </row>
    <row r="460" spans="1:14" x14ac:dyDescent="0.25">
      <c r="A460" t="s">
        <v>541</v>
      </c>
      <c r="B460">
        <v>9300</v>
      </c>
      <c r="C460">
        <v>3146</v>
      </c>
      <c r="E460">
        <v>6</v>
      </c>
      <c r="F460" t="s">
        <v>13</v>
      </c>
      <c r="G460" t="s">
        <v>82</v>
      </c>
      <c r="H460" t="s">
        <v>47</v>
      </c>
      <c r="J460" s="1">
        <v>44245</v>
      </c>
      <c r="K460" t="s">
        <v>542</v>
      </c>
      <c r="L460" t="s">
        <v>42</v>
      </c>
      <c r="M460" t="s">
        <v>92</v>
      </c>
      <c r="N460" t="s">
        <v>292</v>
      </c>
    </row>
    <row r="461" spans="1:14" x14ac:dyDescent="0.25">
      <c r="A461" t="s">
        <v>541</v>
      </c>
      <c r="B461">
        <v>1733</v>
      </c>
      <c r="C461">
        <v>133</v>
      </c>
      <c r="E461">
        <v>17</v>
      </c>
      <c r="F461" t="s">
        <v>30</v>
      </c>
      <c r="G461" t="s">
        <v>64</v>
      </c>
      <c r="H461" t="s">
        <v>32</v>
      </c>
      <c r="J461" s="1">
        <v>44245</v>
      </c>
      <c r="K461" t="s">
        <v>542</v>
      </c>
      <c r="L461" t="s">
        <v>42</v>
      </c>
      <c r="M461" t="s">
        <v>92</v>
      </c>
      <c r="N461" t="s">
        <v>292</v>
      </c>
    </row>
    <row r="462" spans="1:14" x14ac:dyDescent="0.25">
      <c r="A462" t="s">
        <v>543</v>
      </c>
      <c r="B462">
        <v>874</v>
      </c>
      <c r="C462">
        <v>235</v>
      </c>
      <c r="E462">
        <v>15</v>
      </c>
      <c r="F462" t="s">
        <v>30</v>
      </c>
      <c r="G462" t="s">
        <v>78</v>
      </c>
      <c r="H462" t="s">
        <v>32</v>
      </c>
      <c r="J462" s="1">
        <v>45075</v>
      </c>
      <c r="K462" t="s">
        <v>544</v>
      </c>
      <c r="L462" t="s">
        <v>25</v>
      </c>
      <c r="M462" t="s">
        <v>68</v>
      </c>
      <c r="N462" t="s">
        <v>127</v>
      </c>
    </row>
    <row r="463" spans="1:14" x14ac:dyDescent="0.25">
      <c r="A463" t="s">
        <v>543</v>
      </c>
      <c r="B463">
        <v>874</v>
      </c>
      <c r="C463">
        <v>235</v>
      </c>
      <c r="E463">
        <v>15</v>
      </c>
      <c r="F463" t="s">
        <v>30</v>
      </c>
      <c r="G463" t="s">
        <v>78</v>
      </c>
      <c r="H463" t="s">
        <v>32</v>
      </c>
      <c r="J463" s="1">
        <v>44351</v>
      </c>
      <c r="K463" t="s">
        <v>545</v>
      </c>
      <c r="L463" t="s">
        <v>17</v>
      </c>
      <c r="M463" t="s">
        <v>18</v>
      </c>
      <c r="N463" t="s">
        <v>125</v>
      </c>
    </row>
    <row r="464" spans="1:14" x14ac:dyDescent="0.25">
      <c r="A464" t="s">
        <v>546</v>
      </c>
      <c r="B464">
        <v>1248</v>
      </c>
      <c r="C464">
        <v>584</v>
      </c>
      <c r="E464">
        <v>13</v>
      </c>
      <c r="F464" t="s">
        <v>30</v>
      </c>
      <c r="G464" t="s">
        <v>31</v>
      </c>
      <c r="H464" t="s">
        <v>40</v>
      </c>
      <c r="J464" s="1">
        <v>45313</v>
      </c>
      <c r="K464" t="s">
        <v>547</v>
      </c>
      <c r="L464" t="s">
        <v>98</v>
      </c>
      <c r="M464" t="s">
        <v>99</v>
      </c>
      <c r="N464" t="s">
        <v>76</v>
      </c>
    </row>
    <row r="465" spans="1:14" x14ac:dyDescent="0.25">
      <c r="A465" t="s">
        <v>546</v>
      </c>
      <c r="B465">
        <v>1248</v>
      </c>
      <c r="C465">
        <v>584</v>
      </c>
      <c r="E465">
        <v>13</v>
      </c>
      <c r="F465" t="s">
        <v>30</v>
      </c>
      <c r="G465" t="s">
        <v>31</v>
      </c>
      <c r="H465" t="s">
        <v>40</v>
      </c>
      <c r="J465" s="1">
        <v>44922</v>
      </c>
      <c r="K465" t="s">
        <v>548</v>
      </c>
      <c r="L465" t="s">
        <v>42</v>
      </c>
      <c r="M465" t="s">
        <v>92</v>
      </c>
      <c r="N465" t="s">
        <v>152</v>
      </c>
    </row>
    <row r="466" spans="1:14" x14ac:dyDescent="0.25">
      <c r="A466" t="s">
        <v>546</v>
      </c>
      <c r="B466">
        <v>3669</v>
      </c>
      <c r="C466">
        <v>154</v>
      </c>
      <c r="E466">
        <v>14</v>
      </c>
      <c r="F466" t="s">
        <v>30</v>
      </c>
      <c r="G466" t="s">
        <v>57</v>
      </c>
      <c r="H466" t="s">
        <v>40</v>
      </c>
      <c r="J466" s="1">
        <v>45313</v>
      </c>
      <c r="K466" t="s">
        <v>547</v>
      </c>
      <c r="L466" t="s">
        <v>98</v>
      </c>
      <c r="M466" t="s">
        <v>99</v>
      </c>
      <c r="N466" t="s">
        <v>76</v>
      </c>
    </row>
    <row r="467" spans="1:14" x14ac:dyDescent="0.25">
      <c r="A467" t="s">
        <v>546</v>
      </c>
      <c r="B467">
        <v>3669</v>
      </c>
      <c r="C467">
        <v>154</v>
      </c>
      <c r="E467">
        <v>14</v>
      </c>
      <c r="F467" t="s">
        <v>30</v>
      </c>
      <c r="G467" t="s">
        <v>57</v>
      </c>
      <c r="H467" t="s">
        <v>40</v>
      </c>
      <c r="J467" s="1">
        <v>44922</v>
      </c>
      <c r="K467" t="s">
        <v>548</v>
      </c>
      <c r="L467" t="s">
        <v>42</v>
      </c>
      <c r="M467" t="s">
        <v>92</v>
      </c>
      <c r="N467" t="s">
        <v>152</v>
      </c>
    </row>
    <row r="468" spans="1:14" x14ac:dyDescent="0.25">
      <c r="A468" t="s">
        <v>546</v>
      </c>
      <c r="B468">
        <v>514</v>
      </c>
      <c r="C468">
        <v>109</v>
      </c>
      <c r="E468">
        <v>15</v>
      </c>
      <c r="F468" t="s">
        <v>30</v>
      </c>
      <c r="G468" t="s">
        <v>64</v>
      </c>
      <c r="H468" t="s">
        <v>32</v>
      </c>
      <c r="J468" s="1">
        <v>45313</v>
      </c>
      <c r="K468" t="s">
        <v>547</v>
      </c>
      <c r="L468" t="s">
        <v>98</v>
      </c>
      <c r="M468" t="s">
        <v>99</v>
      </c>
      <c r="N468" t="s">
        <v>76</v>
      </c>
    </row>
    <row r="469" spans="1:14" x14ac:dyDescent="0.25">
      <c r="A469" t="s">
        <v>546</v>
      </c>
      <c r="B469">
        <v>514</v>
      </c>
      <c r="C469">
        <v>109</v>
      </c>
      <c r="E469">
        <v>15</v>
      </c>
      <c r="F469" t="s">
        <v>30</v>
      </c>
      <c r="G469" t="s">
        <v>64</v>
      </c>
      <c r="H469" t="s">
        <v>32</v>
      </c>
      <c r="J469" s="1">
        <v>44922</v>
      </c>
      <c r="K469" t="s">
        <v>548</v>
      </c>
      <c r="L469" t="s">
        <v>42</v>
      </c>
      <c r="M469" t="s">
        <v>92</v>
      </c>
      <c r="N469" t="s">
        <v>152</v>
      </c>
    </row>
    <row r="470" spans="1:14" x14ac:dyDescent="0.25">
      <c r="A470" t="s">
        <v>549</v>
      </c>
      <c r="B470">
        <v>3273</v>
      </c>
      <c r="C470">
        <v>85</v>
      </c>
      <c r="E470">
        <v>16</v>
      </c>
      <c r="F470" t="s">
        <v>13</v>
      </c>
      <c r="G470" t="s">
        <v>82</v>
      </c>
      <c r="H470" t="s">
        <v>15</v>
      </c>
      <c r="J470" s="1">
        <v>45381</v>
      </c>
      <c r="K470" t="s">
        <v>550</v>
      </c>
      <c r="L470" t="s">
        <v>98</v>
      </c>
      <c r="M470" t="s">
        <v>107</v>
      </c>
      <c r="N470" t="s">
        <v>338</v>
      </c>
    </row>
    <row r="471" spans="1:14" x14ac:dyDescent="0.25">
      <c r="A471" t="s">
        <v>551</v>
      </c>
      <c r="B471">
        <v>5035</v>
      </c>
      <c r="C471">
        <v>2008</v>
      </c>
      <c r="E471">
        <v>2</v>
      </c>
      <c r="F471" t="s">
        <v>45</v>
      </c>
      <c r="G471" t="s">
        <v>49</v>
      </c>
      <c r="H471" t="s">
        <v>65</v>
      </c>
      <c r="J471" s="1">
        <v>43925</v>
      </c>
      <c r="K471" t="s">
        <v>552</v>
      </c>
      <c r="L471" t="s">
        <v>17</v>
      </c>
      <c r="M471" t="s">
        <v>18</v>
      </c>
      <c r="N471" t="s">
        <v>162</v>
      </c>
    </row>
    <row r="472" spans="1:14" x14ac:dyDescent="0.25">
      <c r="A472" t="s">
        <v>551</v>
      </c>
      <c r="B472">
        <v>7702</v>
      </c>
      <c r="C472">
        <v>60</v>
      </c>
      <c r="E472">
        <v>19</v>
      </c>
      <c r="F472" t="s">
        <v>13</v>
      </c>
      <c r="G472" t="s">
        <v>28</v>
      </c>
      <c r="H472" t="s">
        <v>15</v>
      </c>
      <c r="J472" s="1">
        <v>43925</v>
      </c>
      <c r="K472" t="s">
        <v>552</v>
      </c>
      <c r="L472" t="s">
        <v>17</v>
      </c>
      <c r="M472" t="s">
        <v>18</v>
      </c>
      <c r="N472" t="s">
        <v>162</v>
      </c>
    </row>
    <row r="473" spans="1:14" x14ac:dyDescent="0.25">
      <c r="A473" t="s">
        <v>551</v>
      </c>
      <c r="B473">
        <v>9884</v>
      </c>
      <c r="C473">
        <v>4446</v>
      </c>
      <c r="E473">
        <v>7</v>
      </c>
      <c r="F473" t="s">
        <v>13</v>
      </c>
      <c r="G473" t="s">
        <v>28</v>
      </c>
      <c r="H473" t="s">
        <v>40</v>
      </c>
      <c r="J473" s="1">
        <v>43925</v>
      </c>
      <c r="K473" t="s">
        <v>552</v>
      </c>
      <c r="L473" t="s">
        <v>17</v>
      </c>
      <c r="M473" t="s">
        <v>18</v>
      </c>
      <c r="N473" t="s">
        <v>162</v>
      </c>
    </row>
    <row r="474" spans="1:14" x14ac:dyDescent="0.25">
      <c r="A474" t="s">
        <v>553</v>
      </c>
      <c r="B474">
        <v>5564</v>
      </c>
      <c r="C474">
        <v>175</v>
      </c>
      <c r="E474">
        <v>11</v>
      </c>
      <c r="F474" t="s">
        <v>13</v>
      </c>
      <c r="G474" t="s">
        <v>39</v>
      </c>
      <c r="H474" t="s">
        <v>65</v>
      </c>
      <c r="J474" s="1">
        <v>44948</v>
      </c>
      <c r="K474" t="s">
        <v>554</v>
      </c>
      <c r="L474" t="s">
        <v>21</v>
      </c>
      <c r="M474" t="s">
        <v>22</v>
      </c>
      <c r="N474" t="s">
        <v>333</v>
      </c>
    </row>
    <row r="475" spans="1:14" x14ac:dyDescent="0.25">
      <c r="A475" t="s">
        <v>553</v>
      </c>
      <c r="B475">
        <v>5564</v>
      </c>
      <c r="C475">
        <v>175</v>
      </c>
      <c r="E475">
        <v>11</v>
      </c>
      <c r="F475" t="s">
        <v>13</v>
      </c>
      <c r="G475" t="s">
        <v>39</v>
      </c>
      <c r="H475" t="s">
        <v>65</v>
      </c>
      <c r="J475" s="1">
        <v>44663</v>
      </c>
      <c r="K475" t="s">
        <v>555</v>
      </c>
      <c r="L475" t="s">
        <v>71</v>
      </c>
      <c r="M475" t="s">
        <v>138</v>
      </c>
      <c r="N475" t="s">
        <v>187</v>
      </c>
    </row>
    <row r="476" spans="1:14" x14ac:dyDescent="0.25">
      <c r="A476" t="s">
        <v>553</v>
      </c>
      <c r="B476">
        <v>5564</v>
      </c>
      <c r="C476">
        <v>175</v>
      </c>
      <c r="E476">
        <v>11</v>
      </c>
      <c r="F476" t="s">
        <v>13</v>
      </c>
      <c r="G476" t="s">
        <v>39</v>
      </c>
      <c r="H476" t="s">
        <v>65</v>
      </c>
      <c r="J476" s="1">
        <v>45273</v>
      </c>
      <c r="K476" t="s">
        <v>556</v>
      </c>
      <c r="L476" t="s">
        <v>17</v>
      </c>
      <c r="M476" t="s">
        <v>18</v>
      </c>
      <c r="N476" t="s">
        <v>102</v>
      </c>
    </row>
    <row r="477" spans="1:14" x14ac:dyDescent="0.25">
      <c r="A477" t="s">
        <v>553</v>
      </c>
      <c r="B477">
        <v>3953</v>
      </c>
      <c r="C477">
        <v>1776</v>
      </c>
      <c r="E477">
        <v>15</v>
      </c>
      <c r="F477" t="s">
        <v>13</v>
      </c>
      <c r="G477" t="s">
        <v>14</v>
      </c>
      <c r="H477" t="s">
        <v>15</v>
      </c>
      <c r="J477" s="1">
        <v>44948</v>
      </c>
      <c r="K477" t="s">
        <v>554</v>
      </c>
      <c r="L477" t="s">
        <v>21</v>
      </c>
      <c r="M477" t="s">
        <v>22</v>
      </c>
      <c r="N477" t="s">
        <v>333</v>
      </c>
    </row>
    <row r="478" spans="1:14" x14ac:dyDescent="0.25">
      <c r="A478" t="s">
        <v>553</v>
      </c>
      <c r="B478">
        <v>3953</v>
      </c>
      <c r="C478">
        <v>1776</v>
      </c>
      <c r="E478">
        <v>15</v>
      </c>
      <c r="F478" t="s">
        <v>13</v>
      </c>
      <c r="G478" t="s">
        <v>14</v>
      </c>
      <c r="H478" t="s">
        <v>15</v>
      </c>
      <c r="J478" s="1">
        <v>44663</v>
      </c>
      <c r="K478" t="s">
        <v>555</v>
      </c>
      <c r="L478" t="s">
        <v>71</v>
      </c>
      <c r="M478" t="s">
        <v>138</v>
      </c>
      <c r="N478" t="s">
        <v>187</v>
      </c>
    </row>
    <row r="479" spans="1:14" x14ac:dyDescent="0.25">
      <c r="A479" t="s">
        <v>553</v>
      </c>
      <c r="B479">
        <v>3953</v>
      </c>
      <c r="C479">
        <v>1776</v>
      </c>
      <c r="E479">
        <v>15</v>
      </c>
      <c r="F479" t="s">
        <v>13</v>
      </c>
      <c r="G479" t="s">
        <v>14</v>
      </c>
      <c r="H479" t="s">
        <v>15</v>
      </c>
      <c r="J479" s="1">
        <v>45273</v>
      </c>
      <c r="K479" t="s">
        <v>556</v>
      </c>
      <c r="L479" t="s">
        <v>17</v>
      </c>
      <c r="M479" t="s">
        <v>18</v>
      </c>
      <c r="N479" t="s">
        <v>102</v>
      </c>
    </row>
    <row r="480" spans="1:14" x14ac:dyDescent="0.25">
      <c r="A480" t="s">
        <v>557</v>
      </c>
      <c r="B480">
        <v>6488</v>
      </c>
      <c r="C480">
        <v>1591</v>
      </c>
      <c r="E480">
        <v>18</v>
      </c>
      <c r="F480" t="s">
        <v>13</v>
      </c>
      <c r="G480" t="s">
        <v>28</v>
      </c>
      <c r="H480" t="s">
        <v>40</v>
      </c>
      <c r="J480" s="1">
        <v>45070</v>
      </c>
      <c r="K480" t="s">
        <v>558</v>
      </c>
      <c r="L480" t="s">
        <v>71</v>
      </c>
      <c r="M480" t="s">
        <v>72</v>
      </c>
      <c r="N480" t="s">
        <v>127</v>
      </c>
    </row>
    <row r="481" spans="1:14" x14ac:dyDescent="0.25">
      <c r="A481" t="s">
        <v>557</v>
      </c>
      <c r="B481">
        <v>6488</v>
      </c>
      <c r="C481">
        <v>1591</v>
      </c>
      <c r="E481">
        <v>18</v>
      </c>
      <c r="F481" t="s">
        <v>13</v>
      </c>
      <c r="G481" t="s">
        <v>28</v>
      </c>
      <c r="H481" t="s">
        <v>40</v>
      </c>
      <c r="J481" s="1">
        <v>44164</v>
      </c>
      <c r="K481" t="s">
        <v>559</v>
      </c>
      <c r="L481" t="s">
        <v>71</v>
      </c>
      <c r="M481" t="s">
        <v>138</v>
      </c>
      <c r="N481" t="s">
        <v>80</v>
      </c>
    </row>
    <row r="482" spans="1:14" x14ac:dyDescent="0.25">
      <c r="A482" t="s">
        <v>560</v>
      </c>
      <c r="B482">
        <v>7856</v>
      </c>
      <c r="C482">
        <v>3699</v>
      </c>
      <c r="E482">
        <v>17</v>
      </c>
      <c r="F482" t="s">
        <v>13</v>
      </c>
      <c r="G482" t="s">
        <v>14</v>
      </c>
      <c r="H482" t="s">
        <v>15</v>
      </c>
      <c r="J482" s="1">
        <v>44279</v>
      </c>
      <c r="K482" t="s">
        <v>561</v>
      </c>
      <c r="L482" t="s">
        <v>17</v>
      </c>
      <c r="M482" t="s">
        <v>34</v>
      </c>
      <c r="N482" t="s">
        <v>167</v>
      </c>
    </row>
    <row r="483" spans="1:14" x14ac:dyDescent="0.25">
      <c r="A483" t="s">
        <v>560</v>
      </c>
      <c r="B483">
        <v>1165</v>
      </c>
      <c r="C483">
        <v>51</v>
      </c>
      <c r="E483">
        <v>3</v>
      </c>
      <c r="F483" t="s">
        <v>30</v>
      </c>
      <c r="G483" t="s">
        <v>31</v>
      </c>
      <c r="H483" t="s">
        <v>40</v>
      </c>
      <c r="J483" s="1">
        <v>44279</v>
      </c>
      <c r="K483" t="s">
        <v>561</v>
      </c>
      <c r="L483" t="s">
        <v>17</v>
      </c>
      <c r="M483" t="s">
        <v>34</v>
      </c>
      <c r="N483" t="s">
        <v>167</v>
      </c>
    </row>
    <row r="484" spans="1:14" x14ac:dyDescent="0.25">
      <c r="A484" t="s">
        <v>562</v>
      </c>
      <c r="B484">
        <v>9386</v>
      </c>
      <c r="C484">
        <v>2555</v>
      </c>
      <c r="E484">
        <v>20</v>
      </c>
      <c r="F484" t="s">
        <v>30</v>
      </c>
      <c r="G484" t="s">
        <v>57</v>
      </c>
      <c r="H484" t="s">
        <v>47</v>
      </c>
      <c r="J484" s="1">
        <v>44062</v>
      </c>
      <c r="K484" t="s">
        <v>563</v>
      </c>
      <c r="L484" t="s">
        <v>42</v>
      </c>
      <c r="M484" t="s">
        <v>75</v>
      </c>
      <c r="N484" t="s">
        <v>185</v>
      </c>
    </row>
    <row r="485" spans="1:14" x14ac:dyDescent="0.25">
      <c r="A485" t="s">
        <v>562</v>
      </c>
      <c r="B485">
        <v>9386</v>
      </c>
      <c r="C485">
        <v>2555</v>
      </c>
      <c r="E485">
        <v>20</v>
      </c>
      <c r="F485" t="s">
        <v>30</v>
      </c>
      <c r="G485" t="s">
        <v>57</v>
      </c>
      <c r="H485" t="s">
        <v>47</v>
      </c>
      <c r="J485" s="1">
        <v>44854</v>
      </c>
      <c r="K485" t="s">
        <v>564</v>
      </c>
      <c r="L485" t="s">
        <v>98</v>
      </c>
      <c r="M485" t="s">
        <v>117</v>
      </c>
      <c r="N485" t="s">
        <v>96</v>
      </c>
    </row>
    <row r="486" spans="1:14" x14ac:dyDescent="0.25">
      <c r="A486" t="s">
        <v>565</v>
      </c>
      <c r="B486">
        <v>3956</v>
      </c>
      <c r="C486">
        <v>142</v>
      </c>
      <c r="E486">
        <v>12</v>
      </c>
      <c r="F486" t="s">
        <v>30</v>
      </c>
      <c r="G486" t="s">
        <v>31</v>
      </c>
      <c r="H486" t="s">
        <v>32</v>
      </c>
      <c r="J486" s="1">
        <v>45189</v>
      </c>
      <c r="K486" t="s">
        <v>566</v>
      </c>
      <c r="L486" t="s">
        <v>17</v>
      </c>
      <c r="M486" t="s">
        <v>150</v>
      </c>
      <c r="N486" t="s">
        <v>273</v>
      </c>
    </row>
    <row r="487" spans="1:14" x14ac:dyDescent="0.25">
      <c r="A487" t="s">
        <v>565</v>
      </c>
      <c r="B487">
        <v>3956</v>
      </c>
      <c r="C487">
        <v>142</v>
      </c>
      <c r="E487">
        <v>12</v>
      </c>
      <c r="F487" t="s">
        <v>30</v>
      </c>
      <c r="G487" t="s">
        <v>31</v>
      </c>
      <c r="H487" t="s">
        <v>32</v>
      </c>
      <c r="J487" s="1">
        <v>45652</v>
      </c>
      <c r="K487" t="s">
        <v>567</v>
      </c>
      <c r="L487" t="s">
        <v>71</v>
      </c>
      <c r="M487" t="s">
        <v>72</v>
      </c>
      <c r="N487" t="s">
        <v>23</v>
      </c>
    </row>
    <row r="488" spans="1:14" x14ac:dyDescent="0.25">
      <c r="A488" t="s">
        <v>565</v>
      </c>
      <c r="B488">
        <v>6449</v>
      </c>
      <c r="C488">
        <v>2628</v>
      </c>
      <c r="E488">
        <v>11</v>
      </c>
      <c r="F488" t="s">
        <v>45</v>
      </c>
      <c r="G488" t="s">
        <v>109</v>
      </c>
      <c r="H488" t="s">
        <v>40</v>
      </c>
      <c r="J488" s="1">
        <v>45189</v>
      </c>
      <c r="K488" t="s">
        <v>566</v>
      </c>
      <c r="L488" t="s">
        <v>17</v>
      </c>
      <c r="M488" t="s">
        <v>150</v>
      </c>
      <c r="N488" t="s">
        <v>273</v>
      </c>
    </row>
    <row r="489" spans="1:14" x14ac:dyDescent="0.25">
      <c r="A489" t="s">
        <v>565</v>
      </c>
      <c r="B489">
        <v>6449</v>
      </c>
      <c r="C489">
        <v>2628</v>
      </c>
      <c r="E489">
        <v>11</v>
      </c>
      <c r="F489" t="s">
        <v>45</v>
      </c>
      <c r="G489" t="s">
        <v>109</v>
      </c>
      <c r="H489" t="s">
        <v>40</v>
      </c>
      <c r="J489" s="1">
        <v>45652</v>
      </c>
      <c r="K489" t="s">
        <v>567</v>
      </c>
      <c r="L489" t="s">
        <v>71</v>
      </c>
      <c r="M489" t="s">
        <v>72</v>
      </c>
      <c r="N489" t="s">
        <v>23</v>
      </c>
    </row>
    <row r="490" spans="1:14" x14ac:dyDescent="0.25">
      <c r="A490" t="s">
        <v>568</v>
      </c>
      <c r="B490">
        <v>6255</v>
      </c>
      <c r="C490">
        <v>437</v>
      </c>
      <c r="E490">
        <v>18</v>
      </c>
      <c r="F490" t="s">
        <v>30</v>
      </c>
      <c r="G490" t="s">
        <v>57</v>
      </c>
      <c r="H490" t="s">
        <v>65</v>
      </c>
      <c r="J490" s="1">
        <v>44533</v>
      </c>
      <c r="K490" t="s">
        <v>569</v>
      </c>
      <c r="L490" t="s">
        <v>25</v>
      </c>
      <c r="M490" t="s">
        <v>68</v>
      </c>
      <c r="N490" t="s">
        <v>90</v>
      </c>
    </row>
    <row r="491" spans="1:14" x14ac:dyDescent="0.25">
      <c r="A491" t="s">
        <v>568</v>
      </c>
      <c r="B491">
        <v>2109</v>
      </c>
      <c r="C491">
        <v>681</v>
      </c>
      <c r="E491">
        <v>20</v>
      </c>
      <c r="F491" t="s">
        <v>13</v>
      </c>
      <c r="G491" t="s">
        <v>14</v>
      </c>
      <c r="H491" t="s">
        <v>15</v>
      </c>
      <c r="J491" s="1">
        <v>44533</v>
      </c>
      <c r="K491" t="s">
        <v>569</v>
      </c>
      <c r="L491" t="s">
        <v>25</v>
      </c>
      <c r="M491" t="s">
        <v>68</v>
      </c>
      <c r="N491" t="s">
        <v>90</v>
      </c>
    </row>
    <row r="492" spans="1:14" x14ac:dyDescent="0.25">
      <c r="A492" t="s">
        <v>570</v>
      </c>
      <c r="B492">
        <v>6707</v>
      </c>
      <c r="C492">
        <v>1041</v>
      </c>
      <c r="E492">
        <v>20</v>
      </c>
      <c r="F492" t="s">
        <v>13</v>
      </c>
      <c r="G492" t="s">
        <v>82</v>
      </c>
      <c r="H492" t="s">
        <v>47</v>
      </c>
      <c r="J492" s="1">
        <v>44453</v>
      </c>
      <c r="K492" t="s">
        <v>571</v>
      </c>
      <c r="L492" t="s">
        <v>71</v>
      </c>
      <c r="M492" t="s">
        <v>86</v>
      </c>
      <c r="N492" t="s">
        <v>224</v>
      </c>
    </row>
    <row r="493" spans="1:14" x14ac:dyDescent="0.25">
      <c r="A493" t="s">
        <v>572</v>
      </c>
      <c r="B493">
        <v>7633</v>
      </c>
      <c r="C493">
        <v>184</v>
      </c>
      <c r="E493">
        <v>13</v>
      </c>
      <c r="F493" t="s">
        <v>30</v>
      </c>
      <c r="G493" t="s">
        <v>31</v>
      </c>
      <c r="H493" t="s">
        <v>65</v>
      </c>
      <c r="J493" s="1">
        <v>44469</v>
      </c>
      <c r="K493" t="s">
        <v>573</v>
      </c>
      <c r="L493" t="s">
        <v>21</v>
      </c>
      <c r="M493" t="s">
        <v>63</v>
      </c>
      <c r="N493" t="s">
        <v>224</v>
      </c>
    </row>
    <row r="494" spans="1:14" x14ac:dyDescent="0.25">
      <c r="A494" t="s">
        <v>574</v>
      </c>
      <c r="B494">
        <v>975</v>
      </c>
      <c r="C494">
        <v>224</v>
      </c>
      <c r="E494">
        <v>18</v>
      </c>
      <c r="F494" t="s">
        <v>30</v>
      </c>
      <c r="G494" t="s">
        <v>31</v>
      </c>
      <c r="H494" t="s">
        <v>65</v>
      </c>
      <c r="J494" s="1">
        <v>44552</v>
      </c>
      <c r="K494" t="s">
        <v>575</v>
      </c>
      <c r="L494" t="s">
        <v>42</v>
      </c>
      <c r="M494" t="s">
        <v>75</v>
      </c>
      <c r="N494" t="s">
        <v>90</v>
      </c>
    </row>
    <row r="495" spans="1:14" x14ac:dyDescent="0.25">
      <c r="A495" t="s">
        <v>574</v>
      </c>
      <c r="B495">
        <v>4492</v>
      </c>
      <c r="C495">
        <v>1450</v>
      </c>
      <c r="E495">
        <v>7</v>
      </c>
      <c r="F495" t="s">
        <v>45</v>
      </c>
      <c r="G495" t="s">
        <v>46</v>
      </c>
      <c r="H495" t="s">
        <v>40</v>
      </c>
      <c r="J495" s="1">
        <v>44552</v>
      </c>
      <c r="K495" t="s">
        <v>575</v>
      </c>
      <c r="L495" t="s">
        <v>42</v>
      </c>
      <c r="M495" t="s">
        <v>75</v>
      </c>
      <c r="N495" t="s">
        <v>90</v>
      </c>
    </row>
    <row r="496" spans="1:14" x14ac:dyDescent="0.25">
      <c r="A496" t="s">
        <v>574</v>
      </c>
      <c r="B496">
        <v>7957</v>
      </c>
      <c r="C496">
        <v>2834</v>
      </c>
      <c r="E496">
        <v>12</v>
      </c>
      <c r="F496" t="s">
        <v>45</v>
      </c>
      <c r="G496" t="s">
        <v>49</v>
      </c>
      <c r="H496" t="s">
        <v>15</v>
      </c>
      <c r="J496" s="1">
        <v>44552</v>
      </c>
      <c r="K496" t="s">
        <v>575</v>
      </c>
      <c r="L496" t="s">
        <v>42</v>
      </c>
      <c r="M496" t="s">
        <v>75</v>
      </c>
      <c r="N496" t="s">
        <v>90</v>
      </c>
    </row>
    <row r="497" spans="1:14" x14ac:dyDescent="0.25">
      <c r="A497" t="s">
        <v>576</v>
      </c>
      <c r="B497">
        <v>4906</v>
      </c>
      <c r="C497">
        <v>975</v>
      </c>
      <c r="E497">
        <v>7</v>
      </c>
      <c r="F497" t="s">
        <v>45</v>
      </c>
      <c r="G497" t="s">
        <v>46</v>
      </c>
      <c r="H497" t="s">
        <v>32</v>
      </c>
      <c r="J497" s="1">
        <v>44699</v>
      </c>
      <c r="K497" t="s">
        <v>577</v>
      </c>
      <c r="L497" t="s">
        <v>71</v>
      </c>
      <c r="M497" t="s">
        <v>138</v>
      </c>
      <c r="N497" t="s">
        <v>180</v>
      </c>
    </row>
    <row r="498" spans="1:14" x14ac:dyDescent="0.25">
      <c r="A498" t="s">
        <v>578</v>
      </c>
      <c r="B498">
        <v>1379</v>
      </c>
      <c r="C498">
        <v>250</v>
      </c>
      <c r="E498">
        <v>3</v>
      </c>
      <c r="F498" t="s">
        <v>30</v>
      </c>
      <c r="G498" t="s">
        <v>31</v>
      </c>
      <c r="H498" t="s">
        <v>47</v>
      </c>
      <c r="J498" s="1">
        <v>44112</v>
      </c>
      <c r="K498" t="s">
        <v>579</v>
      </c>
      <c r="L498" t="s">
        <v>25</v>
      </c>
      <c r="M498" t="s">
        <v>26</v>
      </c>
      <c r="N498" t="s">
        <v>119</v>
      </c>
    </row>
    <row r="499" spans="1:14" x14ac:dyDescent="0.25">
      <c r="A499" t="s">
        <v>578</v>
      </c>
      <c r="B499">
        <v>4244</v>
      </c>
      <c r="C499">
        <v>340</v>
      </c>
      <c r="E499">
        <v>10</v>
      </c>
      <c r="F499" t="s">
        <v>13</v>
      </c>
      <c r="G499" t="s">
        <v>39</v>
      </c>
      <c r="H499" t="s">
        <v>32</v>
      </c>
      <c r="J499" s="1">
        <v>44112</v>
      </c>
      <c r="K499" t="s">
        <v>579</v>
      </c>
      <c r="L499" t="s">
        <v>25</v>
      </c>
      <c r="M499" t="s">
        <v>26</v>
      </c>
      <c r="N499" t="s">
        <v>119</v>
      </c>
    </row>
    <row r="500" spans="1:14" x14ac:dyDescent="0.25">
      <c r="A500" t="s">
        <v>580</v>
      </c>
      <c r="B500">
        <v>5911</v>
      </c>
      <c r="C500">
        <v>2333</v>
      </c>
      <c r="E500">
        <v>14</v>
      </c>
      <c r="F500" t="s">
        <v>45</v>
      </c>
      <c r="G500" t="s">
        <v>109</v>
      </c>
      <c r="H500" t="s">
        <v>40</v>
      </c>
      <c r="J500" s="1">
        <v>44793</v>
      </c>
      <c r="K500" t="s">
        <v>581</v>
      </c>
      <c r="L500" t="s">
        <v>42</v>
      </c>
      <c r="M500" t="s">
        <v>75</v>
      </c>
      <c r="N500" t="s">
        <v>209</v>
      </c>
    </row>
    <row r="501" spans="1:14" x14ac:dyDescent="0.25">
      <c r="A501" t="s">
        <v>580</v>
      </c>
      <c r="B501">
        <v>5911</v>
      </c>
      <c r="C501">
        <v>2333</v>
      </c>
      <c r="E501">
        <v>14</v>
      </c>
      <c r="F501" t="s">
        <v>45</v>
      </c>
      <c r="G501" t="s">
        <v>109</v>
      </c>
      <c r="H501" t="s">
        <v>40</v>
      </c>
      <c r="J501" s="1">
        <v>45621</v>
      </c>
      <c r="K501" t="s">
        <v>582</v>
      </c>
      <c r="L501" t="s">
        <v>42</v>
      </c>
      <c r="M501" t="s">
        <v>92</v>
      </c>
      <c r="N501" t="s">
        <v>255</v>
      </c>
    </row>
    <row r="502" spans="1:14" x14ac:dyDescent="0.25">
      <c r="A502" t="s">
        <v>580</v>
      </c>
      <c r="B502">
        <v>1818</v>
      </c>
      <c r="C502">
        <v>738</v>
      </c>
      <c r="E502">
        <v>11</v>
      </c>
      <c r="F502" t="s">
        <v>30</v>
      </c>
      <c r="G502" t="s">
        <v>57</v>
      </c>
      <c r="H502" t="s">
        <v>40</v>
      </c>
      <c r="J502" s="1">
        <v>44793</v>
      </c>
      <c r="K502" t="s">
        <v>581</v>
      </c>
      <c r="L502" t="s">
        <v>42</v>
      </c>
      <c r="M502" t="s">
        <v>75</v>
      </c>
      <c r="N502" t="s">
        <v>209</v>
      </c>
    </row>
    <row r="503" spans="1:14" x14ac:dyDescent="0.25">
      <c r="A503" t="s">
        <v>580</v>
      </c>
      <c r="B503">
        <v>1818</v>
      </c>
      <c r="C503">
        <v>738</v>
      </c>
      <c r="E503">
        <v>11</v>
      </c>
      <c r="F503" t="s">
        <v>30</v>
      </c>
      <c r="G503" t="s">
        <v>57</v>
      </c>
      <c r="H503" t="s">
        <v>40</v>
      </c>
      <c r="J503" s="1">
        <v>45621</v>
      </c>
      <c r="K503" t="s">
        <v>582</v>
      </c>
      <c r="L503" t="s">
        <v>42</v>
      </c>
      <c r="M503" t="s">
        <v>92</v>
      </c>
      <c r="N503" t="s">
        <v>255</v>
      </c>
    </row>
    <row r="504" spans="1:14" x14ac:dyDescent="0.25">
      <c r="A504" t="s">
        <v>583</v>
      </c>
      <c r="B504">
        <v>2140</v>
      </c>
      <c r="C504">
        <v>970</v>
      </c>
      <c r="E504">
        <v>4</v>
      </c>
      <c r="F504" t="s">
        <v>30</v>
      </c>
      <c r="G504" t="s">
        <v>64</v>
      </c>
      <c r="H504" t="s">
        <v>47</v>
      </c>
      <c r="J504" s="1">
        <v>44104</v>
      </c>
      <c r="K504" t="s">
        <v>584</v>
      </c>
      <c r="L504" t="s">
        <v>42</v>
      </c>
      <c r="M504" t="s">
        <v>75</v>
      </c>
      <c r="N504" t="s">
        <v>389</v>
      </c>
    </row>
    <row r="505" spans="1:14" x14ac:dyDescent="0.25">
      <c r="A505" t="s">
        <v>583</v>
      </c>
      <c r="B505">
        <v>2140</v>
      </c>
      <c r="C505">
        <v>970</v>
      </c>
      <c r="E505">
        <v>4</v>
      </c>
      <c r="F505" t="s">
        <v>30</v>
      </c>
      <c r="G505" t="s">
        <v>64</v>
      </c>
      <c r="H505" t="s">
        <v>47</v>
      </c>
      <c r="J505" s="1">
        <v>45708</v>
      </c>
      <c r="K505" t="s">
        <v>585</v>
      </c>
      <c r="L505" t="s">
        <v>17</v>
      </c>
      <c r="M505" t="s">
        <v>34</v>
      </c>
      <c r="N505" t="s">
        <v>73</v>
      </c>
    </row>
    <row r="506" spans="1:14" x14ac:dyDescent="0.25">
      <c r="A506" t="s">
        <v>583</v>
      </c>
      <c r="B506">
        <v>2140</v>
      </c>
      <c r="C506">
        <v>970</v>
      </c>
      <c r="E506">
        <v>4</v>
      </c>
      <c r="F506" t="s">
        <v>30</v>
      </c>
      <c r="G506" t="s">
        <v>64</v>
      </c>
      <c r="H506" t="s">
        <v>47</v>
      </c>
      <c r="J506" s="1">
        <v>44640</v>
      </c>
      <c r="K506" t="s">
        <v>586</v>
      </c>
      <c r="L506" t="s">
        <v>42</v>
      </c>
      <c r="M506" t="s">
        <v>92</v>
      </c>
      <c r="N506" t="s">
        <v>134</v>
      </c>
    </row>
    <row r="507" spans="1:14" x14ac:dyDescent="0.25">
      <c r="A507" t="s">
        <v>583</v>
      </c>
      <c r="B507">
        <v>2670</v>
      </c>
      <c r="C507">
        <v>1026</v>
      </c>
      <c r="E507">
        <v>1</v>
      </c>
      <c r="F507" t="s">
        <v>13</v>
      </c>
      <c r="G507" t="s">
        <v>39</v>
      </c>
      <c r="H507" t="s">
        <v>32</v>
      </c>
      <c r="J507" s="1">
        <v>44104</v>
      </c>
      <c r="K507" t="s">
        <v>584</v>
      </c>
      <c r="L507" t="s">
        <v>42</v>
      </c>
      <c r="M507" t="s">
        <v>75</v>
      </c>
      <c r="N507" t="s">
        <v>389</v>
      </c>
    </row>
    <row r="508" spans="1:14" x14ac:dyDescent="0.25">
      <c r="A508" t="s">
        <v>583</v>
      </c>
      <c r="B508">
        <v>2670</v>
      </c>
      <c r="C508">
        <v>1026</v>
      </c>
      <c r="E508">
        <v>1</v>
      </c>
      <c r="F508" t="s">
        <v>13</v>
      </c>
      <c r="G508" t="s">
        <v>39</v>
      </c>
      <c r="H508" t="s">
        <v>32</v>
      </c>
      <c r="J508" s="1">
        <v>45708</v>
      </c>
      <c r="K508" t="s">
        <v>585</v>
      </c>
      <c r="L508" t="s">
        <v>17</v>
      </c>
      <c r="M508" t="s">
        <v>34</v>
      </c>
      <c r="N508" t="s">
        <v>73</v>
      </c>
    </row>
    <row r="509" spans="1:14" x14ac:dyDescent="0.25">
      <c r="A509" t="s">
        <v>583</v>
      </c>
      <c r="B509">
        <v>2670</v>
      </c>
      <c r="C509">
        <v>1026</v>
      </c>
      <c r="E509">
        <v>1</v>
      </c>
      <c r="F509" t="s">
        <v>13</v>
      </c>
      <c r="G509" t="s">
        <v>39</v>
      </c>
      <c r="H509" t="s">
        <v>32</v>
      </c>
      <c r="J509" s="1">
        <v>44640</v>
      </c>
      <c r="K509" t="s">
        <v>586</v>
      </c>
      <c r="L509" t="s">
        <v>42</v>
      </c>
      <c r="M509" t="s">
        <v>92</v>
      </c>
      <c r="N509" t="s">
        <v>134</v>
      </c>
    </row>
    <row r="510" spans="1:14" x14ac:dyDescent="0.25">
      <c r="A510" t="s">
        <v>587</v>
      </c>
      <c r="B510">
        <v>1108</v>
      </c>
      <c r="C510">
        <v>167</v>
      </c>
      <c r="E510">
        <v>18</v>
      </c>
      <c r="F510" t="s">
        <v>13</v>
      </c>
      <c r="G510" t="s">
        <v>39</v>
      </c>
      <c r="H510" t="s">
        <v>32</v>
      </c>
      <c r="J510" s="1">
        <v>45723</v>
      </c>
      <c r="K510" t="s">
        <v>588</v>
      </c>
      <c r="L510" t="s">
        <v>21</v>
      </c>
      <c r="M510" t="s">
        <v>63</v>
      </c>
      <c r="N510" t="s">
        <v>157</v>
      </c>
    </row>
    <row r="511" spans="1:14" x14ac:dyDescent="0.25">
      <c r="A511" t="s">
        <v>587</v>
      </c>
      <c r="B511">
        <v>9776</v>
      </c>
      <c r="C511">
        <v>3750</v>
      </c>
      <c r="E511">
        <v>9</v>
      </c>
      <c r="F511" t="s">
        <v>30</v>
      </c>
      <c r="G511" t="s">
        <v>78</v>
      </c>
      <c r="H511" t="s">
        <v>15</v>
      </c>
      <c r="J511" s="1">
        <v>45723</v>
      </c>
      <c r="K511" t="s">
        <v>588</v>
      </c>
      <c r="L511" t="s">
        <v>21</v>
      </c>
      <c r="M511" t="s">
        <v>63</v>
      </c>
      <c r="N511" t="s">
        <v>157</v>
      </c>
    </row>
    <row r="512" spans="1:14" x14ac:dyDescent="0.25">
      <c r="A512" t="s">
        <v>587</v>
      </c>
      <c r="B512">
        <v>535</v>
      </c>
      <c r="C512">
        <v>72</v>
      </c>
      <c r="E512">
        <v>6</v>
      </c>
      <c r="F512" t="s">
        <v>45</v>
      </c>
      <c r="G512" t="s">
        <v>109</v>
      </c>
      <c r="H512" t="s">
        <v>65</v>
      </c>
      <c r="J512" s="1">
        <v>45723</v>
      </c>
      <c r="K512" t="s">
        <v>588</v>
      </c>
      <c r="L512" t="s">
        <v>21</v>
      </c>
      <c r="M512" t="s">
        <v>63</v>
      </c>
      <c r="N512" t="s">
        <v>157</v>
      </c>
    </row>
    <row r="513" spans="1:14" x14ac:dyDescent="0.25">
      <c r="A513" t="s">
        <v>589</v>
      </c>
      <c r="B513">
        <v>7564</v>
      </c>
      <c r="C513">
        <v>3463</v>
      </c>
      <c r="E513">
        <v>5</v>
      </c>
      <c r="F513" t="s">
        <v>30</v>
      </c>
      <c r="G513" t="s">
        <v>64</v>
      </c>
      <c r="H513" t="s">
        <v>47</v>
      </c>
      <c r="J513" s="1">
        <v>45459</v>
      </c>
      <c r="K513" t="s">
        <v>590</v>
      </c>
      <c r="L513" t="s">
        <v>17</v>
      </c>
      <c r="M513" t="s">
        <v>150</v>
      </c>
      <c r="N513" t="s">
        <v>262</v>
      </c>
    </row>
    <row r="514" spans="1:14" x14ac:dyDescent="0.25">
      <c r="A514" t="s">
        <v>589</v>
      </c>
      <c r="B514">
        <v>7564</v>
      </c>
      <c r="C514">
        <v>3463</v>
      </c>
      <c r="E514">
        <v>5</v>
      </c>
      <c r="F514" t="s">
        <v>30</v>
      </c>
      <c r="G514" t="s">
        <v>64</v>
      </c>
      <c r="H514" t="s">
        <v>47</v>
      </c>
      <c r="J514" s="1">
        <v>44156</v>
      </c>
      <c r="K514" t="s">
        <v>591</v>
      </c>
      <c r="L514" t="s">
        <v>21</v>
      </c>
      <c r="M514" t="s">
        <v>172</v>
      </c>
      <c r="N514" t="s">
        <v>80</v>
      </c>
    </row>
    <row r="515" spans="1:14" x14ac:dyDescent="0.25">
      <c r="A515" t="s">
        <v>589</v>
      </c>
      <c r="B515">
        <v>7564</v>
      </c>
      <c r="C515">
        <v>3463</v>
      </c>
      <c r="E515">
        <v>5</v>
      </c>
      <c r="F515" t="s">
        <v>30</v>
      </c>
      <c r="G515" t="s">
        <v>64</v>
      </c>
      <c r="H515" t="s">
        <v>47</v>
      </c>
      <c r="J515" s="1">
        <v>45566</v>
      </c>
      <c r="K515" t="s">
        <v>592</v>
      </c>
      <c r="L515" t="s">
        <v>17</v>
      </c>
      <c r="M515" t="s">
        <v>18</v>
      </c>
      <c r="N515" t="s">
        <v>360</v>
      </c>
    </row>
    <row r="516" spans="1:14" x14ac:dyDescent="0.25">
      <c r="A516" t="s">
        <v>589</v>
      </c>
      <c r="B516">
        <v>7564</v>
      </c>
      <c r="C516">
        <v>3463</v>
      </c>
      <c r="E516">
        <v>5</v>
      </c>
      <c r="F516" t="s">
        <v>30</v>
      </c>
      <c r="G516" t="s">
        <v>64</v>
      </c>
      <c r="H516" t="s">
        <v>47</v>
      </c>
      <c r="J516" s="1">
        <v>45474</v>
      </c>
      <c r="K516" t="s">
        <v>593</v>
      </c>
      <c r="L516" t="s">
        <v>71</v>
      </c>
      <c r="M516" t="s">
        <v>138</v>
      </c>
      <c r="N516" t="s">
        <v>215</v>
      </c>
    </row>
    <row r="517" spans="1:14" x14ac:dyDescent="0.25">
      <c r="A517" t="s">
        <v>589</v>
      </c>
      <c r="B517">
        <v>3409</v>
      </c>
      <c r="C517">
        <v>1605</v>
      </c>
      <c r="E517">
        <v>20</v>
      </c>
      <c r="F517" t="s">
        <v>13</v>
      </c>
      <c r="G517" t="s">
        <v>14</v>
      </c>
      <c r="H517" t="s">
        <v>15</v>
      </c>
      <c r="J517" s="1">
        <v>45459</v>
      </c>
      <c r="K517" t="s">
        <v>590</v>
      </c>
      <c r="L517" t="s">
        <v>17</v>
      </c>
      <c r="M517" t="s">
        <v>150</v>
      </c>
      <c r="N517" t="s">
        <v>262</v>
      </c>
    </row>
    <row r="518" spans="1:14" x14ac:dyDescent="0.25">
      <c r="A518" t="s">
        <v>589</v>
      </c>
      <c r="B518">
        <v>3409</v>
      </c>
      <c r="C518">
        <v>1605</v>
      </c>
      <c r="E518">
        <v>20</v>
      </c>
      <c r="F518" t="s">
        <v>13</v>
      </c>
      <c r="G518" t="s">
        <v>14</v>
      </c>
      <c r="H518" t="s">
        <v>15</v>
      </c>
      <c r="J518" s="1">
        <v>44156</v>
      </c>
      <c r="K518" t="s">
        <v>591</v>
      </c>
      <c r="L518" t="s">
        <v>21</v>
      </c>
      <c r="M518" t="s">
        <v>172</v>
      </c>
      <c r="N518" t="s">
        <v>80</v>
      </c>
    </row>
    <row r="519" spans="1:14" x14ac:dyDescent="0.25">
      <c r="A519" t="s">
        <v>589</v>
      </c>
      <c r="B519">
        <v>3409</v>
      </c>
      <c r="C519">
        <v>1605</v>
      </c>
      <c r="E519">
        <v>20</v>
      </c>
      <c r="F519" t="s">
        <v>13</v>
      </c>
      <c r="G519" t="s">
        <v>14</v>
      </c>
      <c r="H519" t="s">
        <v>15</v>
      </c>
      <c r="J519" s="1">
        <v>45566</v>
      </c>
      <c r="K519" t="s">
        <v>592</v>
      </c>
      <c r="L519" t="s">
        <v>17</v>
      </c>
      <c r="M519" t="s">
        <v>18</v>
      </c>
      <c r="N519" t="s">
        <v>360</v>
      </c>
    </row>
    <row r="520" spans="1:14" x14ac:dyDescent="0.25">
      <c r="A520" t="s">
        <v>589</v>
      </c>
      <c r="B520">
        <v>3409</v>
      </c>
      <c r="C520">
        <v>1605</v>
      </c>
      <c r="E520">
        <v>20</v>
      </c>
      <c r="F520" t="s">
        <v>13</v>
      </c>
      <c r="G520" t="s">
        <v>14</v>
      </c>
      <c r="H520" t="s">
        <v>15</v>
      </c>
      <c r="J520" s="1">
        <v>45474</v>
      </c>
      <c r="K520" t="s">
        <v>593</v>
      </c>
      <c r="L520" t="s">
        <v>71</v>
      </c>
      <c r="M520" t="s">
        <v>138</v>
      </c>
      <c r="N520" t="s">
        <v>215</v>
      </c>
    </row>
    <row r="521" spans="1:14" x14ac:dyDescent="0.25">
      <c r="A521" t="s">
        <v>594</v>
      </c>
      <c r="B521">
        <v>9751</v>
      </c>
      <c r="C521">
        <v>2459</v>
      </c>
      <c r="E521">
        <v>13</v>
      </c>
      <c r="F521" t="s">
        <v>30</v>
      </c>
      <c r="G521" t="s">
        <v>31</v>
      </c>
      <c r="H521" t="s">
        <v>65</v>
      </c>
      <c r="J521" s="1">
        <v>44158</v>
      </c>
      <c r="K521" t="s">
        <v>595</v>
      </c>
      <c r="L521" t="s">
        <v>25</v>
      </c>
      <c r="M521" t="s">
        <v>26</v>
      </c>
      <c r="N521" t="s">
        <v>80</v>
      </c>
    </row>
    <row r="522" spans="1:14" x14ac:dyDescent="0.25">
      <c r="A522" t="s">
        <v>596</v>
      </c>
      <c r="B522">
        <v>6385</v>
      </c>
      <c r="C522">
        <v>2656</v>
      </c>
      <c r="E522">
        <v>11</v>
      </c>
      <c r="F522" t="s">
        <v>13</v>
      </c>
      <c r="G522" t="s">
        <v>28</v>
      </c>
      <c r="H522" t="s">
        <v>47</v>
      </c>
      <c r="J522" s="1">
        <v>45003</v>
      </c>
      <c r="K522" t="s">
        <v>597</v>
      </c>
      <c r="L522" t="s">
        <v>17</v>
      </c>
      <c r="M522" t="s">
        <v>34</v>
      </c>
      <c r="N522" t="s">
        <v>245</v>
      </c>
    </row>
    <row r="523" spans="1:14" x14ac:dyDescent="0.25">
      <c r="A523" t="s">
        <v>596</v>
      </c>
      <c r="B523">
        <v>6385</v>
      </c>
      <c r="C523">
        <v>2656</v>
      </c>
      <c r="E523">
        <v>11</v>
      </c>
      <c r="F523" t="s">
        <v>13</v>
      </c>
      <c r="G523" t="s">
        <v>28</v>
      </c>
      <c r="H523" t="s">
        <v>47</v>
      </c>
      <c r="J523" s="1">
        <v>44853</v>
      </c>
      <c r="K523" t="s">
        <v>598</v>
      </c>
      <c r="L523" t="s">
        <v>17</v>
      </c>
      <c r="M523" t="s">
        <v>150</v>
      </c>
      <c r="N523" t="s">
        <v>96</v>
      </c>
    </row>
    <row r="524" spans="1:14" x14ac:dyDescent="0.25">
      <c r="A524" t="s">
        <v>599</v>
      </c>
      <c r="B524">
        <v>6355</v>
      </c>
      <c r="C524">
        <v>1335</v>
      </c>
      <c r="E524">
        <v>15</v>
      </c>
      <c r="F524" t="s">
        <v>13</v>
      </c>
      <c r="G524" t="s">
        <v>14</v>
      </c>
      <c r="H524" t="s">
        <v>32</v>
      </c>
      <c r="J524" s="1">
        <v>45169</v>
      </c>
      <c r="K524" t="s">
        <v>600</v>
      </c>
      <c r="L524" t="s">
        <v>71</v>
      </c>
      <c r="M524" t="s">
        <v>86</v>
      </c>
      <c r="N524" t="s">
        <v>121</v>
      </c>
    </row>
    <row r="525" spans="1:14" x14ac:dyDescent="0.25">
      <c r="A525" t="s">
        <v>599</v>
      </c>
      <c r="B525">
        <v>6355</v>
      </c>
      <c r="C525">
        <v>1335</v>
      </c>
      <c r="E525">
        <v>15</v>
      </c>
      <c r="F525" t="s">
        <v>13</v>
      </c>
      <c r="G525" t="s">
        <v>14</v>
      </c>
      <c r="H525" t="s">
        <v>32</v>
      </c>
      <c r="J525" s="1">
        <v>44353</v>
      </c>
      <c r="K525" t="s">
        <v>601</v>
      </c>
      <c r="L525" t="s">
        <v>71</v>
      </c>
      <c r="M525" t="s">
        <v>86</v>
      </c>
      <c r="N525" t="s">
        <v>125</v>
      </c>
    </row>
    <row r="526" spans="1:14" x14ac:dyDescent="0.25">
      <c r="A526" t="s">
        <v>602</v>
      </c>
      <c r="B526">
        <v>7377</v>
      </c>
      <c r="C526">
        <v>320</v>
      </c>
      <c r="E526">
        <v>15</v>
      </c>
      <c r="F526" t="s">
        <v>13</v>
      </c>
      <c r="G526" t="s">
        <v>28</v>
      </c>
      <c r="H526" t="s">
        <v>32</v>
      </c>
      <c r="J526" s="1">
        <v>44916</v>
      </c>
      <c r="K526" t="s">
        <v>603</v>
      </c>
      <c r="L526" t="s">
        <v>71</v>
      </c>
      <c r="M526" t="s">
        <v>86</v>
      </c>
      <c r="N526" t="s">
        <v>152</v>
      </c>
    </row>
    <row r="527" spans="1:14" x14ac:dyDescent="0.25">
      <c r="A527" t="s">
        <v>602</v>
      </c>
      <c r="B527">
        <v>2054</v>
      </c>
      <c r="C527">
        <v>371</v>
      </c>
      <c r="E527">
        <v>12</v>
      </c>
      <c r="F527" t="s">
        <v>30</v>
      </c>
      <c r="G527" t="s">
        <v>57</v>
      </c>
      <c r="H527" t="s">
        <v>40</v>
      </c>
      <c r="J527" s="1">
        <v>44916</v>
      </c>
      <c r="K527" t="s">
        <v>603</v>
      </c>
      <c r="L527" t="s">
        <v>71</v>
      </c>
      <c r="M527" t="s">
        <v>86</v>
      </c>
      <c r="N527" t="s">
        <v>152</v>
      </c>
    </row>
    <row r="528" spans="1:14" x14ac:dyDescent="0.25">
      <c r="A528" t="s">
        <v>604</v>
      </c>
      <c r="B528">
        <v>7497</v>
      </c>
      <c r="C528">
        <v>319</v>
      </c>
      <c r="E528">
        <v>18</v>
      </c>
      <c r="F528" t="s">
        <v>45</v>
      </c>
      <c r="G528" t="s">
        <v>49</v>
      </c>
      <c r="H528" t="s">
        <v>65</v>
      </c>
      <c r="J528" s="1">
        <v>45334</v>
      </c>
      <c r="K528" t="s">
        <v>605</v>
      </c>
      <c r="L528" t="s">
        <v>21</v>
      </c>
      <c r="M528" t="s">
        <v>172</v>
      </c>
      <c r="N528" t="s">
        <v>218</v>
      </c>
    </row>
    <row r="529" spans="1:14" x14ac:dyDescent="0.25">
      <c r="A529" t="s">
        <v>606</v>
      </c>
      <c r="B529">
        <v>2565</v>
      </c>
      <c r="C529">
        <v>983</v>
      </c>
      <c r="E529">
        <v>20</v>
      </c>
      <c r="F529" t="s">
        <v>13</v>
      </c>
      <c r="G529" t="s">
        <v>14</v>
      </c>
      <c r="H529" t="s">
        <v>32</v>
      </c>
      <c r="J529" s="1">
        <v>44900</v>
      </c>
      <c r="K529" t="s">
        <v>607</v>
      </c>
      <c r="L529" t="s">
        <v>17</v>
      </c>
      <c r="M529" t="s">
        <v>18</v>
      </c>
      <c r="N529" t="s">
        <v>152</v>
      </c>
    </row>
    <row r="530" spans="1:14" x14ac:dyDescent="0.25">
      <c r="A530" t="s">
        <v>606</v>
      </c>
      <c r="B530">
        <v>5024</v>
      </c>
      <c r="C530">
        <v>1544</v>
      </c>
      <c r="E530">
        <v>19</v>
      </c>
      <c r="F530" t="s">
        <v>30</v>
      </c>
      <c r="G530" t="s">
        <v>31</v>
      </c>
      <c r="H530" t="s">
        <v>65</v>
      </c>
      <c r="J530" s="1">
        <v>44900</v>
      </c>
      <c r="K530" t="s">
        <v>607</v>
      </c>
      <c r="L530" t="s">
        <v>17</v>
      </c>
      <c r="M530" t="s">
        <v>18</v>
      </c>
      <c r="N530" t="s">
        <v>152</v>
      </c>
    </row>
    <row r="531" spans="1:14" x14ac:dyDescent="0.25">
      <c r="A531" t="s">
        <v>608</v>
      </c>
      <c r="B531">
        <v>8243</v>
      </c>
      <c r="C531">
        <v>1346</v>
      </c>
      <c r="E531">
        <v>15</v>
      </c>
      <c r="F531" t="s">
        <v>30</v>
      </c>
      <c r="G531" t="s">
        <v>78</v>
      </c>
      <c r="H531" t="s">
        <v>32</v>
      </c>
      <c r="J531" s="1">
        <v>44290</v>
      </c>
      <c r="K531" t="s">
        <v>609</v>
      </c>
      <c r="L531" t="s">
        <v>71</v>
      </c>
      <c r="M531" t="s">
        <v>138</v>
      </c>
      <c r="N531" t="s">
        <v>139</v>
      </c>
    </row>
    <row r="532" spans="1:14" x14ac:dyDescent="0.25">
      <c r="A532" t="s">
        <v>610</v>
      </c>
      <c r="B532">
        <v>7792</v>
      </c>
      <c r="C532">
        <v>1403</v>
      </c>
      <c r="E532">
        <v>13</v>
      </c>
      <c r="F532" t="s">
        <v>30</v>
      </c>
      <c r="G532" t="s">
        <v>64</v>
      </c>
      <c r="H532" t="s">
        <v>15</v>
      </c>
      <c r="J532" s="1">
        <v>44239</v>
      </c>
      <c r="K532" t="s">
        <v>611</v>
      </c>
      <c r="L532" t="s">
        <v>21</v>
      </c>
      <c r="M532" t="s">
        <v>172</v>
      </c>
      <c r="N532" t="s">
        <v>292</v>
      </c>
    </row>
    <row r="533" spans="1:14" x14ac:dyDescent="0.25">
      <c r="A533" t="s">
        <v>610</v>
      </c>
      <c r="B533">
        <v>7792</v>
      </c>
      <c r="C533">
        <v>1403</v>
      </c>
      <c r="E533">
        <v>13</v>
      </c>
      <c r="F533" t="s">
        <v>30</v>
      </c>
      <c r="G533" t="s">
        <v>64</v>
      </c>
      <c r="H533" t="s">
        <v>15</v>
      </c>
      <c r="J533" s="1">
        <v>44922</v>
      </c>
      <c r="K533" t="s">
        <v>612</v>
      </c>
      <c r="L533" t="s">
        <v>25</v>
      </c>
      <c r="M533" t="s">
        <v>68</v>
      </c>
      <c r="N533" t="s">
        <v>152</v>
      </c>
    </row>
    <row r="534" spans="1:14" x14ac:dyDescent="0.25">
      <c r="A534" t="s">
        <v>610</v>
      </c>
      <c r="B534">
        <v>7792</v>
      </c>
      <c r="C534">
        <v>1403</v>
      </c>
      <c r="E534">
        <v>13</v>
      </c>
      <c r="F534" t="s">
        <v>30</v>
      </c>
      <c r="G534" t="s">
        <v>64</v>
      </c>
      <c r="H534" t="s">
        <v>15</v>
      </c>
      <c r="J534" s="1">
        <v>45310</v>
      </c>
      <c r="K534" t="s">
        <v>613</v>
      </c>
      <c r="L534" t="s">
        <v>42</v>
      </c>
      <c r="M534" t="s">
        <v>75</v>
      </c>
      <c r="N534" t="s">
        <v>76</v>
      </c>
    </row>
    <row r="535" spans="1:14" x14ac:dyDescent="0.25">
      <c r="A535" t="s">
        <v>610</v>
      </c>
      <c r="B535">
        <v>2346</v>
      </c>
      <c r="C535">
        <v>388</v>
      </c>
      <c r="E535">
        <v>14</v>
      </c>
      <c r="F535" t="s">
        <v>45</v>
      </c>
      <c r="G535" t="s">
        <v>49</v>
      </c>
      <c r="H535" t="s">
        <v>32</v>
      </c>
      <c r="J535" s="1">
        <v>44239</v>
      </c>
      <c r="K535" t="s">
        <v>611</v>
      </c>
      <c r="L535" t="s">
        <v>21</v>
      </c>
      <c r="M535" t="s">
        <v>172</v>
      </c>
      <c r="N535" t="s">
        <v>292</v>
      </c>
    </row>
    <row r="536" spans="1:14" x14ac:dyDescent="0.25">
      <c r="A536" t="s">
        <v>610</v>
      </c>
      <c r="B536">
        <v>2346</v>
      </c>
      <c r="C536">
        <v>388</v>
      </c>
      <c r="E536">
        <v>14</v>
      </c>
      <c r="F536" t="s">
        <v>45</v>
      </c>
      <c r="G536" t="s">
        <v>49</v>
      </c>
      <c r="H536" t="s">
        <v>32</v>
      </c>
      <c r="J536" s="1">
        <v>44922</v>
      </c>
      <c r="K536" t="s">
        <v>612</v>
      </c>
      <c r="L536" t="s">
        <v>25</v>
      </c>
      <c r="M536" t="s">
        <v>68</v>
      </c>
      <c r="N536" t="s">
        <v>152</v>
      </c>
    </row>
    <row r="537" spans="1:14" x14ac:dyDescent="0.25">
      <c r="A537" t="s">
        <v>610</v>
      </c>
      <c r="B537">
        <v>2346</v>
      </c>
      <c r="C537">
        <v>388</v>
      </c>
      <c r="E537">
        <v>14</v>
      </c>
      <c r="F537" t="s">
        <v>45</v>
      </c>
      <c r="G537" t="s">
        <v>49</v>
      </c>
      <c r="H537" t="s">
        <v>32</v>
      </c>
      <c r="J537" s="1">
        <v>45310</v>
      </c>
      <c r="K537" t="s">
        <v>613</v>
      </c>
      <c r="L537" t="s">
        <v>42</v>
      </c>
      <c r="M537" t="s">
        <v>75</v>
      </c>
      <c r="N537" t="s">
        <v>76</v>
      </c>
    </row>
    <row r="538" spans="1:14" x14ac:dyDescent="0.25">
      <c r="A538" t="s">
        <v>614</v>
      </c>
      <c r="B538">
        <v>7346</v>
      </c>
      <c r="C538">
        <v>1043</v>
      </c>
      <c r="E538">
        <v>10</v>
      </c>
      <c r="F538" t="s">
        <v>45</v>
      </c>
      <c r="G538" t="s">
        <v>60</v>
      </c>
      <c r="H538" t="s">
        <v>47</v>
      </c>
      <c r="J538" s="1">
        <v>44920</v>
      </c>
      <c r="K538" t="s">
        <v>615</v>
      </c>
      <c r="L538" t="s">
        <v>98</v>
      </c>
      <c r="M538" t="s">
        <v>99</v>
      </c>
      <c r="N538" t="s">
        <v>152</v>
      </c>
    </row>
    <row r="539" spans="1:14" x14ac:dyDescent="0.25">
      <c r="A539" t="s">
        <v>614</v>
      </c>
      <c r="B539">
        <v>9770</v>
      </c>
      <c r="C539">
        <v>4132</v>
      </c>
      <c r="E539">
        <v>7</v>
      </c>
      <c r="F539" t="s">
        <v>13</v>
      </c>
      <c r="G539" t="s">
        <v>14</v>
      </c>
      <c r="H539" t="s">
        <v>15</v>
      </c>
      <c r="J539" s="1">
        <v>44920</v>
      </c>
      <c r="K539" t="s">
        <v>615</v>
      </c>
      <c r="L539" t="s">
        <v>98</v>
      </c>
      <c r="M539" t="s">
        <v>99</v>
      </c>
      <c r="N539" t="s">
        <v>152</v>
      </c>
    </row>
    <row r="540" spans="1:14" x14ac:dyDescent="0.25">
      <c r="A540" t="s">
        <v>614</v>
      </c>
      <c r="B540">
        <v>7179</v>
      </c>
      <c r="C540">
        <v>683</v>
      </c>
      <c r="E540">
        <v>13</v>
      </c>
      <c r="F540" t="s">
        <v>13</v>
      </c>
      <c r="G540" t="s">
        <v>39</v>
      </c>
      <c r="H540" t="s">
        <v>47</v>
      </c>
      <c r="J540" s="1">
        <v>44920</v>
      </c>
      <c r="K540" t="s">
        <v>615</v>
      </c>
      <c r="L540" t="s">
        <v>98</v>
      </c>
      <c r="M540" t="s">
        <v>99</v>
      </c>
      <c r="N540" t="s">
        <v>152</v>
      </c>
    </row>
    <row r="541" spans="1:14" x14ac:dyDescent="0.25">
      <c r="A541" t="s">
        <v>616</v>
      </c>
      <c r="B541">
        <v>5449</v>
      </c>
      <c r="C541">
        <v>2389</v>
      </c>
      <c r="E541">
        <v>2</v>
      </c>
      <c r="F541" t="s">
        <v>13</v>
      </c>
      <c r="G541" t="s">
        <v>82</v>
      </c>
      <c r="H541" t="s">
        <v>15</v>
      </c>
      <c r="J541" s="1">
        <v>44840</v>
      </c>
      <c r="K541" t="s">
        <v>617</v>
      </c>
      <c r="L541" t="s">
        <v>17</v>
      </c>
      <c r="M541" t="s">
        <v>18</v>
      </c>
      <c r="N541" t="s">
        <v>96</v>
      </c>
    </row>
    <row r="542" spans="1:14" x14ac:dyDescent="0.25">
      <c r="A542" t="s">
        <v>618</v>
      </c>
      <c r="B542">
        <v>2895</v>
      </c>
      <c r="C542">
        <v>104</v>
      </c>
      <c r="E542">
        <v>6</v>
      </c>
      <c r="F542" t="s">
        <v>45</v>
      </c>
      <c r="G542" t="s">
        <v>49</v>
      </c>
      <c r="H542" t="s">
        <v>65</v>
      </c>
      <c r="J542" s="1">
        <v>43948</v>
      </c>
      <c r="K542" t="s">
        <v>619</v>
      </c>
      <c r="L542" t="s">
        <v>25</v>
      </c>
      <c r="M542" t="s">
        <v>26</v>
      </c>
      <c r="N542" t="s">
        <v>162</v>
      </c>
    </row>
    <row r="543" spans="1:14" x14ac:dyDescent="0.25">
      <c r="A543" t="s">
        <v>618</v>
      </c>
      <c r="B543">
        <v>2895</v>
      </c>
      <c r="C543">
        <v>104</v>
      </c>
      <c r="E543">
        <v>6</v>
      </c>
      <c r="F543" t="s">
        <v>45</v>
      </c>
      <c r="G543" t="s">
        <v>49</v>
      </c>
      <c r="H543" t="s">
        <v>65</v>
      </c>
      <c r="J543" s="1">
        <v>45425</v>
      </c>
      <c r="K543" t="s">
        <v>620</v>
      </c>
      <c r="L543" t="s">
        <v>71</v>
      </c>
      <c r="M543" t="s">
        <v>138</v>
      </c>
      <c r="N543" t="s">
        <v>35</v>
      </c>
    </row>
    <row r="544" spans="1:14" x14ac:dyDescent="0.25">
      <c r="A544" t="s">
        <v>618</v>
      </c>
      <c r="B544">
        <v>697</v>
      </c>
      <c r="C544">
        <v>116</v>
      </c>
      <c r="E544">
        <v>1</v>
      </c>
      <c r="F544" t="s">
        <v>45</v>
      </c>
      <c r="G544" t="s">
        <v>49</v>
      </c>
      <c r="H544" t="s">
        <v>15</v>
      </c>
      <c r="J544" s="1">
        <v>43948</v>
      </c>
      <c r="K544" t="s">
        <v>619</v>
      </c>
      <c r="L544" t="s">
        <v>25</v>
      </c>
      <c r="M544" t="s">
        <v>26</v>
      </c>
      <c r="N544" t="s">
        <v>162</v>
      </c>
    </row>
    <row r="545" spans="1:14" x14ac:dyDescent="0.25">
      <c r="A545" t="s">
        <v>618</v>
      </c>
      <c r="B545">
        <v>697</v>
      </c>
      <c r="C545">
        <v>116</v>
      </c>
      <c r="E545">
        <v>1</v>
      </c>
      <c r="F545" t="s">
        <v>45</v>
      </c>
      <c r="G545" t="s">
        <v>49</v>
      </c>
      <c r="H545" t="s">
        <v>15</v>
      </c>
      <c r="J545" s="1">
        <v>45425</v>
      </c>
      <c r="K545" t="s">
        <v>620</v>
      </c>
      <c r="L545" t="s">
        <v>71</v>
      </c>
      <c r="M545" t="s">
        <v>138</v>
      </c>
      <c r="N545" t="s">
        <v>35</v>
      </c>
    </row>
    <row r="546" spans="1:14" x14ac:dyDescent="0.25">
      <c r="A546" t="s">
        <v>621</v>
      </c>
      <c r="B546">
        <v>6145</v>
      </c>
      <c r="C546">
        <v>1414</v>
      </c>
      <c r="E546">
        <v>4</v>
      </c>
      <c r="F546" t="s">
        <v>45</v>
      </c>
      <c r="G546" t="s">
        <v>49</v>
      </c>
      <c r="H546" t="s">
        <v>65</v>
      </c>
      <c r="J546" s="1">
        <v>44127</v>
      </c>
      <c r="K546" t="s">
        <v>622</v>
      </c>
      <c r="L546" t="s">
        <v>42</v>
      </c>
      <c r="M546" t="s">
        <v>43</v>
      </c>
      <c r="N546" t="s">
        <v>119</v>
      </c>
    </row>
    <row r="547" spans="1:14" x14ac:dyDescent="0.25">
      <c r="A547" t="s">
        <v>621</v>
      </c>
      <c r="B547">
        <v>2504</v>
      </c>
      <c r="C547">
        <v>440</v>
      </c>
      <c r="E547">
        <v>18</v>
      </c>
      <c r="F547" t="s">
        <v>13</v>
      </c>
      <c r="G547" t="s">
        <v>28</v>
      </c>
      <c r="H547" t="s">
        <v>15</v>
      </c>
      <c r="J547" s="1">
        <v>44127</v>
      </c>
      <c r="K547" t="s">
        <v>622</v>
      </c>
      <c r="L547" t="s">
        <v>42</v>
      </c>
      <c r="M547" t="s">
        <v>43</v>
      </c>
      <c r="N547" t="s">
        <v>119</v>
      </c>
    </row>
    <row r="548" spans="1:14" x14ac:dyDescent="0.25">
      <c r="A548" t="s">
        <v>621</v>
      </c>
      <c r="B548">
        <v>3124</v>
      </c>
      <c r="C548">
        <v>138</v>
      </c>
      <c r="E548">
        <v>16</v>
      </c>
      <c r="F548" t="s">
        <v>13</v>
      </c>
      <c r="G548" t="s">
        <v>82</v>
      </c>
      <c r="H548" t="s">
        <v>32</v>
      </c>
      <c r="J548" s="1">
        <v>44127</v>
      </c>
      <c r="K548" t="s">
        <v>622</v>
      </c>
      <c r="L548" t="s">
        <v>42</v>
      </c>
      <c r="M548" t="s">
        <v>43</v>
      </c>
      <c r="N548" t="s">
        <v>119</v>
      </c>
    </row>
    <row r="549" spans="1:14" x14ac:dyDescent="0.25">
      <c r="A549" t="s">
        <v>623</v>
      </c>
      <c r="B549">
        <v>6934</v>
      </c>
      <c r="C549">
        <v>1226</v>
      </c>
      <c r="E549">
        <v>1</v>
      </c>
      <c r="F549" t="s">
        <v>13</v>
      </c>
      <c r="G549" t="s">
        <v>14</v>
      </c>
      <c r="H549" t="s">
        <v>32</v>
      </c>
      <c r="J549" s="1">
        <v>44358</v>
      </c>
      <c r="K549" t="s">
        <v>624</v>
      </c>
      <c r="L549" t="s">
        <v>98</v>
      </c>
      <c r="M549" t="s">
        <v>107</v>
      </c>
      <c r="N549" t="s">
        <v>125</v>
      </c>
    </row>
    <row r="550" spans="1:14" x14ac:dyDescent="0.25">
      <c r="A550" t="s">
        <v>623</v>
      </c>
      <c r="B550">
        <v>6934</v>
      </c>
      <c r="C550">
        <v>1226</v>
      </c>
      <c r="E550">
        <v>1</v>
      </c>
      <c r="F550" t="s">
        <v>13</v>
      </c>
      <c r="G550" t="s">
        <v>14</v>
      </c>
      <c r="H550" t="s">
        <v>32</v>
      </c>
      <c r="J550" s="1">
        <v>44447</v>
      </c>
      <c r="K550" t="s">
        <v>595</v>
      </c>
      <c r="L550" t="s">
        <v>25</v>
      </c>
      <c r="M550" t="s">
        <v>68</v>
      </c>
      <c r="N550" t="s">
        <v>224</v>
      </c>
    </row>
    <row r="551" spans="1:14" x14ac:dyDescent="0.25">
      <c r="A551" t="s">
        <v>625</v>
      </c>
      <c r="B551">
        <v>4202</v>
      </c>
      <c r="C551">
        <v>1171</v>
      </c>
      <c r="E551">
        <v>3</v>
      </c>
      <c r="F551" t="s">
        <v>30</v>
      </c>
      <c r="G551" t="s">
        <v>57</v>
      </c>
      <c r="H551" t="s">
        <v>65</v>
      </c>
      <c r="J551" s="1">
        <v>44888</v>
      </c>
      <c r="K551" t="s">
        <v>626</v>
      </c>
      <c r="L551" t="s">
        <v>21</v>
      </c>
      <c r="M551" t="s">
        <v>172</v>
      </c>
      <c r="N551" t="s">
        <v>44</v>
      </c>
    </row>
    <row r="552" spans="1:14" x14ac:dyDescent="0.25">
      <c r="A552" t="s">
        <v>625</v>
      </c>
      <c r="B552">
        <v>4202</v>
      </c>
      <c r="C552">
        <v>1171</v>
      </c>
      <c r="E552">
        <v>3</v>
      </c>
      <c r="F552" t="s">
        <v>30</v>
      </c>
      <c r="G552" t="s">
        <v>57</v>
      </c>
      <c r="H552" t="s">
        <v>65</v>
      </c>
      <c r="J552" s="1">
        <v>44865</v>
      </c>
      <c r="K552" t="s">
        <v>627</v>
      </c>
      <c r="L552" t="s">
        <v>25</v>
      </c>
      <c r="M552" t="s">
        <v>68</v>
      </c>
      <c r="N552" t="s">
        <v>96</v>
      </c>
    </row>
    <row r="553" spans="1:14" x14ac:dyDescent="0.25">
      <c r="A553" t="s">
        <v>625</v>
      </c>
      <c r="B553">
        <v>4202</v>
      </c>
      <c r="C553">
        <v>1171</v>
      </c>
      <c r="E553">
        <v>3</v>
      </c>
      <c r="F553" t="s">
        <v>30</v>
      </c>
      <c r="G553" t="s">
        <v>57</v>
      </c>
      <c r="H553" t="s">
        <v>65</v>
      </c>
      <c r="J553" s="1">
        <v>45236</v>
      </c>
      <c r="K553" t="s">
        <v>628</v>
      </c>
      <c r="L553" t="s">
        <v>17</v>
      </c>
      <c r="M553" t="s">
        <v>150</v>
      </c>
      <c r="N553" t="s">
        <v>52</v>
      </c>
    </row>
    <row r="554" spans="1:14" x14ac:dyDescent="0.25">
      <c r="A554" t="s">
        <v>625</v>
      </c>
      <c r="B554">
        <v>4202</v>
      </c>
      <c r="C554">
        <v>1171</v>
      </c>
      <c r="E554">
        <v>3</v>
      </c>
      <c r="F554" t="s">
        <v>30</v>
      </c>
      <c r="G554" t="s">
        <v>57</v>
      </c>
      <c r="H554" t="s">
        <v>65</v>
      </c>
      <c r="J554" s="1">
        <v>45242</v>
      </c>
      <c r="K554" t="s">
        <v>629</v>
      </c>
      <c r="L554" t="s">
        <v>71</v>
      </c>
      <c r="M554" t="s">
        <v>138</v>
      </c>
      <c r="N554" t="s">
        <v>52</v>
      </c>
    </row>
    <row r="555" spans="1:14" x14ac:dyDescent="0.25">
      <c r="A555" t="s">
        <v>630</v>
      </c>
      <c r="B555">
        <v>2239</v>
      </c>
      <c r="C555">
        <v>828</v>
      </c>
      <c r="E555">
        <v>1</v>
      </c>
      <c r="F555" t="s">
        <v>13</v>
      </c>
      <c r="G555" t="s">
        <v>28</v>
      </c>
      <c r="H555" t="s">
        <v>15</v>
      </c>
      <c r="J555" s="1">
        <v>45103</v>
      </c>
      <c r="K555" t="s">
        <v>631</v>
      </c>
      <c r="L555" t="s">
        <v>42</v>
      </c>
      <c r="M555" t="s">
        <v>43</v>
      </c>
      <c r="N555" t="s">
        <v>19</v>
      </c>
    </row>
    <row r="556" spans="1:14" x14ac:dyDescent="0.25">
      <c r="A556" t="s">
        <v>630</v>
      </c>
      <c r="B556">
        <v>2239</v>
      </c>
      <c r="C556">
        <v>828</v>
      </c>
      <c r="E556">
        <v>1</v>
      </c>
      <c r="F556" t="s">
        <v>13</v>
      </c>
      <c r="G556" t="s">
        <v>28</v>
      </c>
      <c r="H556" t="s">
        <v>15</v>
      </c>
      <c r="J556" s="1">
        <v>45199</v>
      </c>
      <c r="K556" t="s">
        <v>632</v>
      </c>
      <c r="L556" t="s">
        <v>21</v>
      </c>
      <c r="M556" t="s">
        <v>22</v>
      </c>
      <c r="N556" t="s">
        <v>273</v>
      </c>
    </row>
    <row r="557" spans="1:14" x14ac:dyDescent="0.25">
      <c r="A557" t="s">
        <v>630</v>
      </c>
      <c r="B557">
        <v>2450</v>
      </c>
      <c r="C557">
        <v>1002</v>
      </c>
      <c r="E557">
        <v>4</v>
      </c>
      <c r="F557" t="s">
        <v>13</v>
      </c>
      <c r="G557" t="s">
        <v>82</v>
      </c>
      <c r="H557" t="s">
        <v>32</v>
      </c>
      <c r="J557" s="1">
        <v>45103</v>
      </c>
      <c r="K557" t="s">
        <v>631</v>
      </c>
      <c r="L557" t="s">
        <v>42</v>
      </c>
      <c r="M557" t="s">
        <v>43</v>
      </c>
      <c r="N557" t="s">
        <v>19</v>
      </c>
    </row>
    <row r="558" spans="1:14" x14ac:dyDescent="0.25">
      <c r="A558" t="s">
        <v>630</v>
      </c>
      <c r="B558">
        <v>2450</v>
      </c>
      <c r="C558">
        <v>1002</v>
      </c>
      <c r="E558">
        <v>4</v>
      </c>
      <c r="F558" t="s">
        <v>13</v>
      </c>
      <c r="G558" t="s">
        <v>82</v>
      </c>
      <c r="H558" t="s">
        <v>32</v>
      </c>
      <c r="J558" s="1">
        <v>45199</v>
      </c>
      <c r="K558" t="s">
        <v>632</v>
      </c>
      <c r="L558" t="s">
        <v>21</v>
      </c>
      <c r="M558" t="s">
        <v>22</v>
      </c>
      <c r="N558" t="s">
        <v>273</v>
      </c>
    </row>
    <row r="559" spans="1:14" x14ac:dyDescent="0.25">
      <c r="A559" t="s">
        <v>633</v>
      </c>
      <c r="B559">
        <v>9827</v>
      </c>
      <c r="C559">
        <v>4208</v>
      </c>
      <c r="E559">
        <v>13</v>
      </c>
      <c r="F559" t="s">
        <v>45</v>
      </c>
      <c r="G559" t="s">
        <v>49</v>
      </c>
      <c r="H559" t="s">
        <v>32</v>
      </c>
      <c r="J559" s="1">
        <v>44086</v>
      </c>
      <c r="K559" t="s">
        <v>634</v>
      </c>
      <c r="L559" t="s">
        <v>25</v>
      </c>
      <c r="M559" t="s">
        <v>51</v>
      </c>
      <c r="N559" t="s">
        <v>389</v>
      </c>
    </row>
    <row r="560" spans="1:14" x14ac:dyDescent="0.25">
      <c r="A560" t="s">
        <v>633</v>
      </c>
      <c r="B560">
        <v>8077</v>
      </c>
      <c r="C560">
        <v>240</v>
      </c>
      <c r="E560">
        <v>15</v>
      </c>
      <c r="F560" t="s">
        <v>45</v>
      </c>
      <c r="G560" t="s">
        <v>60</v>
      </c>
      <c r="H560" t="s">
        <v>47</v>
      </c>
      <c r="J560" s="1">
        <v>44086</v>
      </c>
      <c r="K560" t="s">
        <v>634</v>
      </c>
      <c r="L560" t="s">
        <v>25</v>
      </c>
      <c r="M560" t="s">
        <v>51</v>
      </c>
      <c r="N560" t="s">
        <v>389</v>
      </c>
    </row>
    <row r="561" spans="1:14" x14ac:dyDescent="0.25">
      <c r="A561" t="s">
        <v>635</v>
      </c>
      <c r="B561">
        <v>5152</v>
      </c>
      <c r="C561">
        <v>2045</v>
      </c>
      <c r="E561">
        <v>14</v>
      </c>
      <c r="F561" t="s">
        <v>13</v>
      </c>
      <c r="G561" t="s">
        <v>82</v>
      </c>
      <c r="H561" t="s">
        <v>15</v>
      </c>
      <c r="J561" s="1">
        <v>44162</v>
      </c>
      <c r="K561" t="s">
        <v>636</v>
      </c>
      <c r="L561" t="s">
        <v>21</v>
      </c>
      <c r="M561" t="s">
        <v>63</v>
      </c>
      <c r="N561" t="s">
        <v>80</v>
      </c>
    </row>
    <row r="562" spans="1:14" x14ac:dyDescent="0.25">
      <c r="A562" t="s">
        <v>635</v>
      </c>
      <c r="B562">
        <v>5152</v>
      </c>
      <c r="C562">
        <v>2045</v>
      </c>
      <c r="E562">
        <v>14</v>
      </c>
      <c r="F562" t="s">
        <v>13</v>
      </c>
      <c r="G562" t="s">
        <v>82</v>
      </c>
      <c r="H562" t="s">
        <v>15</v>
      </c>
      <c r="J562" s="1">
        <v>44798</v>
      </c>
      <c r="K562" t="s">
        <v>637</v>
      </c>
      <c r="L562" t="s">
        <v>42</v>
      </c>
      <c r="M562" t="s">
        <v>43</v>
      </c>
      <c r="N562" t="s">
        <v>209</v>
      </c>
    </row>
    <row r="563" spans="1:14" x14ac:dyDescent="0.25">
      <c r="A563" t="s">
        <v>635</v>
      </c>
      <c r="B563">
        <v>5152</v>
      </c>
      <c r="C563">
        <v>2045</v>
      </c>
      <c r="E563">
        <v>14</v>
      </c>
      <c r="F563" t="s">
        <v>13</v>
      </c>
      <c r="G563" t="s">
        <v>82</v>
      </c>
      <c r="H563" t="s">
        <v>15</v>
      </c>
      <c r="J563" s="1">
        <v>45161</v>
      </c>
      <c r="K563" t="s">
        <v>638</v>
      </c>
      <c r="L563" t="s">
        <v>21</v>
      </c>
      <c r="M563" t="s">
        <v>22</v>
      </c>
      <c r="N563" t="s">
        <v>121</v>
      </c>
    </row>
    <row r="564" spans="1:14" x14ac:dyDescent="0.25">
      <c r="A564" t="s">
        <v>635</v>
      </c>
      <c r="B564">
        <v>5152</v>
      </c>
      <c r="C564">
        <v>2045</v>
      </c>
      <c r="E564">
        <v>14</v>
      </c>
      <c r="F564" t="s">
        <v>13</v>
      </c>
      <c r="G564" t="s">
        <v>82</v>
      </c>
      <c r="H564" t="s">
        <v>15</v>
      </c>
      <c r="J564" s="1">
        <v>45210</v>
      </c>
      <c r="K564" t="s">
        <v>639</v>
      </c>
      <c r="L564" t="s">
        <v>25</v>
      </c>
      <c r="M564" t="s">
        <v>68</v>
      </c>
      <c r="N564" t="s">
        <v>442</v>
      </c>
    </row>
    <row r="565" spans="1:14" x14ac:dyDescent="0.25">
      <c r="A565" t="s">
        <v>640</v>
      </c>
      <c r="B565">
        <v>2542</v>
      </c>
      <c r="C565">
        <v>190</v>
      </c>
      <c r="E565">
        <v>1</v>
      </c>
      <c r="F565" t="s">
        <v>30</v>
      </c>
      <c r="G565" t="s">
        <v>57</v>
      </c>
      <c r="H565" t="s">
        <v>47</v>
      </c>
      <c r="J565" s="1">
        <v>44672</v>
      </c>
      <c r="K565" t="s">
        <v>641</v>
      </c>
      <c r="L565" t="s">
        <v>71</v>
      </c>
      <c r="M565" t="s">
        <v>138</v>
      </c>
      <c r="N565" t="s">
        <v>187</v>
      </c>
    </row>
    <row r="566" spans="1:14" x14ac:dyDescent="0.25">
      <c r="A566" t="s">
        <v>642</v>
      </c>
      <c r="B566">
        <v>8102</v>
      </c>
      <c r="C566">
        <v>1800</v>
      </c>
      <c r="E566">
        <v>5</v>
      </c>
      <c r="F566" t="s">
        <v>30</v>
      </c>
      <c r="G566" t="s">
        <v>57</v>
      </c>
      <c r="H566" t="s">
        <v>15</v>
      </c>
      <c r="J566" s="1">
        <v>45183</v>
      </c>
      <c r="K566" t="s">
        <v>643</v>
      </c>
      <c r="L566" t="s">
        <v>42</v>
      </c>
      <c r="M566" t="s">
        <v>92</v>
      </c>
      <c r="N566" t="s">
        <v>273</v>
      </c>
    </row>
    <row r="567" spans="1:14" x14ac:dyDescent="0.25">
      <c r="A567" t="s">
        <v>642</v>
      </c>
      <c r="B567">
        <v>8102</v>
      </c>
      <c r="C567">
        <v>1800</v>
      </c>
      <c r="E567">
        <v>5</v>
      </c>
      <c r="F567" t="s">
        <v>30</v>
      </c>
      <c r="G567" t="s">
        <v>57</v>
      </c>
      <c r="H567" t="s">
        <v>15</v>
      </c>
      <c r="J567" s="1">
        <v>43950</v>
      </c>
      <c r="K567" t="s">
        <v>644</v>
      </c>
      <c r="L567" t="s">
        <v>25</v>
      </c>
      <c r="M567" t="s">
        <v>26</v>
      </c>
      <c r="N567" t="s">
        <v>162</v>
      </c>
    </row>
    <row r="568" spans="1:14" x14ac:dyDescent="0.25">
      <c r="A568" t="s">
        <v>642</v>
      </c>
      <c r="B568">
        <v>8102</v>
      </c>
      <c r="C568">
        <v>1800</v>
      </c>
      <c r="E568">
        <v>5</v>
      </c>
      <c r="F568" t="s">
        <v>30</v>
      </c>
      <c r="G568" t="s">
        <v>57</v>
      </c>
      <c r="H568" t="s">
        <v>15</v>
      </c>
      <c r="J568" s="1">
        <v>44180</v>
      </c>
      <c r="K568" t="s">
        <v>645</v>
      </c>
      <c r="L568" t="s">
        <v>98</v>
      </c>
      <c r="M568" t="s">
        <v>117</v>
      </c>
      <c r="N568" t="s">
        <v>287</v>
      </c>
    </row>
    <row r="569" spans="1:14" x14ac:dyDescent="0.25">
      <c r="A569" t="s">
        <v>642</v>
      </c>
      <c r="B569">
        <v>3234</v>
      </c>
      <c r="C569">
        <v>1274</v>
      </c>
      <c r="E569">
        <v>10</v>
      </c>
      <c r="F569" t="s">
        <v>45</v>
      </c>
      <c r="G569" t="s">
        <v>46</v>
      </c>
      <c r="H569" t="s">
        <v>40</v>
      </c>
      <c r="J569" s="1">
        <v>45183</v>
      </c>
      <c r="K569" t="s">
        <v>643</v>
      </c>
      <c r="L569" t="s">
        <v>42</v>
      </c>
      <c r="M569" t="s">
        <v>92</v>
      </c>
      <c r="N569" t="s">
        <v>273</v>
      </c>
    </row>
    <row r="570" spans="1:14" x14ac:dyDescent="0.25">
      <c r="A570" t="s">
        <v>642</v>
      </c>
      <c r="B570">
        <v>3234</v>
      </c>
      <c r="C570">
        <v>1274</v>
      </c>
      <c r="E570">
        <v>10</v>
      </c>
      <c r="F570" t="s">
        <v>45</v>
      </c>
      <c r="G570" t="s">
        <v>46</v>
      </c>
      <c r="H570" t="s">
        <v>40</v>
      </c>
      <c r="J570" s="1">
        <v>43950</v>
      </c>
      <c r="K570" t="s">
        <v>644</v>
      </c>
      <c r="L570" t="s">
        <v>25</v>
      </c>
      <c r="M570" t="s">
        <v>26</v>
      </c>
      <c r="N570" t="s">
        <v>162</v>
      </c>
    </row>
    <row r="571" spans="1:14" x14ac:dyDescent="0.25">
      <c r="A571" t="s">
        <v>642</v>
      </c>
      <c r="B571">
        <v>3234</v>
      </c>
      <c r="C571">
        <v>1274</v>
      </c>
      <c r="E571">
        <v>10</v>
      </c>
      <c r="F571" t="s">
        <v>45</v>
      </c>
      <c r="G571" t="s">
        <v>46</v>
      </c>
      <c r="H571" t="s">
        <v>40</v>
      </c>
      <c r="J571" s="1">
        <v>44180</v>
      </c>
      <c r="K571" t="s">
        <v>645</v>
      </c>
      <c r="L571" t="s">
        <v>98</v>
      </c>
      <c r="M571" t="s">
        <v>117</v>
      </c>
      <c r="N571" t="s">
        <v>287</v>
      </c>
    </row>
    <row r="572" spans="1:14" x14ac:dyDescent="0.25">
      <c r="A572" t="s">
        <v>646</v>
      </c>
      <c r="B572">
        <v>6200</v>
      </c>
      <c r="C572">
        <v>2321</v>
      </c>
      <c r="E572">
        <v>18</v>
      </c>
      <c r="F572" t="s">
        <v>45</v>
      </c>
      <c r="G572" t="s">
        <v>46</v>
      </c>
      <c r="H572" t="s">
        <v>47</v>
      </c>
      <c r="J572" s="1">
        <v>45484</v>
      </c>
      <c r="K572" t="s">
        <v>647</v>
      </c>
      <c r="L572" t="s">
        <v>42</v>
      </c>
      <c r="M572" t="s">
        <v>43</v>
      </c>
      <c r="N572" t="s">
        <v>215</v>
      </c>
    </row>
    <row r="573" spans="1:14" x14ac:dyDescent="0.25">
      <c r="A573" t="s">
        <v>646</v>
      </c>
      <c r="B573">
        <v>6200</v>
      </c>
      <c r="C573">
        <v>2321</v>
      </c>
      <c r="E573">
        <v>18</v>
      </c>
      <c r="F573" t="s">
        <v>45</v>
      </c>
      <c r="G573" t="s">
        <v>46</v>
      </c>
      <c r="H573" t="s">
        <v>47</v>
      </c>
      <c r="J573" s="1">
        <v>45556</v>
      </c>
      <c r="K573" t="s">
        <v>648</v>
      </c>
      <c r="L573" t="s">
        <v>17</v>
      </c>
      <c r="M573" t="s">
        <v>18</v>
      </c>
      <c r="N573" t="s">
        <v>159</v>
      </c>
    </row>
    <row r="574" spans="1:14" x14ac:dyDescent="0.25">
      <c r="A574" t="s">
        <v>649</v>
      </c>
      <c r="B574">
        <v>4470</v>
      </c>
      <c r="C574">
        <v>413</v>
      </c>
      <c r="E574">
        <v>13</v>
      </c>
      <c r="F574" t="s">
        <v>13</v>
      </c>
      <c r="G574" t="s">
        <v>39</v>
      </c>
      <c r="H574" t="s">
        <v>15</v>
      </c>
      <c r="J574" s="1">
        <v>45690</v>
      </c>
      <c r="K574" t="s">
        <v>650</v>
      </c>
      <c r="L574" t="s">
        <v>42</v>
      </c>
      <c r="M574" t="s">
        <v>43</v>
      </c>
      <c r="N574" t="s">
        <v>73</v>
      </c>
    </row>
    <row r="575" spans="1:14" x14ac:dyDescent="0.25">
      <c r="A575" t="s">
        <v>651</v>
      </c>
      <c r="B575">
        <v>916</v>
      </c>
      <c r="C575">
        <v>362</v>
      </c>
      <c r="E575">
        <v>7</v>
      </c>
      <c r="F575" t="s">
        <v>30</v>
      </c>
      <c r="G575" t="s">
        <v>31</v>
      </c>
      <c r="H575" t="s">
        <v>15</v>
      </c>
      <c r="J575" s="1">
        <v>44855</v>
      </c>
      <c r="K575" t="s">
        <v>652</v>
      </c>
      <c r="L575" t="s">
        <v>21</v>
      </c>
      <c r="M575" t="s">
        <v>63</v>
      </c>
      <c r="N575" t="s">
        <v>96</v>
      </c>
    </row>
    <row r="576" spans="1:14" x14ac:dyDescent="0.25">
      <c r="A576" t="s">
        <v>651</v>
      </c>
      <c r="B576">
        <v>916</v>
      </c>
      <c r="C576">
        <v>362</v>
      </c>
      <c r="E576">
        <v>7</v>
      </c>
      <c r="F576" t="s">
        <v>30</v>
      </c>
      <c r="G576" t="s">
        <v>31</v>
      </c>
      <c r="H576" t="s">
        <v>15</v>
      </c>
      <c r="J576" s="1">
        <v>44125</v>
      </c>
      <c r="K576" t="s">
        <v>653</v>
      </c>
      <c r="L576" t="s">
        <v>42</v>
      </c>
      <c r="M576" t="s">
        <v>92</v>
      </c>
      <c r="N576" t="s">
        <v>119</v>
      </c>
    </row>
    <row r="577" spans="1:14" x14ac:dyDescent="0.25">
      <c r="A577" t="s">
        <v>651</v>
      </c>
      <c r="B577">
        <v>1165</v>
      </c>
      <c r="C577">
        <v>302</v>
      </c>
      <c r="E577">
        <v>20</v>
      </c>
      <c r="F577" t="s">
        <v>45</v>
      </c>
      <c r="G577" t="s">
        <v>60</v>
      </c>
      <c r="H577" t="s">
        <v>15</v>
      </c>
      <c r="J577" s="1">
        <v>44855</v>
      </c>
      <c r="K577" t="s">
        <v>652</v>
      </c>
      <c r="L577" t="s">
        <v>21</v>
      </c>
      <c r="M577" t="s">
        <v>63</v>
      </c>
      <c r="N577" t="s">
        <v>96</v>
      </c>
    </row>
    <row r="578" spans="1:14" x14ac:dyDescent="0.25">
      <c r="A578" t="s">
        <v>651</v>
      </c>
      <c r="B578">
        <v>1165</v>
      </c>
      <c r="C578">
        <v>302</v>
      </c>
      <c r="E578">
        <v>20</v>
      </c>
      <c r="F578" t="s">
        <v>45</v>
      </c>
      <c r="G578" t="s">
        <v>60</v>
      </c>
      <c r="H578" t="s">
        <v>15</v>
      </c>
      <c r="J578" s="1">
        <v>44125</v>
      </c>
      <c r="K578" t="s">
        <v>653</v>
      </c>
      <c r="L578" t="s">
        <v>42</v>
      </c>
      <c r="M578" t="s">
        <v>92</v>
      </c>
      <c r="N578" t="s">
        <v>119</v>
      </c>
    </row>
    <row r="579" spans="1:14" x14ac:dyDescent="0.25">
      <c r="A579" t="s">
        <v>651</v>
      </c>
      <c r="B579">
        <v>7846</v>
      </c>
      <c r="C579">
        <v>677</v>
      </c>
      <c r="E579">
        <v>12</v>
      </c>
      <c r="F579" t="s">
        <v>45</v>
      </c>
      <c r="G579" t="s">
        <v>49</v>
      </c>
      <c r="H579" t="s">
        <v>15</v>
      </c>
      <c r="J579" s="1">
        <v>44855</v>
      </c>
      <c r="K579" t="s">
        <v>652</v>
      </c>
      <c r="L579" t="s">
        <v>21</v>
      </c>
      <c r="M579" t="s">
        <v>63</v>
      </c>
      <c r="N579" t="s">
        <v>96</v>
      </c>
    </row>
    <row r="580" spans="1:14" x14ac:dyDescent="0.25">
      <c r="A580" t="s">
        <v>651</v>
      </c>
      <c r="B580">
        <v>7846</v>
      </c>
      <c r="C580">
        <v>677</v>
      </c>
      <c r="E580">
        <v>12</v>
      </c>
      <c r="F580" t="s">
        <v>45</v>
      </c>
      <c r="G580" t="s">
        <v>49</v>
      </c>
      <c r="H580" t="s">
        <v>15</v>
      </c>
      <c r="J580" s="1">
        <v>44125</v>
      </c>
      <c r="K580" t="s">
        <v>653</v>
      </c>
      <c r="L580" t="s">
        <v>42</v>
      </c>
      <c r="M580" t="s">
        <v>92</v>
      </c>
      <c r="N580" t="s">
        <v>119</v>
      </c>
    </row>
    <row r="581" spans="1:14" x14ac:dyDescent="0.25">
      <c r="A581" t="s">
        <v>654</v>
      </c>
      <c r="B581">
        <v>3022</v>
      </c>
      <c r="C581">
        <v>384</v>
      </c>
      <c r="E581">
        <v>1</v>
      </c>
      <c r="F581" t="s">
        <v>30</v>
      </c>
      <c r="G581" t="s">
        <v>31</v>
      </c>
      <c r="H581" t="s">
        <v>47</v>
      </c>
      <c r="J581" s="1">
        <v>44572</v>
      </c>
      <c r="K581" t="s">
        <v>655</v>
      </c>
      <c r="L581" t="s">
        <v>71</v>
      </c>
      <c r="M581" t="s">
        <v>86</v>
      </c>
      <c r="N581" t="s">
        <v>87</v>
      </c>
    </row>
    <row r="582" spans="1:14" x14ac:dyDescent="0.25">
      <c r="A582" t="s">
        <v>654</v>
      </c>
      <c r="B582">
        <v>3022</v>
      </c>
      <c r="C582">
        <v>384</v>
      </c>
      <c r="E582">
        <v>1</v>
      </c>
      <c r="F582" t="s">
        <v>30</v>
      </c>
      <c r="G582" t="s">
        <v>31</v>
      </c>
      <c r="H582" t="s">
        <v>47</v>
      </c>
      <c r="J582" s="1">
        <v>44244</v>
      </c>
      <c r="K582" t="s">
        <v>656</v>
      </c>
      <c r="L582" t="s">
        <v>21</v>
      </c>
      <c r="M582" t="s">
        <v>22</v>
      </c>
      <c r="N582" t="s">
        <v>292</v>
      </c>
    </row>
    <row r="583" spans="1:14" x14ac:dyDescent="0.25">
      <c r="A583" t="s">
        <v>654</v>
      </c>
      <c r="B583">
        <v>5266</v>
      </c>
      <c r="C583">
        <v>1111</v>
      </c>
      <c r="E583">
        <v>13</v>
      </c>
      <c r="F583" t="s">
        <v>13</v>
      </c>
      <c r="G583" t="s">
        <v>14</v>
      </c>
      <c r="H583" t="s">
        <v>32</v>
      </c>
      <c r="J583" s="1">
        <v>44572</v>
      </c>
      <c r="K583" t="s">
        <v>655</v>
      </c>
      <c r="L583" t="s">
        <v>71</v>
      </c>
      <c r="M583" t="s">
        <v>86</v>
      </c>
      <c r="N583" t="s">
        <v>87</v>
      </c>
    </row>
    <row r="584" spans="1:14" x14ac:dyDescent="0.25">
      <c r="A584" t="s">
        <v>654</v>
      </c>
      <c r="B584">
        <v>5266</v>
      </c>
      <c r="C584">
        <v>1111</v>
      </c>
      <c r="E584">
        <v>13</v>
      </c>
      <c r="F584" t="s">
        <v>13</v>
      </c>
      <c r="G584" t="s">
        <v>14</v>
      </c>
      <c r="H584" t="s">
        <v>32</v>
      </c>
      <c r="J584" s="1">
        <v>44244</v>
      </c>
      <c r="K584" t="s">
        <v>656</v>
      </c>
      <c r="L584" t="s">
        <v>21</v>
      </c>
      <c r="M584" t="s">
        <v>22</v>
      </c>
      <c r="N584" t="s">
        <v>292</v>
      </c>
    </row>
    <row r="585" spans="1:14" x14ac:dyDescent="0.25">
      <c r="A585" t="s">
        <v>657</v>
      </c>
      <c r="B585">
        <v>4853</v>
      </c>
      <c r="C585">
        <v>1764</v>
      </c>
      <c r="E585">
        <v>9</v>
      </c>
      <c r="F585" t="s">
        <v>30</v>
      </c>
      <c r="G585" t="s">
        <v>31</v>
      </c>
      <c r="H585" t="s">
        <v>32</v>
      </c>
      <c r="J585" s="1">
        <v>44506</v>
      </c>
      <c r="K585" t="s">
        <v>658</v>
      </c>
      <c r="L585" t="s">
        <v>17</v>
      </c>
      <c r="M585" t="s">
        <v>34</v>
      </c>
      <c r="N585" t="s">
        <v>175</v>
      </c>
    </row>
    <row r="586" spans="1:14" x14ac:dyDescent="0.25">
      <c r="A586" t="s">
        <v>657</v>
      </c>
      <c r="B586">
        <v>4853</v>
      </c>
      <c r="C586">
        <v>1764</v>
      </c>
      <c r="E586">
        <v>9</v>
      </c>
      <c r="F586" t="s">
        <v>30</v>
      </c>
      <c r="G586" t="s">
        <v>31</v>
      </c>
      <c r="H586" t="s">
        <v>32</v>
      </c>
      <c r="J586" s="1">
        <v>44803</v>
      </c>
      <c r="K586" t="s">
        <v>659</v>
      </c>
      <c r="L586" t="s">
        <v>71</v>
      </c>
      <c r="M586" t="s">
        <v>138</v>
      </c>
      <c r="N586" t="s">
        <v>209</v>
      </c>
    </row>
    <row r="587" spans="1:14" x14ac:dyDescent="0.25">
      <c r="A587" t="s">
        <v>660</v>
      </c>
      <c r="B587">
        <v>9832</v>
      </c>
      <c r="C587">
        <v>1270</v>
      </c>
      <c r="E587">
        <v>1</v>
      </c>
      <c r="F587" t="s">
        <v>30</v>
      </c>
      <c r="G587" t="s">
        <v>31</v>
      </c>
      <c r="H587" t="s">
        <v>65</v>
      </c>
      <c r="J587" s="1">
        <v>44841</v>
      </c>
      <c r="K587" t="s">
        <v>661</v>
      </c>
      <c r="L587" t="s">
        <v>42</v>
      </c>
      <c r="M587" t="s">
        <v>92</v>
      </c>
      <c r="N587" t="s">
        <v>96</v>
      </c>
    </row>
    <row r="588" spans="1:14" x14ac:dyDescent="0.25">
      <c r="A588" t="s">
        <v>660</v>
      </c>
      <c r="B588">
        <v>796</v>
      </c>
      <c r="C588">
        <v>153</v>
      </c>
      <c r="E588">
        <v>15</v>
      </c>
      <c r="F588" t="s">
        <v>30</v>
      </c>
      <c r="G588" t="s">
        <v>31</v>
      </c>
      <c r="H588" t="s">
        <v>47</v>
      </c>
      <c r="J588" s="1">
        <v>44841</v>
      </c>
      <c r="K588" t="s">
        <v>661</v>
      </c>
      <c r="L588" t="s">
        <v>42</v>
      </c>
      <c r="M588" t="s">
        <v>92</v>
      </c>
      <c r="N588" t="s">
        <v>96</v>
      </c>
    </row>
    <row r="589" spans="1:14" x14ac:dyDescent="0.25">
      <c r="A589" t="s">
        <v>662</v>
      </c>
      <c r="B589">
        <v>883</v>
      </c>
      <c r="C589">
        <v>127</v>
      </c>
      <c r="E589">
        <v>7</v>
      </c>
      <c r="F589" t="s">
        <v>45</v>
      </c>
      <c r="G589" t="s">
        <v>49</v>
      </c>
      <c r="H589" t="s">
        <v>65</v>
      </c>
      <c r="J589" s="1">
        <v>45081</v>
      </c>
      <c r="K589" t="s">
        <v>663</v>
      </c>
      <c r="L589" t="s">
        <v>42</v>
      </c>
      <c r="M589" t="s">
        <v>92</v>
      </c>
      <c r="N589" t="s">
        <v>19</v>
      </c>
    </row>
    <row r="590" spans="1:14" x14ac:dyDescent="0.25">
      <c r="A590" t="s">
        <v>662</v>
      </c>
      <c r="B590">
        <v>4539</v>
      </c>
      <c r="C590">
        <v>1155</v>
      </c>
      <c r="E590">
        <v>8</v>
      </c>
      <c r="F590" t="s">
        <v>45</v>
      </c>
      <c r="G590" t="s">
        <v>109</v>
      </c>
      <c r="H590" t="s">
        <v>32</v>
      </c>
      <c r="J590" s="1">
        <v>45081</v>
      </c>
      <c r="K590" t="s">
        <v>663</v>
      </c>
      <c r="L590" t="s">
        <v>42</v>
      </c>
      <c r="M590" t="s">
        <v>92</v>
      </c>
      <c r="N590" t="s">
        <v>19</v>
      </c>
    </row>
    <row r="591" spans="1:14" x14ac:dyDescent="0.25">
      <c r="A591" t="s">
        <v>662</v>
      </c>
      <c r="B591">
        <v>9659</v>
      </c>
      <c r="C591">
        <v>2226</v>
      </c>
      <c r="E591">
        <v>16</v>
      </c>
      <c r="F591" t="s">
        <v>30</v>
      </c>
      <c r="G591" t="s">
        <v>78</v>
      </c>
      <c r="H591" t="s">
        <v>32</v>
      </c>
      <c r="J591" s="1">
        <v>45081</v>
      </c>
      <c r="K591" t="s">
        <v>663</v>
      </c>
      <c r="L591" t="s">
        <v>42</v>
      </c>
      <c r="M591" t="s">
        <v>92</v>
      </c>
      <c r="N591" t="s">
        <v>19</v>
      </c>
    </row>
    <row r="592" spans="1:14" x14ac:dyDescent="0.25">
      <c r="A592" t="s">
        <v>664</v>
      </c>
      <c r="B592">
        <v>9562</v>
      </c>
      <c r="C592">
        <v>325</v>
      </c>
      <c r="E592">
        <v>2</v>
      </c>
      <c r="F592" t="s">
        <v>13</v>
      </c>
      <c r="G592" t="s">
        <v>28</v>
      </c>
      <c r="H592" t="s">
        <v>32</v>
      </c>
      <c r="J592" s="1">
        <v>44694</v>
      </c>
      <c r="K592" t="s">
        <v>665</v>
      </c>
      <c r="L592" t="s">
        <v>42</v>
      </c>
      <c r="M592" t="s">
        <v>75</v>
      </c>
      <c r="N592" t="s">
        <v>180</v>
      </c>
    </row>
    <row r="593" spans="1:14" x14ac:dyDescent="0.25">
      <c r="A593" t="s">
        <v>666</v>
      </c>
      <c r="B593">
        <v>4688</v>
      </c>
      <c r="C593">
        <v>1841</v>
      </c>
      <c r="E593">
        <v>3</v>
      </c>
      <c r="F593" t="s">
        <v>13</v>
      </c>
      <c r="G593" t="s">
        <v>39</v>
      </c>
      <c r="H593" t="s">
        <v>47</v>
      </c>
      <c r="J593" s="1">
        <v>44949</v>
      </c>
      <c r="K593" t="s">
        <v>667</v>
      </c>
      <c r="L593" t="s">
        <v>42</v>
      </c>
      <c r="M593" t="s">
        <v>92</v>
      </c>
      <c r="N593" t="s">
        <v>333</v>
      </c>
    </row>
    <row r="594" spans="1:14" x14ac:dyDescent="0.25">
      <c r="A594" t="s">
        <v>666</v>
      </c>
      <c r="B594">
        <v>4688</v>
      </c>
      <c r="C594">
        <v>1841</v>
      </c>
      <c r="E594">
        <v>3</v>
      </c>
      <c r="F594" t="s">
        <v>13</v>
      </c>
      <c r="G594" t="s">
        <v>39</v>
      </c>
      <c r="H594" t="s">
        <v>47</v>
      </c>
      <c r="J594" s="1">
        <v>44402</v>
      </c>
      <c r="K594" t="s">
        <v>668</v>
      </c>
      <c r="L594" t="s">
        <v>42</v>
      </c>
      <c r="M594" t="s">
        <v>75</v>
      </c>
      <c r="N594" t="s">
        <v>27</v>
      </c>
    </row>
    <row r="595" spans="1:14" x14ac:dyDescent="0.25">
      <c r="A595" t="s">
        <v>669</v>
      </c>
      <c r="B595">
        <v>7900</v>
      </c>
      <c r="C595">
        <v>482</v>
      </c>
      <c r="E595">
        <v>4</v>
      </c>
      <c r="F595" t="s">
        <v>13</v>
      </c>
      <c r="G595" t="s">
        <v>82</v>
      </c>
      <c r="H595" t="s">
        <v>65</v>
      </c>
      <c r="J595" s="1">
        <v>45724</v>
      </c>
      <c r="K595" t="s">
        <v>670</v>
      </c>
      <c r="L595" t="s">
        <v>98</v>
      </c>
      <c r="M595" t="s">
        <v>99</v>
      </c>
      <c r="N595" t="s">
        <v>157</v>
      </c>
    </row>
    <row r="596" spans="1:14" x14ac:dyDescent="0.25">
      <c r="A596" t="s">
        <v>671</v>
      </c>
      <c r="B596">
        <v>6967</v>
      </c>
      <c r="C596">
        <v>3257</v>
      </c>
      <c r="E596">
        <v>17</v>
      </c>
      <c r="F596" t="s">
        <v>45</v>
      </c>
      <c r="G596" t="s">
        <v>109</v>
      </c>
      <c r="H596" t="s">
        <v>65</v>
      </c>
      <c r="J596" s="1">
        <v>44920</v>
      </c>
      <c r="K596" t="s">
        <v>672</v>
      </c>
      <c r="L596" t="s">
        <v>98</v>
      </c>
      <c r="M596" t="s">
        <v>107</v>
      </c>
      <c r="N596" t="s">
        <v>152</v>
      </c>
    </row>
    <row r="597" spans="1:14" x14ac:dyDescent="0.25">
      <c r="A597" t="s">
        <v>671</v>
      </c>
      <c r="B597">
        <v>1091</v>
      </c>
      <c r="C597">
        <v>277</v>
      </c>
      <c r="E597">
        <v>6</v>
      </c>
      <c r="F597" t="s">
        <v>30</v>
      </c>
      <c r="G597" t="s">
        <v>64</v>
      </c>
      <c r="H597" t="s">
        <v>65</v>
      </c>
      <c r="J597" s="1">
        <v>44920</v>
      </c>
      <c r="K597" t="s">
        <v>672</v>
      </c>
      <c r="L597" t="s">
        <v>98</v>
      </c>
      <c r="M597" t="s">
        <v>107</v>
      </c>
      <c r="N597" t="s">
        <v>152</v>
      </c>
    </row>
    <row r="598" spans="1:14" x14ac:dyDescent="0.25">
      <c r="A598" t="s">
        <v>671</v>
      </c>
      <c r="B598">
        <v>6027</v>
      </c>
      <c r="C598">
        <v>1530</v>
      </c>
      <c r="E598">
        <v>2</v>
      </c>
      <c r="F598" t="s">
        <v>30</v>
      </c>
      <c r="G598" t="s">
        <v>78</v>
      </c>
      <c r="H598" t="s">
        <v>47</v>
      </c>
      <c r="J598" s="1">
        <v>44920</v>
      </c>
      <c r="K598" t="s">
        <v>672</v>
      </c>
      <c r="L598" t="s">
        <v>98</v>
      </c>
      <c r="M598" t="s">
        <v>107</v>
      </c>
      <c r="N598" t="s">
        <v>152</v>
      </c>
    </row>
    <row r="599" spans="1:14" x14ac:dyDescent="0.25">
      <c r="A599" t="s">
        <v>673</v>
      </c>
      <c r="B599">
        <v>4852</v>
      </c>
      <c r="C599">
        <v>218</v>
      </c>
      <c r="E599">
        <v>2</v>
      </c>
      <c r="F599" t="s">
        <v>45</v>
      </c>
      <c r="G599" t="s">
        <v>46</v>
      </c>
      <c r="H599" t="s">
        <v>40</v>
      </c>
      <c r="J599" s="1">
        <v>45406</v>
      </c>
      <c r="K599" t="s">
        <v>674</v>
      </c>
      <c r="L599" t="s">
        <v>71</v>
      </c>
      <c r="M599" t="s">
        <v>72</v>
      </c>
      <c r="N599" t="s">
        <v>235</v>
      </c>
    </row>
    <row r="600" spans="1:14" x14ac:dyDescent="0.25">
      <c r="A600" t="s">
        <v>673</v>
      </c>
      <c r="B600">
        <v>4852</v>
      </c>
      <c r="C600">
        <v>218</v>
      </c>
      <c r="E600">
        <v>2</v>
      </c>
      <c r="F600" t="s">
        <v>45</v>
      </c>
      <c r="G600" t="s">
        <v>46</v>
      </c>
      <c r="H600" t="s">
        <v>40</v>
      </c>
      <c r="J600" s="1">
        <v>44554</v>
      </c>
      <c r="K600" t="s">
        <v>675</v>
      </c>
      <c r="L600" t="s">
        <v>17</v>
      </c>
      <c r="M600" t="s">
        <v>150</v>
      </c>
      <c r="N600" t="s">
        <v>90</v>
      </c>
    </row>
    <row r="601" spans="1:14" x14ac:dyDescent="0.25">
      <c r="A601" t="s">
        <v>673</v>
      </c>
      <c r="B601">
        <v>4852</v>
      </c>
      <c r="C601">
        <v>218</v>
      </c>
      <c r="E601">
        <v>2</v>
      </c>
      <c r="F601" t="s">
        <v>45</v>
      </c>
      <c r="G601" t="s">
        <v>46</v>
      </c>
      <c r="H601" t="s">
        <v>40</v>
      </c>
      <c r="J601" s="1">
        <v>45176</v>
      </c>
      <c r="K601" t="s">
        <v>676</v>
      </c>
      <c r="L601" t="s">
        <v>21</v>
      </c>
      <c r="M601" t="s">
        <v>63</v>
      </c>
      <c r="N601" t="s">
        <v>273</v>
      </c>
    </row>
    <row r="602" spans="1:14" x14ac:dyDescent="0.25">
      <c r="A602" t="s">
        <v>677</v>
      </c>
      <c r="B602">
        <v>4314</v>
      </c>
      <c r="C602">
        <v>1453</v>
      </c>
      <c r="E602">
        <v>6</v>
      </c>
      <c r="F602" t="s">
        <v>45</v>
      </c>
      <c r="G602" t="s">
        <v>60</v>
      </c>
      <c r="H602" t="s">
        <v>65</v>
      </c>
      <c r="J602" s="1">
        <v>44418</v>
      </c>
      <c r="K602" t="s">
        <v>678</v>
      </c>
      <c r="L602" t="s">
        <v>17</v>
      </c>
      <c r="M602" t="s">
        <v>150</v>
      </c>
      <c r="N602" t="s">
        <v>178</v>
      </c>
    </row>
    <row r="603" spans="1:14" x14ac:dyDescent="0.25">
      <c r="A603" t="s">
        <v>679</v>
      </c>
      <c r="B603">
        <v>3288</v>
      </c>
      <c r="C603">
        <v>1477</v>
      </c>
      <c r="E603">
        <v>3</v>
      </c>
      <c r="F603" t="s">
        <v>30</v>
      </c>
      <c r="G603" t="s">
        <v>31</v>
      </c>
      <c r="H603" t="s">
        <v>40</v>
      </c>
      <c r="J603" s="1">
        <v>45438</v>
      </c>
      <c r="K603" t="s">
        <v>680</v>
      </c>
      <c r="L603" t="s">
        <v>71</v>
      </c>
      <c r="M603" t="s">
        <v>86</v>
      </c>
      <c r="N603" t="s">
        <v>35</v>
      </c>
    </row>
    <row r="604" spans="1:14" x14ac:dyDescent="0.25">
      <c r="A604" t="s">
        <v>679</v>
      </c>
      <c r="B604">
        <v>3288</v>
      </c>
      <c r="C604">
        <v>1477</v>
      </c>
      <c r="E604">
        <v>3</v>
      </c>
      <c r="F604" t="s">
        <v>30</v>
      </c>
      <c r="G604" t="s">
        <v>31</v>
      </c>
      <c r="H604" t="s">
        <v>40</v>
      </c>
      <c r="J604" s="1">
        <v>44611</v>
      </c>
      <c r="K604" t="s">
        <v>681</v>
      </c>
      <c r="L604" t="s">
        <v>21</v>
      </c>
      <c r="M604" t="s">
        <v>63</v>
      </c>
      <c r="N604" t="s">
        <v>137</v>
      </c>
    </row>
    <row r="605" spans="1:14" x14ac:dyDescent="0.25">
      <c r="A605" t="s">
        <v>682</v>
      </c>
      <c r="B605">
        <v>3977</v>
      </c>
      <c r="C605">
        <v>813</v>
      </c>
      <c r="E605">
        <v>5</v>
      </c>
      <c r="F605" t="s">
        <v>30</v>
      </c>
      <c r="G605" t="s">
        <v>78</v>
      </c>
      <c r="H605" t="s">
        <v>47</v>
      </c>
      <c r="J605" s="1">
        <v>45635</v>
      </c>
      <c r="K605" t="s">
        <v>683</v>
      </c>
      <c r="L605" t="s">
        <v>25</v>
      </c>
      <c r="M605" t="s">
        <v>51</v>
      </c>
      <c r="N605" t="s">
        <v>23</v>
      </c>
    </row>
    <row r="606" spans="1:14" x14ac:dyDescent="0.25">
      <c r="A606" t="s">
        <v>684</v>
      </c>
      <c r="B606">
        <v>6252</v>
      </c>
      <c r="C606">
        <v>1377</v>
      </c>
      <c r="E606">
        <v>2</v>
      </c>
      <c r="F606" t="s">
        <v>13</v>
      </c>
      <c r="G606" t="s">
        <v>28</v>
      </c>
      <c r="H606" t="s">
        <v>40</v>
      </c>
      <c r="J606" s="1">
        <v>45078</v>
      </c>
      <c r="K606" t="s">
        <v>685</v>
      </c>
      <c r="L606" t="s">
        <v>21</v>
      </c>
      <c r="M606" t="s">
        <v>22</v>
      </c>
      <c r="N606" t="s">
        <v>19</v>
      </c>
    </row>
    <row r="607" spans="1:14" x14ac:dyDescent="0.25">
      <c r="A607" t="s">
        <v>686</v>
      </c>
      <c r="B607">
        <v>9084</v>
      </c>
      <c r="C607">
        <v>3253</v>
      </c>
      <c r="E607">
        <v>12</v>
      </c>
      <c r="F607" t="s">
        <v>30</v>
      </c>
      <c r="G607" t="s">
        <v>31</v>
      </c>
      <c r="H607" t="s">
        <v>32</v>
      </c>
      <c r="J607" s="1">
        <v>45235</v>
      </c>
      <c r="K607" t="s">
        <v>687</v>
      </c>
      <c r="L607" t="s">
        <v>25</v>
      </c>
      <c r="M607" t="s">
        <v>26</v>
      </c>
      <c r="N607" t="s">
        <v>52</v>
      </c>
    </row>
    <row r="608" spans="1:14" x14ac:dyDescent="0.25">
      <c r="A608" t="s">
        <v>688</v>
      </c>
      <c r="B608">
        <v>8994</v>
      </c>
      <c r="C608">
        <v>1481</v>
      </c>
      <c r="E608">
        <v>15</v>
      </c>
      <c r="F608" t="s">
        <v>13</v>
      </c>
      <c r="G608" t="s">
        <v>82</v>
      </c>
      <c r="H608" t="s">
        <v>47</v>
      </c>
      <c r="J608" s="1">
        <v>44003</v>
      </c>
      <c r="K608" t="s">
        <v>689</v>
      </c>
      <c r="L608" t="s">
        <v>42</v>
      </c>
      <c r="M608" t="s">
        <v>75</v>
      </c>
      <c r="N608" t="s">
        <v>313</v>
      </c>
    </row>
    <row r="609" spans="1:14" x14ac:dyDescent="0.25">
      <c r="A609" t="s">
        <v>690</v>
      </c>
      <c r="B609">
        <v>1089</v>
      </c>
      <c r="C609">
        <v>176</v>
      </c>
      <c r="E609">
        <v>16</v>
      </c>
      <c r="F609" t="s">
        <v>30</v>
      </c>
      <c r="G609" t="s">
        <v>57</v>
      </c>
      <c r="H609" t="s">
        <v>40</v>
      </c>
      <c r="J609" s="1">
        <v>44130</v>
      </c>
      <c r="K609" t="s">
        <v>691</v>
      </c>
      <c r="L609" t="s">
        <v>71</v>
      </c>
      <c r="M609" t="s">
        <v>72</v>
      </c>
      <c r="N609" t="s">
        <v>119</v>
      </c>
    </row>
    <row r="610" spans="1:14" x14ac:dyDescent="0.25">
      <c r="A610" t="s">
        <v>692</v>
      </c>
      <c r="B610">
        <v>6690</v>
      </c>
      <c r="C610">
        <v>1001</v>
      </c>
      <c r="E610">
        <v>19</v>
      </c>
      <c r="F610" t="s">
        <v>30</v>
      </c>
      <c r="G610" t="s">
        <v>78</v>
      </c>
      <c r="H610" t="s">
        <v>15</v>
      </c>
      <c r="J610" s="1">
        <v>44718</v>
      </c>
      <c r="K610" t="s">
        <v>693</v>
      </c>
      <c r="L610" t="s">
        <v>21</v>
      </c>
      <c r="M610" t="s">
        <v>63</v>
      </c>
      <c r="N610" t="s">
        <v>165</v>
      </c>
    </row>
    <row r="611" spans="1:14" x14ac:dyDescent="0.25">
      <c r="A611" t="s">
        <v>692</v>
      </c>
      <c r="B611">
        <v>6690</v>
      </c>
      <c r="C611">
        <v>1001</v>
      </c>
      <c r="E611">
        <v>19</v>
      </c>
      <c r="F611" t="s">
        <v>30</v>
      </c>
      <c r="G611" t="s">
        <v>78</v>
      </c>
      <c r="H611" t="s">
        <v>15</v>
      </c>
      <c r="J611" s="1">
        <v>44513</v>
      </c>
      <c r="K611" t="s">
        <v>694</v>
      </c>
      <c r="L611" t="s">
        <v>21</v>
      </c>
      <c r="M611" t="s">
        <v>22</v>
      </c>
      <c r="N611" t="s">
        <v>175</v>
      </c>
    </row>
    <row r="612" spans="1:14" x14ac:dyDescent="0.25">
      <c r="A612" t="s">
        <v>692</v>
      </c>
      <c r="B612">
        <v>4985</v>
      </c>
      <c r="C612">
        <v>1920</v>
      </c>
      <c r="E612">
        <v>10</v>
      </c>
      <c r="F612" t="s">
        <v>45</v>
      </c>
      <c r="G612" t="s">
        <v>109</v>
      </c>
      <c r="H612" t="s">
        <v>47</v>
      </c>
      <c r="J612" s="1">
        <v>44718</v>
      </c>
      <c r="K612" t="s">
        <v>693</v>
      </c>
      <c r="L612" t="s">
        <v>21</v>
      </c>
      <c r="M612" t="s">
        <v>63</v>
      </c>
      <c r="N612" t="s">
        <v>165</v>
      </c>
    </row>
    <row r="613" spans="1:14" x14ac:dyDescent="0.25">
      <c r="A613" t="s">
        <v>692</v>
      </c>
      <c r="B613">
        <v>4985</v>
      </c>
      <c r="C613">
        <v>1920</v>
      </c>
      <c r="E613">
        <v>10</v>
      </c>
      <c r="F613" t="s">
        <v>45</v>
      </c>
      <c r="G613" t="s">
        <v>109</v>
      </c>
      <c r="H613" t="s">
        <v>47</v>
      </c>
      <c r="J613" s="1">
        <v>44513</v>
      </c>
      <c r="K613" t="s">
        <v>694</v>
      </c>
      <c r="L613" t="s">
        <v>21</v>
      </c>
      <c r="M613" t="s">
        <v>22</v>
      </c>
      <c r="N613" t="s">
        <v>175</v>
      </c>
    </row>
    <row r="614" spans="1:14" x14ac:dyDescent="0.25">
      <c r="A614" t="s">
        <v>695</v>
      </c>
      <c r="B614">
        <v>8590</v>
      </c>
      <c r="C614">
        <v>3565</v>
      </c>
      <c r="E614">
        <v>15</v>
      </c>
      <c r="F614" t="s">
        <v>13</v>
      </c>
      <c r="G614" t="s">
        <v>14</v>
      </c>
      <c r="H614" t="s">
        <v>40</v>
      </c>
      <c r="J614" s="1">
        <v>44511</v>
      </c>
      <c r="K614" t="s">
        <v>696</v>
      </c>
      <c r="L614" t="s">
        <v>17</v>
      </c>
      <c r="M614" t="s">
        <v>18</v>
      </c>
      <c r="N614" t="s">
        <v>175</v>
      </c>
    </row>
    <row r="615" spans="1:14" x14ac:dyDescent="0.25">
      <c r="A615" t="s">
        <v>695</v>
      </c>
      <c r="B615">
        <v>6973</v>
      </c>
      <c r="C615">
        <v>3038</v>
      </c>
      <c r="E615">
        <v>10</v>
      </c>
      <c r="F615" t="s">
        <v>45</v>
      </c>
      <c r="G615" t="s">
        <v>46</v>
      </c>
      <c r="H615" t="s">
        <v>65</v>
      </c>
      <c r="J615" s="1">
        <v>44511</v>
      </c>
      <c r="K615" t="s">
        <v>696</v>
      </c>
      <c r="L615" t="s">
        <v>17</v>
      </c>
      <c r="M615" t="s">
        <v>18</v>
      </c>
      <c r="N615" t="s">
        <v>175</v>
      </c>
    </row>
    <row r="616" spans="1:14" x14ac:dyDescent="0.25">
      <c r="A616" t="s">
        <v>697</v>
      </c>
      <c r="B616">
        <v>4591</v>
      </c>
      <c r="C616">
        <v>1941</v>
      </c>
      <c r="E616">
        <v>19</v>
      </c>
      <c r="F616" t="s">
        <v>13</v>
      </c>
      <c r="G616" t="s">
        <v>28</v>
      </c>
      <c r="H616" t="s">
        <v>40</v>
      </c>
      <c r="J616" s="1">
        <v>44408</v>
      </c>
      <c r="K616" t="s">
        <v>476</v>
      </c>
      <c r="L616" t="s">
        <v>71</v>
      </c>
      <c r="M616" t="s">
        <v>72</v>
      </c>
      <c r="N616" t="s">
        <v>27</v>
      </c>
    </row>
    <row r="617" spans="1:14" x14ac:dyDescent="0.25">
      <c r="A617" t="s">
        <v>697</v>
      </c>
      <c r="B617">
        <v>9612</v>
      </c>
      <c r="C617">
        <v>2572</v>
      </c>
      <c r="E617">
        <v>17</v>
      </c>
      <c r="F617" t="s">
        <v>30</v>
      </c>
      <c r="G617" t="s">
        <v>31</v>
      </c>
      <c r="H617" t="s">
        <v>47</v>
      </c>
      <c r="J617" s="1">
        <v>44408</v>
      </c>
      <c r="K617" t="s">
        <v>476</v>
      </c>
      <c r="L617" t="s">
        <v>71</v>
      </c>
      <c r="M617" t="s">
        <v>72</v>
      </c>
      <c r="N617" t="s">
        <v>27</v>
      </c>
    </row>
    <row r="618" spans="1:14" x14ac:dyDescent="0.25">
      <c r="A618" t="s">
        <v>698</v>
      </c>
      <c r="B618">
        <v>5343</v>
      </c>
      <c r="C618">
        <v>655</v>
      </c>
      <c r="E618">
        <v>1</v>
      </c>
      <c r="F618" t="s">
        <v>45</v>
      </c>
      <c r="G618" t="s">
        <v>49</v>
      </c>
      <c r="H618" t="s">
        <v>40</v>
      </c>
      <c r="J618" s="1">
        <v>45395</v>
      </c>
      <c r="K618" t="s">
        <v>699</v>
      </c>
      <c r="L618" t="s">
        <v>42</v>
      </c>
      <c r="M618" t="s">
        <v>75</v>
      </c>
      <c r="N618" t="s">
        <v>235</v>
      </c>
    </row>
    <row r="619" spans="1:14" x14ac:dyDescent="0.25">
      <c r="A619" t="s">
        <v>700</v>
      </c>
      <c r="B619">
        <v>6956</v>
      </c>
      <c r="C619">
        <v>318</v>
      </c>
      <c r="E619">
        <v>20</v>
      </c>
      <c r="F619" t="s">
        <v>30</v>
      </c>
      <c r="G619" t="s">
        <v>57</v>
      </c>
      <c r="H619" t="s">
        <v>32</v>
      </c>
      <c r="J619" s="1">
        <v>44670</v>
      </c>
      <c r="K619" t="s">
        <v>701</v>
      </c>
      <c r="L619" t="s">
        <v>21</v>
      </c>
      <c r="M619" t="s">
        <v>63</v>
      </c>
      <c r="N619" t="s">
        <v>187</v>
      </c>
    </row>
    <row r="620" spans="1:14" x14ac:dyDescent="0.25">
      <c r="A620" t="s">
        <v>702</v>
      </c>
      <c r="B620">
        <v>5306</v>
      </c>
      <c r="C620">
        <v>2405</v>
      </c>
      <c r="E620">
        <v>17</v>
      </c>
      <c r="F620" t="s">
        <v>45</v>
      </c>
      <c r="G620" t="s">
        <v>46</v>
      </c>
      <c r="H620" t="s">
        <v>40</v>
      </c>
      <c r="J620" s="1">
        <v>45374</v>
      </c>
      <c r="K620" t="s">
        <v>703</v>
      </c>
      <c r="L620" t="s">
        <v>25</v>
      </c>
      <c r="M620" t="s">
        <v>26</v>
      </c>
      <c r="N620" t="s">
        <v>338</v>
      </c>
    </row>
    <row r="621" spans="1:14" x14ac:dyDescent="0.25">
      <c r="A621" t="s">
        <v>704</v>
      </c>
      <c r="B621">
        <v>8982</v>
      </c>
      <c r="C621">
        <v>448</v>
      </c>
      <c r="E621">
        <v>17</v>
      </c>
      <c r="F621" t="s">
        <v>45</v>
      </c>
      <c r="G621" t="s">
        <v>60</v>
      </c>
      <c r="H621" t="s">
        <v>15</v>
      </c>
      <c r="J621" s="1">
        <v>44323</v>
      </c>
      <c r="K621" t="s">
        <v>705</v>
      </c>
      <c r="L621" t="s">
        <v>25</v>
      </c>
      <c r="M621" t="s">
        <v>51</v>
      </c>
      <c r="N621" t="s">
        <v>108</v>
      </c>
    </row>
    <row r="622" spans="1:14" x14ac:dyDescent="0.25">
      <c r="A622" t="s">
        <v>704</v>
      </c>
      <c r="B622">
        <v>4826</v>
      </c>
      <c r="C622">
        <v>562</v>
      </c>
      <c r="E622">
        <v>5</v>
      </c>
      <c r="F622" t="s">
        <v>30</v>
      </c>
      <c r="G622" t="s">
        <v>64</v>
      </c>
      <c r="H622" t="s">
        <v>32</v>
      </c>
      <c r="J622" s="1">
        <v>44323</v>
      </c>
      <c r="K622" t="s">
        <v>705</v>
      </c>
      <c r="L622" t="s">
        <v>25</v>
      </c>
      <c r="M622" t="s">
        <v>51</v>
      </c>
      <c r="N622" t="s">
        <v>108</v>
      </c>
    </row>
    <row r="623" spans="1:14" x14ac:dyDescent="0.25">
      <c r="A623" t="s">
        <v>706</v>
      </c>
      <c r="B623">
        <v>972</v>
      </c>
      <c r="C623">
        <v>106</v>
      </c>
      <c r="E623">
        <v>15</v>
      </c>
      <c r="F623" t="s">
        <v>30</v>
      </c>
      <c r="G623" t="s">
        <v>31</v>
      </c>
      <c r="H623" t="s">
        <v>40</v>
      </c>
      <c r="J623" s="1">
        <v>44687</v>
      </c>
      <c r="K623" t="s">
        <v>707</v>
      </c>
      <c r="L623" t="s">
        <v>98</v>
      </c>
      <c r="M623" t="s">
        <v>107</v>
      </c>
      <c r="N623" t="s">
        <v>180</v>
      </c>
    </row>
    <row r="624" spans="1:14" x14ac:dyDescent="0.25">
      <c r="A624" t="s">
        <v>708</v>
      </c>
      <c r="B624">
        <v>3665</v>
      </c>
      <c r="C624">
        <v>802</v>
      </c>
      <c r="E624">
        <v>4</v>
      </c>
      <c r="F624" t="s">
        <v>30</v>
      </c>
      <c r="G624" t="s">
        <v>57</v>
      </c>
      <c r="H624" t="s">
        <v>47</v>
      </c>
      <c r="J624" s="1">
        <v>44417</v>
      </c>
      <c r="K624" t="s">
        <v>709</v>
      </c>
      <c r="L624" t="s">
        <v>17</v>
      </c>
      <c r="M624" t="s">
        <v>18</v>
      </c>
      <c r="N624" t="s">
        <v>178</v>
      </c>
    </row>
    <row r="625" spans="1:14" x14ac:dyDescent="0.25">
      <c r="A625" t="s">
        <v>708</v>
      </c>
      <c r="B625">
        <v>3665</v>
      </c>
      <c r="C625">
        <v>802</v>
      </c>
      <c r="E625">
        <v>4</v>
      </c>
      <c r="F625" t="s">
        <v>30</v>
      </c>
      <c r="G625" t="s">
        <v>57</v>
      </c>
      <c r="H625" t="s">
        <v>47</v>
      </c>
      <c r="J625" s="1">
        <v>45697</v>
      </c>
      <c r="K625" t="s">
        <v>710</v>
      </c>
      <c r="L625" t="s">
        <v>17</v>
      </c>
      <c r="M625" t="s">
        <v>150</v>
      </c>
      <c r="N625" t="s">
        <v>73</v>
      </c>
    </row>
    <row r="626" spans="1:14" x14ac:dyDescent="0.25">
      <c r="A626" t="s">
        <v>711</v>
      </c>
      <c r="B626">
        <v>9808</v>
      </c>
      <c r="C626">
        <v>2117</v>
      </c>
      <c r="E626">
        <v>2</v>
      </c>
      <c r="F626" t="s">
        <v>30</v>
      </c>
      <c r="G626" t="s">
        <v>31</v>
      </c>
      <c r="H626" t="s">
        <v>15</v>
      </c>
      <c r="J626" s="1">
        <v>45405</v>
      </c>
      <c r="K626" t="s">
        <v>712</v>
      </c>
      <c r="L626" t="s">
        <v>42</v>
      </c>
      <c r="M626" t="s">
        <v>43</v>
      </c>
      <c r="N626" t="s">
        <v>235</v>
      </c>
    </row>
    <row r="627" spans="1:14" x14ac:dyDescent="0.25">
      <c r="A627" t="s">
        <v>713</v>
      </c>
      <c r="B627">
        <v>1133</v>
      </c>
      <c r="C627">
        <v>73</v>
      </c>
      <c r="E627">
        <v>17</v>
      </c>
      <c r="F627" t="s">
        <v>45</v>
      </c>
      <c r="G627" t="s">
        <v>49</v>
      </c>
      <c r="H627" t="s">
        <v>15</v>
      </c>
      <c r="J627" s="1">
        <v>44980</v>
      </c>
      <c r="K627" t="s">
        <v>714</v>
      </c>
      <c r="L627" t="s">
        <v>98</v>
      </c>
      <c r="M627" t="s">
        <v>117</v>
      </c>
      <c r="N627" t="s">
        <v>93</v>
      </c>
    </row>
    <row r="628" spans="1:14" x14ac:dyDescent="0.25">
      <c r="A628" t="s">
        <v>713</v>
      </c>
      <c r="B628">
        <v>1133</v>
      </c>
      <c r="C628">
        <v>73</v>
      </c>
      <c r="E628">
        <v>17</v>
      </c>
      <c r="F628" t="s">
        <v>45</v>
      </c>
      <c r="G628" t="s">
        <v>49</v>
      </c>
      <c r="H628" t="s">
        <v>15</v>
      </c>
      <c r="J628" s="1">
        <v>45449</v>
      </c>
      <c r="K628" t="s">
        <v>715</v>
      </c>
      <c r="L628" t="s">
        <v>42</v>
      </c>
      <c r="M628" t="s">
        <v>75</v>
      </c>
      <c r="N628" t="s">
        <v>262</v>
      </c>
    </row>
    <row r="629" spans="1:14" x14ac:dyDescent="0.25">
      <c r="A629" t="s">
        <v>713</v>
      </c>
      <c r="B629">
        <v>6248</v>
      </c>
      <c r="C629">
        <v>1168</v>
      </c>
      <c r="E629">
        <v>19</v>
      </c>
      <c r="F629" t="s">
        <v>45</v>
      </c>
      <c r="G629" t="s">
        <v>109</v>
      </c>
      <c r="H629" t="s">
        <v>65</v>
      </c>
      <c r="J629" s="1">
        <v>44980</v>
      </c>
      <c r="K629" t="s">
        <v>714</v>
      </c>
      <c r="L629" t="s">
        <v>98</v>
      </c>
      <c r="M629" t="s">
        <v>117</v>
      </c>
      <c r="N629" t="s">
        <v>93</v>
      </c>
    </row>
    <row r="630" spans="1:14" x14ac:dyDescent="0.25">
      <c r="A630" t="s">
        <v>713</v>
      </c>
      <c r="B630">
        <v>6248</v>
      </c>
      <c r="C630">
        <v>1168</v>
      </c>
      <c r="E630">
        <v>19</v>
      </c>
      <c r="F630" t="s">
        <v>45</v>
      </c>
      <c r="G630" t="s">
        <v>109</v>
      </c>
      <c r="H630" t="s">
        <v>65</v>
      </c>
      <c r="J630" s="1">
        <v>45449</v>
      </c>
      <c r="K630" t="s">
        <v>715</v>
      </c>
      <c r="L630" t="s">
        <v>42</v>
      </c>
      <c r="M630" t="s">
        <v>75</v>
      </c>
      <c r="N630" t="s">
        <v>262</v>
      </c>
    </row>
    <row r="631" spans="1:14" x14ac:dyDescent="0.25">
      <c r="A631" t="s">
        <v>716</v>
      </c>
      <c r="B631">
        <v>5666</v>
      </c>
      <c r="C631">
        <v>2733</v>
      </c>
      <c r="E631">
        <v>17</v>
      </c>
      <c r="F631" t="s">
        <v>13</v>
      </c>
      <c r="G631" t="s">
        <v>14</v>
      </c>
      <c r="H631" t="s">
        <v>47</v>
      </c>
      <c r="J631" s="1">
        <v>45684</v>
      </c>
      <c r="K631" t="s">
        <v>717</v>
      </c>
      <c r="L631" t="s">
        <v>17</v>
      </c>
      <c r="M631" t="s">
        <v>150</v>
      </c>
      <c r="N631" t="s">
        <v>308</v>
      </c>
    </row>
    <row r="632" spans="1:14" x14ac:dyDescent="0.25">
      <c r="A632" t="s">
        <v>718</v>
      </c>
      <c r="B632">
        <v>4171</v>
      </c>
      <c r="C632">
        <v>1450</v>
      </c>
      <c r="E632">
        <v>18</v>
      </c>
      <c r="F632" t="s">
        <v>30</v>
      </c>
      <c r="G632" t="s">
        <v>57</v>
      </c>
      <c r="H632" t="s">
        <v>65</v>
      </c>
      <c r="J632" s="1">
        <v>45023</v>
      </c>
      <c r="K632" t="s">
        <v>719</v>
      </c>
      <c r="L632" t="s">
        <v>71</v>
      </c>
      <c r="M632" t="s">
        <v>72</v>
      </c>
      <c r="N632" t="s">
        <v>145</v>
      </c>
    </row>
    <row r="633" spans="1:14" x14ac:dyDescent="0.25">
      <c r="A633" t="s">
        <v>720</v>
      </c>
      <c r="B633">
        <v>6236</v>
      </c>
      <c r="C633">
        <v>2839</v>
      </c>
      <c r="E633">
        <v>7</v>
      </c>
      <c r="F633" t="s">
        <v>13</v>
      </c>
      <c r="G633" t="s">
        <v>28</v>
      </c>
      <c r="H633" t="s">
        <v>47</v>
      </c>
      <c r="J633" s="1">
        <v>44581</v>
      </c>
      <c r="K633" t="s">
        <v>721</v>
      </c>
      <c r="L633" t="s">
        <v>21</v>
      </c>
      <c r="M633" t="s">
        <v>63</v>
      </c>
      <c r="N633" t="s">
        <v>87</v>
      </c>
    </row>
    <row r="634" spans="1:14" x14ac:dyDescent="0.25">
      <c r="A634" t="s">
        <v>720</v>
      </c>
      <c r="B634">
        <v>6236</v>
      </c>
      <c r="C634">
        <v>2839</v>
      </c>
      <c r="E634">
        <v>7</v>
      </c>
      <c r="F634" t="s">
        <v>13</v>
      </c>
      <c r="G634" t="s">
        <v>28</v>
      </c>
      <c r="H634" t="s">
        <v>47</v>
      </c>
      <c r="J634" s="1">
        <v>44691</v>
      </c>
      <c r="K634" t="s">
        <v>722</v>
      </c>
      <c r="L634" t="s">
        <v>17</v>
      </c>
      <c r="M634" t="s">
        <v>34</v>
      </c>
      <c r="N634" t="s">
        <v>180</v>
      </c>
    </row>
    <row r="635" spans="1:14" x14ac:dyDescent="0.25">
      <c r="A635" t="s">
        <v>723</v>
      </c>
      <c r="B635">
        <v>5410</v>
      </c>
      <c r="C635">
        <v>2456</v>
      </c>
      <c r="E635">
        <v>8</v>
      </c>
      <c r="F635" t="s">
        <v>45</v>
      </c>
      <c r="G635" t="s">
        <v>49</v>
      </c>
      <c r="H635" t="s">
        <v>47</v>
      </c>
      <c r="J635" s="1">
        <v>45441</v>
      </c>
      <c r="K635" t="s">
        <v>724</v>
      </c>
      <c r="L635" t="s">
        <v>42</v>
      </c>
      <c r="M635" t="s">
        <v>43</v>
      </c>
      <c r="N635" t="s">
        <v>35</v>
      </c>
    </row>
    <row r="636" spans="1:14" x14ac:dyDescent="0.25">
      <c r="A636" t="s">
        <v>723</v>
      </c>
      <c r="B636">
        <v>5410</v>
      </c>
      <c r="C636">
        <v>2456</v>
      </c>
      <c r="E636">
        <v>8</v>
      </c>
      <c r="F636" t="s">
        <v>45</v>
      </c>
      <c r="G636" t="s">
        <v>49</v>
      </c>
      <c r="H636" t="s">
        <v>47</v>
      </c>
      <c r="J636" s="1">
        <v>44565</v>
      </c>
      <c r="K636" t="s">
        <v>725</v>
      </c>
      <c r="L636" t="s">
        <v>17</v>
      </c>
      <c r="M636" t="s">
        <v>150</v>
      </c>
      <c r="N636" t="s">
        <v>87</v>
      </c>
    </row>
    <row r="637" spans="1:14" x14ac:dyDescent="0.25">
      <c r="A637" t="s">
        <v>726</v>
      </c>
      <c r="B637">
        <v>3024</v>
      </c>
      <c r="C637">
        <v>1353</v>
      </c>
      <c r="E637">
        <v>1</v>
      </c>
      <c r="F637" t="s">
        <v>45</v>
      </c>
      <c r="G637" t="s">
        <v>60</v>
      </c>
      <c r="H637" t="s">
        <v>47</v>
      </c>
      <c r="J637" s="1">
        <v>45414</v>
      </c>
      <c r="K637" t="s">
        <v>727</v>
      </c>
      <c r="L637" t="s">
        <v>42</v>
      </c>
      <c r="M637" t="s">
        <v>43</v>
      </c>
      <c r="N637" t="s">
        <v>35</v>
      </c>
    </row>
    <row r="638" spans="1:14" x14ac:dyDescent="0.25">
      <c r="A638" t="s">
        <v>726</v>
      </c>
      <c r="B638">
        <v>3024</v>
      </c>
      <c r="C638">
        <v>1353</v>
      </c>
      <c r="E638">
        <v>1</v>
      </c>
      <c r="F638" t="s">
        <v>45</v>
      </c>
      <c r="G638" t="s">
        <v>60</v>
      </c>
      <c r="H638" t="s">
        <v>47</v>
      </c>
      <c r="J638" s="1">
        <v>44558</v>
      </c>
      <c r="K638" t="s">
        <v>728</v>
      </c>
      <c r="L638" t="s">
        <v>98</v>
      </c>
      <c r="M638" t="s">
        <v>99</v>
      </c>
      <c r="N638" t="s">
        <v>90</v>
      </c>
    </row>
    <row r="639" spans="1:14" x14ac:dyDescent="0.25">
      <c r="A639" t="s">
        <v>729</v>
      </c>
      <c r="B639">
        <v>7434</v>
      </c>
      <c r="C639">
        <v>2851</v>
      </c>
      <c r="E639">
        <v>5</v>
      </c>
      <c r="F639" t="s">
        <v>30</v>
      </c>
      <c r="G639" t="s">
        <v>57</v>
      </c>
      <c r="H639" t="s">
        <v>15</v>
      </c>
      <c r="J639" s="1">
        <v>44907</v>
      </c>
      <c r="K639" t="s">
        <v>730</v>
      </c>
      <c r="L639" t="s">
        <v>21</v>
      </c>
      <c r="M639" t="s">
        <v>63</v>
      </c>
      <c r="N639" t="s">
        <v>152</v>
      </c>
    </row>
    <row r="640" spans="1:14" x14ac:dyDescent="0.25">
      <c r="A640" t="s">
        <v>731</v>
      </c>
      <c r="B640">
        <v>7213</v>
      </c>
      <c r="C640">
        <v>508</v>
      </c>
      <c r="E640">
        <v>19</v>
      </c>
      <c r="F640" t="s">
        <v>13</v>
      </c>
      <c r="G640" t="s">
        <v>14</v>
      </c>
      <c r="H640" t="s">
        <v>32</v>
      </c>
      <c r="J640" s="1">
        <v>45155</v>
      </c>
      <c r="K640" t="s">
        <v>732</v>
      </c>
      <c r="L640" t="s">
        <v>71</v>
      </c>
      <c r="M640" t="s">
        <v>72</v>
      </c>
      <c r="N640" t="s">
        <v>121</v>
      </c>
    </row>
    <row r="641" spans="1:14" x14ac:dyDescent="0.25">
      <c r="A641" t="s">
        <v>731</v>
      </c>
      <c r="B641">
        <v>7213</v>
      </c>
      <c r="C641">
        <v>508</v>
      </c>
      <c r="E641">
        <v>19</v>
      </c>
      <c r="F641" t="s">
        <v>13</v>
      </c>
      <c r="G641" t="s">
        <v>14</v>
      </c>
      <c r="H641" t="s">
        <v>32</v>
      </c>
      <c r="J641" s="1">
        <v>44529</v>
      </c>
      <c r="K641" t="s">
        <v>733</v>
      </c>
      <c r="L641" t="s">
        <v>98</v>
      </c>
      <c r="M641" t="s">
        <v>107</v>
      </c>
      <c r="N641" t="s">
        <v>175</v>
      </c>
    </row>
    <row r="642" spans="1:14" x14ac:dyDescent="0.25">
      <c r="A642" t="s">
        <v>731</v>
      </c>
      <c r="B642">
        <v>3176</v>
      </c>
      <c r="C642">
        <v>586</v>
      </c>
      <c r="E642">
        <v>9</v>
      </c>
      <c r="F642" t="s">
        <v>45</v>
      </c>
      <c r="G642" t="s">
        <v>46</v>
      </c>
      <c r="H642" t="s">
        <v>40</v>
      </c>
      <c r="J642" s="1">
        <v>45155</v>
      </c>
      <c r="K642" t="s">
        <v>732</v>
      </c>
      <c r="L642" t="s">
        <v>71</v>
      </c>
      <c r="M642" t="s">
        <v>72</v>
      </c>
      <c r="N642" t="s">
        <v>121</v>
      </c>
    </row>
    <row r="643" spans="1:14" x14ac:dyDescent="0.25">
      <c r="A643" t="s">
        <v>731</v>
      </c>
      <c r="B643">
        <v>3176</v>
      </c>
      <c r="C643">
        <v>586</v>
      </c>
      <c r="E643">
        <v>9</v>
      </c>
      <c r="F643" t="s">
        <v>45</v>
      </c>
      <c r="G643" t="s">
        <v>46</v>
      </c>
      <c r="H643" t="s">
        <v>40</v>
      </c>
      <c r="J643" s="1">
        <v>44529</v>
      </c>
      <c r="K643" t="s">
        <v>733</v>
      </c>
      <c r="L643" t="s">
        <v>98</v>
      </c>
      <c r="M643" t="s">
        <v>107</v>
      </c>
      <c r="N643" t="s">
        <v>175</v>
      </c>
    </row>
    <row r="644" spans="1:14" x14ac:dyDescent="0.25">
      <c r="A644" t="s">
        <v>734</v>
      </c>
      <c r="B644">
        <v>9144</v>
      </c>
      <c r="C644">
        <v>2220</v>
      </c>
      <c r="E644">
        <v>18</v>
      </c>
      <c r="F644" t="s">
        <v>30</v>
      </c>
      <c r="G644" t="s">
        <v>78</v>
      </c>
      <c r="H644" t="s">
        <v>47</v>
      </c>
      <c r="J644" s="1">
        <v>44360</v>
      </c>
      <c r="K644" t="s">
        <v>735</v>
      </c>
      <c r="L644" t="s">
        <v>17</v>
      </c>
      <c r="M644" t="s">
        <v>18</v>
      </c>
      <c r="N644" t="s">
        <v>125</v>
      </c>
    </row>
    <row r="645" spans="1:14" x14ac:dyDescent="0.25">
      <c r="A645" t="s">
        <v>736</v>
      </c>
      <c r="B645">
        <v>4146</v>
      </c>
      <c r="C645">
        <v>865</v>
      </c>
      <c r="E645">
        <v>19</v>
      </c>
      <c r="F645" t="s">
        <v>45</v>
      </c>
      <c r="G645" t="s">
        <v>46</v>
      </c>
      <c r="H645" t="s">
        <v>40</v>
      </c>
      <c r="J645" s="1">
        <v>44746</v>
      </c>
      <c r="K645" t="s">
        <v>737</v>
      </c>
      <c r="L645" t="s">
        <v>71</v>
      </c>
      <c r="M645" t="s">
        <v>138</v>
      </c>
      <c r="N645" t="s">
        <v>418</v>
      </c>
    </row>
    <row r="646" spans="1:14" x14ac:dyDescent="0.25">
      <c r="A646" t="s">
        <v>736</v>
      </c>
      <c r="B646">
        <v>3793</v>
      </c>
      <c r="C646">
        <v>875</v>
      </c>
      <c r="E646">
        <v>7</v>
      </c>
      <c r="F646" t="s">
        <v>45</v>
      </c>
      <c r="G646" t="s">
        <v>46</v>
      </c>
      <c r="H646" t="s">
        <v>40</v>
      </c>
      <c r="J646" s="1">
        <v>44746</v>
      </c>
      <c r="K646" t="s">
        <v>737</v>
      </c>
      <c r="L646" t="s">
        <v>71</v>
      </c>
      <c r="M646" t="s">
        <v>138</v>
      </c>
      <c r="N646" t="s">
        <v>418</v>
      </c>
    </row>
    <row r="647" spans="1:14" x14ac:dyDescent="0.25">
      <c r="A647" t="s">
        <v>738</v>
      </c>
      <c r="B647">
        <v>7169</v>
      </c>
      <c r="C647">
        <v>2385</v>
      </c>
      <c r="E647">
        <v>11</v>
      </c>
      <c r="F647" t="s">
        <v>45</v>
      </c>
      <c r="G647" t="s">
        <v>60</v>
      </c>
      <c r="H647" t="s">
        <v>65</v>
      </c>
      <c r="J647" s="1">
        <v>44374</v>
      </c>
      <c r="K647" t="s">
        <v>739</v>
      </c>
      <c r="L647" t="s">
        <v>42</v>
      </c>
      <c r="M647" t="s">
        <v>43</v>
      </c>
      <c r="N647" t="s">
        <v>125</v>
      </c>
    </row>
    <row r="648" spans="1:14" x14ac:dyDescent="0.25">
      <c r="A648" t="s">
        <v>738</v>
      </c>
      <c r="B648">
        <v>4046</v>
      </c>
      <c r="C648">
        <v>417</v>
      </c>
      <c r="E648">
        <v>18</v>
      </c>
      <c r="F648" t="s">
        <v>45</v>
      </c>
      <c r="G648" t="s">
        <v>49</v>
      </c>
      <c r="H648" t="s">
        <v>47</v>
      </c>
      <c r="J648" s="1">
        <v>44374</v>
      </c>
      <c r="K648" t="s">
        <v>739</v>
      </c>
      <c r="L648" t="s">
        <v>42</v>
      </c>
      <c r="M648" t="s">
        <v>43</v>
      </c>
      <c r="N648" t="s">
        <v>125</v>
      </c>
    </row>
    <row r="649" spans="1:14" x14ac:dyDescent="0.25">
      <c r="A649" t="s">
        <v>740</v>
      </c>
      <c r="B649">
        <v>4164</v>
      </c>
      <c r="C649">
        <v>905</v>
      </c>
      <c r="E649">
        <v>11</v>
      </c>
      <c r="F649" t="s">
        <v>13</v>
      </c>
      <c r="G649" t="s">
        <v>82</v>
      </c>
      <c r="H649" t="s">
        <v>65</v>
      </c>
      <c r="J649" s="1">
        <v>45264</v>
      </c>
      <c r="K649" t="s">
        <v>741</v>
      </c>
      <c r="L649" t="s">
        <v>42</v>
      </c>
      <c r="M649" t="s">
        <v>75</v>
      </c>
      <c r="N649" t="s">
        <v>102</v>
      </c>
    </row>
    <row r="650" spans="1:14" x14ac:dyDescent="0.25">
      <c r="A650" t="s">
        <v>740</v>
      </c>
      <c r="B650">
        <v>5389</v>
      </c>
      <c r="C650">
        <v>2196</v>
      </c>
      <c r="E650">
        <v>5</v>
      </c>
      <c r="F650" t="s">
        <v>45</v>
      </c>
      <c r="G650" t="s">
        <v>46</v>
      </c>
      <c r="H650" t="s">
        <v>15</v>
      </c>
      <c r="J650" s="1">
        <v>45264</v>
      </c>
      <c r="K650" t="s">
        <v>741</v>
      </c>
      <c r="L650" t="s">
        <v>42</v>
      </c>
      <c r="M650" t="s">
        <v>75</v>
      </c>
      <c r="N650" t="s">
        <v>102</v>
      </c>
    </row>
    <row r="651" spans="1:14" x14ac:dyDescent="0.25">
      <c r="A651" t="s">
        <v>742</v>
      </c>
      <c r="B651">
        <v>5448</v>
      </c>
      <c r="C651">
        <v>2204</v>
      </c>
      <c r="E651">
        <v>5</v>
      </c>
      <c r="F651" t="s">
        <v>45</v>
      </c>
      <c r="G651" t="s">
        <v>60</v>
      </c>
      <c r="H651" t="s">
        <v>65</v>
      </c>
      <c r="J651" s="1">
        <v>44782</v>
      </c>
      <c r="K651" t="s">
        <v>743</v>
      </c>
      <c r="L651" t="s">
        <v>25</v>
      </c>
      <c r="M651" t="s">
        <v>51</v>
      </c>
      <c r="N651" t="s">
        <v>209</v>
      </c>
    </row>
    <row r="652" spans="1:14" x14ac:dyDescent="0.25">
      <c r="A652" t="s">
        <v>744</v>
      </c>
      <c r="B652">
        <v>4115</v>
      </c>
      <c r="C652">
        <v>1285</v>
      </c>
      <c r="E652">
        <v>1</v>
      </c>
      <c r="F652" t="s">
        <v>45</v>
      </c>
      <c r="G652" t="s">
        <v>60</v>
      </c>
      <c r="H652" t="s">
        <v>15</v>
      </c>
      <c r="J652" s="1">
        <v>43929</v>
      </c>
      <c r="K652" t="s">
        <v>745</v>
      </c>
      <c r="L652" t="s">
        <v>17</v>
      </c>
      <c r="M652" t="s">
        <v>34</v>
      </c>
      <c r="N652" t="s">
        <v>162</v>
      </c>
    </row>
    <row r="653" spans="1:14" x14ac:dyDescent="0.25">
      <c r="A653" t="s">
        <v>744</v>
      </c>
      <c r="B653">
        <v>4761</v>
      </c>
      <c r="C653">
        <v>2231</v>
      </c>
      <c r="E653">
        <v>12</v>
      </c>
      <c r="F653" t="s">
        <v>45</v>
      </c>
      <c r="G653" t="s">
        <v>46</v>
      </c>
      <c r="H653" t="s">
        <v>15</v>
      </c>
      <c r="J653" s="1">
        <v>43929</v>
      </c>
      <c r="K653" t="s">
        <v>745</v>
      </c>
      <c r="L653" t="s">
        <v>17</v>
      </c>
      <c r="M653" t="s">
        <v>34</v>
      </c>
      <c r="N653" t="s">
        <v>162</v>
      </c>
    </row>
    <row r="654" spans="1:14" x14ac:dyDescent="0.25">
      <c r="A654" t="s">
        <v>746</v>
      </c>
      <c r="B654">
        <v>5899</v>
      </c>
      <c r="C654">
        <v>2264</v>
      </c>
      <c r="E654">
        <v>6</v>
      </c>
      <c r="F654" t="s">
        <v>30</v>
      </c>
      <c r="G654" t="s">
        <v>78</v>
      </c>
      <c r="H654" t="s">
        <v>40</v>
      </c>
      <c r="J654" s="1">
        <v>45219</v>
      </c>
      <c r="K654" t="s">
        <v>747</v>
      </c>
      <c r="L654" t="s">
        <v>25</v>
      </c>
      <c r="M654" t="s">
        <v>26</v>
      </c>
      <c r="N654" t="s">
        <v>442</v>
      </c>
    </row>
    <row r="655" spans="1:14" x14ac:dyDescent="0.25">
      <c r="A655" t="s">
        <v>748</v>
      </c>
      <c r="B655">
        <v>6109</v>
      </c>
      <c r="C655">
        <v>3040</v>
      </c>
      <c r="E655">
        <v>9</v>
      </c>
      <c r="F655" t="s">
        <v>45</v>
      </c>
      <c r="G655" t="s">
        <v>49</v>
      </c>
      <c r="H655" t="s">
        <v>40</v>
      </c>
      <c r="J655" s="1">
        <v>44602</v>
      </c>
      <c r="K655" t="s">
        <v>749</v>
      </c>
      <c r="L655" t="s">
        <v>25</v>
      </c>
      <c r="M655" t="s">
        <v>26</v>
      </c>
      <c r="N655" t="s">
        <v>137</v>
      </c>
    </row>
    <row r="656" spans="1:14" x14ac:dyDescent="0.25">
      <c r="A656" t="s">
        <v>748</v>
      </c>
      <c r="B656">
        <v>6109</v>
      </c>
      <c r="C656">
        <v>3040</v>
      </c>
      <c r="E656">
        <v>9</v>
      </c>
      <c r="F656" t="s">
        <v>45</v>
      </c>
      <c r="G656" t="s">
        <v>49</v>
      </c>
      <c r="H656" t="s">
        <v>40</v>
      </c>
      <c r="J656" s="1">
        <v>45204</v>
      </c>
      <c r="K656" t="s">
        <v>750</v>
      </c>
      <c r="L656" t="s">
        <v>25</v>
      </c>
      <c r="M656" t="s">
        <v>68</v>
      </c>
      <c r="N656" t="s">
        <v>442</v>
      </c>
    </row>
    <row r="657" spans="1:14" x14ac:dyDescent="0.25">
      <c r="A657" t="s">
        <v>748</v>
      </c>
      <c r="B657">
        <v>4628</v>
      </c>
      <c r="C657">
        <v>1491</v>
      </c>
      <c r="E657">
        <v>17</v>
      </c>
      <c r="F657" t="s">
        <v>13</v>
      </c>
      <c r="G657" t="s">
        <v>14</v>
      </c>
      <c r="H657" t="s">
        <v>15</v>
      </c>
      <c r="J657" s="1">
        <v>44602</v>
      </c>
      <c r="K657" t="s">
        <v>749</v>
      </c>
      <c r="L657" t="s">
        <v>25</v>
      </c>
      <c r="M657" t="s">
        <v>26</v>
      </c>
      <c r="N657" t="s">
        <v>137</v>
      </c>
    </row>
    <row r="658" spans="1:14" x14ac:dyDescent="0.25">
      <c r="A658" t="s">
        <v>748</v>
      </c>
      <c r="B658">
        <v>4628</v>
      </c>
      <c r="C658">
        <v>1491</v>
      </c>
      <c r="E658">
        <v>17</v>
      </c>
      <c r="F658" t="s">
        <v>13</v>
      </c>
      <c r="G658" t="s">
        <v>14</v>
      </c>
      <c r="H658" t="s">
        <v>15</v>
      </c>
      <c r="J658" s="1">
        <v>45204</v>
      </c>
      <c r="K658" t="s">
        <v>750</v>
      </c>
      <c r="L658" t="s">
        <v>25</v>
      </c>
      <c r="M658" t="s">
        <v>68</v>
      </c>
      <c r="N658" t="s">
        <v>442</v>
      </c>
    </row>
    <row r="659" spans="1:14" x14ac:dyDescent="0.25">
      <c r="A659" t="s">
        <v>751</v>
      </c>
      <c r="B659">
        <v>4369</v>
      </c>
      <c r="C659">
        <v>584</v>
      </c>
      <c r="E659">
        <v>13</v>
      </c>
      <c r="F659" t="s">
        <v>30</v>
      </c>
      <c r="G659" t="s">
        <v>31</v>
      </c>
      <c r="H659" t="s">
        <v>47</v>
      </c>
      <c r="J659" s="1">
        <v>44826</v>
      </c>
      <c r="K659" t="s">
        <v>752</v>
      </c>
      <c r="L659" t="s">
        <v>21</v>
      </c>
      <c r="M659" t="s">
        <v>172</v>
      </c>
      <c r="N659" t="s">
        <v>131</v>
      </c>
    </row>
    <row r="660" spans="1:14" x14ac:dyDescent="0.25">
      <c r="A660" t="s">
        <v>751</v>
      </c>
      <c r="B660">
        <v>4369</v>
      </c>
      <c r="C660">
        <v>584</v>
      </c>
      <c r="E660">
        <v>13</v>
      </c>
      <c r="F660" t="s">
        <v>30</v>
      </c>
      <c r="G660" t="s">
        <v>31</v>
      </c>
      <c r="H660" t="s">
        <v>47</v>
      </c>
      <c r="J660" s="1">
        <v>44289</v>
      </c>
      <c r="K660" t="s">
        <v>753</v>
      </c>
      <c r="L660" t="s">
        <v>71</v>
      </c>
      <c r="M660" t="s">
        <v>86</v>
      </c>
      <c r="N660" t="s">
        <v>139</v>
      </c>
    </row>
    <row r="661" spans="1:14" x14ac:dyDescent="0.25">
      <c r="A661" t="s">
        <v>754</v>
      </c>
      <c r="B661">
        <v>5632</v>
      </c>
      <c r="C661">
        <v>2358</v>
      </c>
      <c r="E661">
        <v>20</v>
      </c>
      <c r="F661" t="s">
        <v>45</v>
      </c>
      <c r="G661" t="s">
        <v>60</v>
      </c>
      <c r="H661" t="s">
        <v>47</v>
      </c>
      <c r="J661" s="1">
        <v>44319</v>
      </c>
      <c r="K661" t="s">
        <v>755</v>
      </c>
      <c r="L661" t="s">
        <v>42</v>
      </c>
      <c r="M661" t="s">
        <v>43</v>
      </c>
      <c r="N661" t="s">
        <v>108</v>
      </c>
    </row>
    <row r="662" spans="1:14" x14ac:dyDescent="0.25">
      <c r="A662" t="s">
        <v>754</v>
      </c>
      <c r="B662">
        <v>5632</v>
      </c>
      <c r="C662">
        <v>2358</v>
      </c>
      <c r="E662">
        <v>20</v>
      </c>
      <c r="F662" t="s">
        <v>45</v>
      </c>
      <c r="G662" t="s">
        <v>60</v>
      </c>
      <c r="H662" t="s">
        <v>47</v>
      </c>
      <c r="J662" s="1">
        <v>45333</v>
      </c>
      <c r="K662" t="s">
        <v>756</v>
      </c>
      <c r="L662" t="s">
        <v>17</v>
      </c>
      <c r="M662" t="s">
        <v>18</v>
      </c>
      <c r="N662" t="s">
        <v>218</v>
      </c>
    </row>
    <row r="663" spans="1:14" x14ac:dyDescent="0.25">
      <c r="A663" t="s">
        <v>754</v>
      </c>
      <c r="B663">
        <v>5632</v>
      </c>
      <c r="C663">
        <v>2358</v>
      </c>
      <c r="E663">
        <v>20</v>
      </c>
      <c r="F663" t="s">
        <v>45</v>
      </c>
      <c r="G663" t="s">
        <v>60</v>
      </c>
      <c r="H663" t="s">
        <v>47</v>
      </c>
      <c r="J663" s="1">
        <v>45692</v>
      </c>
      <c r="K663" t="s">
        <v>757</v>
      </c>
      <c r="L663" t="s">
        <v>98</v>
      </c>
      <c r="M663" t="s">
        <v>117</v>
      </c>
      <c r="N663" t="s">
        <v>73</v>
      </c>
    </row>
    <row r="664" spans="1:14" x14ac:dyDescent="0.25">
      <c r="A664" t="s">
        <v>758</v>
      </c>
      <c r="B664">
        <v>7519</v>
      </c>
      <c r="C664">
        <v>402</v>
      </c>
      <c r="E664">
        <v>14</v>
      </c>
      <c r="F664" t="s">
        <v>30</v>
      </c>
      <c r="G664" t="s">
        <v>64</v>
      </c>
      <c r="H664" t="s">
        <v>15</v>
      </c>
      <c r="J664" s="1">
        <v>44846</v>
      </c>
      <c r="K664" t="s">
        <v>759</v>
      </c>
      <c r="L664" t="s">
        <v>42</v>
      </c>
      <c r="M664" t="s">
        <v>75</v>
      </c>
      <c r="N664" t="s">
        <v>96</v>
      </c>
    </row>
    <row r="665" spans="1:14" x14ac:dyDescent="0.25">
      <c r="A665" t="s">
        <v>758</v>
      </c>
      <c r="B665">
        <v>1564</v>
      </c>
      <c r="C665">
        <v>674</v>
      </c>
      <c r="E665">
        <v>13</v>
      </c>
      <c r="F665" t="s">
        <v>13</v>
      </c>
      <c r="G665" t="s">
        <v>14</v>
      </c>
      <c r="H665" t="s">
        <v>32</v>
      </c>
      <c r="J665" s="1">
        <v>44846</v>
      </c>
      <c r="K665" t="s">
        <v>759</v>
      </c>
      <c r="L665" t="s">
        <v>42</v>
      </c>
      <c r="M665" t="s">
        <v>75</v>
      </c>
      <c r="N665" t="s">
        <v>96</v>
      </c>
    </row>
    <row r="666" spans="1:14" x14ac:dyDescent="0.25">
      <c r="A666" t="s">
        <v>760</v>
      </c>
      <c r="B666">
        <v>2804</v>
      </c>
      <c r="C666">
        <v>936</v>
      </c>
      <c r="E666">
        <v>10</v>
      </c>
      <c r="F666" t="s">
        <v>13</v>
      </c>
      <c r="G666" t="s">
        <v>14</v>
      </c>
      <c r="H666" t="s">
        <v>47</v>
      </c>
      <c r="J666" s="1">
        <v>44598</v>
      </c>
      <c r="K666" t="s">
        <v>761</v>
      </c>
      <c r="L666" t="s">
        <v>71</v>
      </c>
      <c r="M666" t="s">
        <v>86</v>
      </c>
      <c r="N666" t="s">
        <v>137</v>
      </c>
    </row>
    <row r="667" spans="1:14" x14ac:dyDescent="0.25">
      <c r="A667" t="s">
        <v>760</v>
      </c>
      <c r="B667">
        <v>2804</v>
      </c>
      <c r="C667">
        <v>936</v>
      </c>
      <c r="E667">
        <v>10</v>
      </c>
      <c r="F667" t="s">
        <v>13</v>
      </c>
      <c r="G667" t="s">
        <v>14</v>
      </c>
      <c r="H667" t="s">
        <v>47</v>
      </c>
      <c r="J667" s="1">
        <v>44144</v>
      </c>
      <c r="K667" t="s">
        <v>762</v>
      </c>
      <c r="L667" t="s">
        <v>17</v>
      </c>
      <c r="M667" t="s">
        <v>150</v>
      </c>
      <c r="N667" t="s">
        <v>80</v>
      </c>
    </row>
    <row r="668" spans="1:14" x14ac:dyDescent="0.25">
      <c r="A668" t="s">
        <v>760</v>
      </c>
      <c r="B668">
        <v>2804</v>
      </c>
      <c r="C668">
        <v>936</v>
      </c>
      <c r="E668">
        <v>10</v>
      </c>
      <c r="F668" t="s">
        <v>13</v>
      </c>
      <c r="G668" t="s">
        <v>14</v>
      </c>
      <c r="H668" t="s">
        <v>47</v>
      </c>
      <c r="J668" s="1">
        <v>45049</v>
      </c>
      <c r="K668" t="s">
        <v>763</v>
      </c>
      <c r="L668" t="s">
        <v>17</v>
      </c>
      <c r="M668" t="s">
        <v>150</v>
      </c>
      <c r="N668" t="s">
        <v>127</v>
      </c>
    </row>
    <row r="669" spans="1:14" x14ac:dyDescent="0.25">
      <c r="A669" t="s">
        <v>764</v>
      </c>
      <c r="B669">
        <v>2321</v>
      </c>
      <c r="C669">
        <v>505</v>
      </c>
      <c r="E669">
        <v>6</v>
      </c>
      <c r="F669" t="s">
        <v>45</v>
      </c>
      <c r="G669" t="s">
        <v>49</v>
      </c>
      <c r="H669" t="s">
        <v>40</v>
      </c>
      <c r="J669" s="1">
        <v>44838</v>
      </c>
      <c r="K669" t="s">
        <v>765</v>
      </c>
      <c r="L669" t="s">
        <v>21</v>
      </c>
      <c r="M669" t="s">
        <v>63</v>
      </c>
      <c r="N669" t="s">
        <v>96</v>
      </c>
    </row>
    <row r="670" spans="1:14" x14ac:dyDescent="0.25">
      <c r="A670" t="s">
        <v>766</v>
      </c>
      <c r="B670">
        <v>5730</v>
      </c>
      <c r="C670">
        <v>482</v>
      </c>
      <c r="E670">
        <v>6</v>
      </c>
      <c r="F670" t="s">
        <v>13</v>
      </c>
      <c r="G670" t="s">
        <v>39</v>
      </c>
      <c r="H670" t="s">
        <v>65</v>
      </c>
      <c r="J670" s="1">
        <v>45525</v>
      </c>
      <c r="K670" t="s">
        <v>767</v>
      </c>
      <c r="L670" t="s">
        <v>17</v>
      </c>
      <c r="M670" t="s">
        <v>150</v>
      </c>
      <c r="N670" t="s">
        <v>114</v>
      </c>
    </row>
    <row r="671" spans="1:14" x14ac:dyDescent="0.25">
      <c r="A671" t="s">
        <v>768</v>
      </c>
      <c r="B671">
        <v>7441</v>
      </c>
      <c r="C671">
        <v>867</v>
      </c>
      <c r="E671">
        <v>12</v>
      </c>
      <c r="F671" t="s">
        <v>45</v>
      </c>
      <c r="G671" t="s">
        <v>60</v>
      </c>
      <c r="H671" t="s">
        <v>65</v>
      </c>
      <c r="J671" s="1">
        <v>44520</v>
      </c>
      <c r="K671" t="s">
        <v>769</v>
      </c>
      <c r="L671" t="s">
        <v>21</v>
      </c>
      <c r="M671" t="s">
        <v>22</v>
      </c>
      <c r="N671" t="s">
        <v>175</v>
      </c>
    </row>
    <row r="672" spans="1:14" x14ac:dyDescent="0.25">
      <c r="A672" t="s">
        <v>768</v>
      </c>
      <c r="B672">
        <v>7441</v>
      </c>
      <c r="C672">
        <v>867</v>
      </c>
      <c r="E672">
        <v>12</v>
      </c>
      <c r="F672" t="s">
        <v>45</v>
      </c>
      <c r="G672" t="s">
        <v>60</v>
      </c>
      <c r="H672" t="s">
        <v>65</v>
      </c>
      <c r="J672" s="1">
        <v>43964</v>
      </c>
      <c r="K672" t="s">
        <v>770</v>
      </c>
      <c r="L672" t="s">
        <v>71</v>
      </c>
      <c r="M672" t="s">
        <v>86</v>
      </c>
      <c r="N672" t="s">
        <v>59</v>
      </c>
    </row>
    <row r="673" spans="1:14" x14ac:dyDescent="0.25">
      <c r="A673" t="s">
        <v>771</v>
      </c>
      <c r="B673">
        <v>1732</v>
      </c>
      <c r="C673">
        <v>766</v>
      </c>
      <c r="E673">
        <v>7</v>
      </c>
      <c r="F673" t="s">
        <v>30</v>
      </c>
      <c r="G673" t="s">
        <v>78</v>
      </c>
      <c r="H673" t="s">
        <v>15</v>
      </c>
      <c r="J673" s="1">
        <v>44985</v>
      </c>
      <c r="K673" t="s">
        <v>772</v>
      </c>
      <c r="L673" t="s">
        <v>25</v>
      </c>
      <c r="M673" t="s">
        <v>51</v>
      </c>
      <c r="N673" t="s">
        <v>93</v>
      </c>
    </row>
    <row r="674" spans="1:14" x14ac:dyDescent="0.25">
      <c r="A674" t="s">
        <v>771</v>
      </c>
      <c r="B674">
        <v>8788</v>
      </c>
      <c r="C674">
        <v>3944</v>
      </c>
      <c r="E674">
        <v>19</v>
      </c>
      <c r="F674" t="s">
        <v>30</v>
      </c>
      <c r="G674" t="s">
        <v>64</v>
      </c>
      <c r="H674" t="s">
        <v>40</v>
      </c>
      <c r="J674" s="1">
        <v>44985</v>
      </c>
      <c r="K674" t="s">
        <v>772</v>
      </c>
      <c r="L674" t="s">
        <v>25</v>
      </c>
      <c r="M674" t="s">
        <v>51</v>
      </c>
      <c r="N674" t="s">
        <v>93</v>
      </c>
    </row>
    <row r="675" spans="1:14" x14ac:dyDescent="0.25">
      <c r="A675" t="s">
        <v>773</v>
      </c>
      <c r="B675">
        <v>838</v>
      </c>
      <c r="C675">
        <v>271</v>
      </c>
      <c r="E675">
        <v>11</v>
      </c>
      <c r="F675" t="s">
        <v>30</v>
      </c>
      <c r="G675" t="s">
        <v>57</v>
      </c>
      <c r="H675" t="s">
        <v>40</v>
      </c>
      <c r="J675" s="1">
        <v>44217</v>
      </c>
      <c r="K675" t="s">
        <v>774</v>
      </c>
      <c r="L675" t="s">
        <v>98</v>
      </c>
      <c r="M675" t="s">
        <v>99</v>
      </c>
      <c r="N675" t="s">
        <v>276</v>
      </c>
    </row>
    <row r="676" spans="1:14" x14ac:dyDescent="0.25">
      <c r="A676" t="s">
        <v>773</v>
      </c>
      <c r="B676">
        <v>838</v>
      </c>
      <c r="C676">
        <v>271</v>
      </c>
      <c r="E676">
        <v>11</v>
      </c>
      <c r="F676" t="s">
        <v>30</v>
      </c>
      <c r="G676" t="s">
        <v>57</v>
      </c>
      <c r="H676" t="s">
        <v>40</v>
      </c>
      <c r="J676" s="1">
        <v>44620</v>
      </c>
      <c r="K676" t="s">
        <v>775</v>
      </c>
      <c r="L676" t="s">
        <v>21</v>
      </c>
      <c r="M676" t="s">
        <v>172</v>
      </c>
      <c r="N676" t="s">
        <v>137</v>
      </c>
    </row>
    <row r="677" spans="1:14" x14ac:dyDescent="0.25">
      <c r="A677" t="s">
        <v>773</v>
      </c>
      <c r="B677">
        <v>3577</v>
      </c>
      <c r="C677">
        <v>699</v>
      </c>
      <c r="E677">
        <v>2</v>
      </c>
      <c r="F677" t="s">
        <v>45</v>
      </c>
      <c r="G677" t="s">
        <v>46</v>
      </c>
      <c r="H677" t="s">
        <v>15</v>
      </c>
      <c r="J677" s="1">
        <v>44217</v>
      </c>
      <c r="K677" t="s">
        <v>774</v>
      </c>
      <c r="L677" t="s">
        <v>98</v>
      </c>
      <c r="M677" t="s">
        <v>99</v>
      </c>
      <c r="N677" t="s">
        <v>276</v>
      </c>
    </row>
    <row r="678" spans="1:14" x14ac:dyDescent="0.25">
      <c r="A678" t="s">
        <v>773</v>
      </c>
      <c r="B678">
        <v>3577</v>
      </c>
      <c r="C678">
        <v>699</v>
      </c>
      <c r="E678">
        <v>2</v>
      </c>
      <c r="F678" t="s">
        <v>45</v>
      </c>
      <c r="G678" t="s">
        <v>46</v>
      </c>
      <c r="H678" t="s">
        <v>15</v>
      </c>
      <c r="J678" s="1">
        <v>44620</v>
      </c>
      <c r="K678" t="s">
        <v>775</v>
      </c>
      <c r="L678" t="s">
        <v>21</v>
      </c>
      <c r="M678" t="s">
        <v>172</v>
      </c>
      <c r="N678" t="s">
        <v>137</v>
      </c>
    </row>
    <row r="679" spans="1:14" x14ac:dyDescent="0.25">
      <c r="A679" t="s">
        <v>776</v>
      </c>
      <c r="B679">
        <v>7122</v>
      </c>
      <c r="C679">
        <v>1836</v>
      </c>
      <c r="E679">
        <v>6</v>
      </c>
      <c r="F679" t="s">
        <v>13</v>
      </c>
      <c r="G679" t="s">
        <v>82</v>
      </c>
      <c r="H679" t="s">
        <v>32</v>
      </c>
      <c r="J679" s="1">
        <v>45407</v>
      </c>
      <c r="K679" t="s">
        <v>777</v>
      </c>
      <c r="L679" t="s">
        <v>71</v>
      </c>
      <c r="M679" t="s">
        <v>72</v>
      </c>
      <c r="N679" t="s">
        <v>235</v>
      </c>
    </row>
    <row r="680" spans="1:14" x14ac:dyDescent="0.25">
      <c r="A680" t="s">
        <v>776</v>
      </c>
      <c r="B680">
        <v>7122</v>
      </c>
      <c r="C680">
        <v>1836</v>
      </c>
      <c r="E680">
        <v>6</v>
      </c>
      <c r="F680" t="s">
        <v>13</v>
      </c>
      <c r="G680" t="s">
        <v>82</v>
      </c>
      <c r="H680" t="s">
        <v>32</v>
      </c>
      <c r="J680" s="1">
        <v>44995</v>
      </c>
      <c r="K680" t="s">
        <v>778</v>
      </c>
      <c r="L680" t="s">
        <v>71</v>
      </c>
      <c r="M680" t="s">
        <v>138</v>
      </c>
      <c r="N680" t="s">
        <v>245</v>
      </c>
    </row>
    <row r="681" spans="1:14" x14ac:dyDescent="0.25">
      <c r="A681" t="s">
        <v>776</v>
      </c>
      <c r="B681">
        <v>7122</v>
      </c>
      <c r="C681">
        <v>1836</v>
      </c>
      <c r="E681">
        <v>6</v>
      </c>
      <c r="F681" t="s">
        <v>13</v>
      </c>
      <c r="G681" t="s">
        <v>82</v>
      </c>
      <c r="H681" t="s">
        <v>32</v>
      </c>
      <c r="J681" s="1">
        <v>45117</v>
      </c>
      <c r="K681" t="s">
        <v>779</v>
      </c>
      <c r="L681" t="s">
        <v>25</v>
      </c>
      <c r="M681" t="s">
        <v>51</v>
      </c>
      <c r="N681" t="s">
        <v>105</v>
      </c>
    </row>
    <row r="682" spans="1:14" x14ac:dyDescent="0.25">
      <c r="A682" t="s">
        <v>776</v>
      </c>
      <c r="B682">
        <v>7327</v>
      </c>
      <c r="C682">
        <v>2596</v>
      </c>
      <c r="E682">
        <v>15</v>
      </c>
      <c r="F682" t="s">
        <v>30</v>
      </c>
      <c r="G682" t="s">
        <v>57</v>
      </c>
      <c r="H682" t="s">
        <v>47</v>
      </c>
      <c r="J682" s="1">
        <v>45407</v>
      </c>
      <c r="K682" t="s">
        <v>777</v>
      </c>
      <c r="L682" t="s">
        <v>71</v>
      </c>
      <c r="M682" t="s">
        <v>72</v>
      </c>
      <c r="N682" t="s">
        <v>235</v>
      </c>
    </row>
    <row r="683" spans="1:14" x14ac:dyDescent="0.25">
      <c r="A683" t="s">
        <v>776</v>
      </c>
      <c r="B683">
        <v>7327</v>
      </c>
      <c r="C683">
        <v>2596</v>
      </c>
      <c r="E683">
        <v>15</v>
      </c>
      <c r="F683" t="s">
        <v>30</v>
      </c>
      <c r="G683" t="s">
        <v>57</v>
      </c>
      <c r="H683" t="s">
        <v>47</v>
      </c>
      <c r="J683" s="1">
        <v>44995</v>
      </c>
      <c r="K683" t="s">
        <v>778</v>
      </c>
      <c r="L683" t="s">
        <v>71</v>
      </c>
      <c r="M683" t="s">
        <v>138</v>
      </c>
      <c r="N683" t="s">
        <v>245</v>
      </c>
    </row>
    <row r="684" spans="1:14" x14ac:dyDescent="0.25">
      <c r="A684" t="s">
        <v>776</v>
      </c>
      <c r="B684">
        <v>7327</v>
      </c>
      <c r="C684">
        <v>2596</v>
      </c>
      <c r="E684">
        <v>15</v>
      </c>
      <c r="F684" t="s">
        <v>30</v>
      </c>
      <c r="G684" t="s">
        <v>57</v>
      </c>
      <c r="H684" t="s">
        <v>47</v>
      </c>
      <c r="J684" s="1">
        <v>45117</v>
      </c>
      <c r="K684" t="s">
        <v>779</v>
      </c>
      <c r="L684" t="s">
        <v>25</v>
      </c>
      <c r="M684" t="s">
        <v>51</v>
      </c>
      <c r="N684" t="s">
        <v>105</v>
      </c>
    </row>
    <row r="685" spans="1:14" x14ac:dyDescent="0.25">
      <c r="A685" t="s">
        <v>780</v>
      </c>
      <c r="B685">
        <v>2239</v>
      </c>
      <c r="C685">
        <v>1094</v>
      </c>
      <c r="E685">
        <v>18</v>
      </c>
      <c r="F685" t="s">
        <v>13</v>
      </c>
      <c r="G685" t="s">
        <v>28</v>
      </c>
      <c r="H685" t="s">
        <v>65</v>
      </c>
      <c r="J685" s="1">
        <v>45501</v>
      </c>
      <c r="K685" t="s">
        <v>781</v>
      </c>
      <c r="L685" t="s">
        <v>17</v>
      </c>
      <c r="M685" t="s">
        <v>150</v>
      </c>
      <c r="N685" t="s">
        <v>215</v>
      </c>
    </row>
    <row r="686" spans="1:14" x14ac:dyDescent="0.25">
      <c r="A686" t="s">
        <v>780</v>
      </c>
      <c r="B686">
        <v>4932</v>
      </c>
      <c r="C686">
        <v>1153</v>
      </c>
      <c r="E686">
        <v>1</v>
      </c>
      <c r="F686" t="s">
        <v>30</v>
      </c>
      <c r="G686" t="s">
        <v>57</v>
      </c>
      <c r="H686" t="s">
        <v>65</v>
      </c>
      <c r="J686" s="1">
        <v>45501</v>
      </c>
      <c r="K686" t="s">
        <v>781</v>
      </c>
      <c r="L686" t="s">
        <v>17</v>
      </c>
      <c r="M686" t="s">
        <v>150</v>
      </c>
      <c r="N686" t="s">
        <v>215</v>
      </c>
    </row>
    <row r="687" spans="1:14" x14ac:dyDescent="0.25">
      <c r="A687" t="s">
        <v>782</v>
      </c>
      <c r="B687">
        <v>4609</v>
      </c>
      <c r="C687">
        <v>1084</v>
      </c>
      <c r="E687">
        <v>8</v>
      </c>
      <c r="F687" t="s">
        <v>13</v>
      </c>
      <c r="G687" t="s">
        <v>28</v>
      </c>
      <c r="H687" t="s">
        <v>15</v>
      </c>
      <c r="J687" s="1">
        <v>45137</v>
      </c>
      <c r="K687" t="s">
        <v>783</v>
      </c>
      <c r="L687" t="s">
        <v>17</v>
      </c>
      <c r="M687" t="s">
        <v>34</v>
      </c>
      <c r="N687" t="s">
        <v>105</v>
      </c>
    </row>
    <row r="688" spans="1:14" x14ac:dyDescent="0.25">
      <c r="A688" t="s">
        <v>782</v>
      </c>
      <c r="B688">
        <v>2328</v>
      </c>
      <c r="C688">
        <v>788</v>
      </c>
      <c r="E688">
        <v>4</v>
      </c>
      <c r="F688" t="s">
        <v>30</v>
      </c>
      <c r="G688" t="s">
        <v>64</v>
      </c>
      <c r="H688" t="s">
        <v>15</v>
      </c>
      <c r="J688" s="1">
        <v>45137</v>
      </c>
      <c r="K688" t="s">
        <v>783</v>
      </c>
      <c r="L688" t="s">
        <v>17</v>
      </c>
      <c r="M688" t="s">
        <v>34</v>
      </c>
      <c r="N688" t="s">
        <v>105</v>
      </c>
    </row>
    <row r="689" spans="1:14" x14ac:dyDescent="0.25">
      <c r="A689" t="s">
        <v>782</v>
      </c>
      <c r="B689">
        <v>4734</v>
      </c>
      <c r="C689">
        <v>958</v>
      </c>
      <c r="E689">
        <v>7</v>
      </c>
      <c r="F689" t="s">
        <v>13</v>
      </c>
      <c r="G689" t="s">
        <v>28</v>
      </c>
      <c r="H689" t="s">
        <v>32</v>
      </c>
      <c r="J689" s="1">
        <v>45137</v>
      </c>
      <c r="K689" t="s">
        <v>783</v>
      </c>
      <c r="L689" t="s">
        <v>17</v>
      </c>
      <c r="M689" t="s">
        <v>34</v>
      </c>
      <c r="N689" t="s">
        <v>105</v>
      </c>
    </row>
    <row r="690" spans="1:14" x14ac:dyDescent="0.25">
      <c r="A690" t="s">
        <v>784</v>
      </c>
      <c r="B690">
        <v>1388</v>
      </c>
      <c r="C690">
        <v>345</v>
      </c>
      <c r="E690">
        <v>5</v>
      </c>
      <c r="F690" t="s">
        <v>45</v>
      </c>
      <c r="G690" t="s">
        <v>60</v>
      </c>
      <c r="H690" t="s">
        <v>15</v>
      </c>
      <c r="J690" s="1">
        <v>45570</v>
      </c>
      <c r="K690" t="s">
        <v>785</v>
      </c>
      <c r="L690" t="s">
        <v>25</v>
      </c>
      <c r="M690" t="s">
        <v>51</v>
      </c>
      <c r="N690" t="s">
        <v>360</v>
      </c>
    </row>
    <row r="691" spans="1:14" x14ac:dyDescent="0.25">
      <c r="A691" t="s">
        <v>784</v>
      </c>
      <c r="B691">
        <v>8555</v>
      </c>
      <c r="C691">
        <v>1638</v>
      </c>
      <c r="E691">
        <v>8</v>
      </c>
      <c r="F691" t="s">
        <v>13</v>
      </c>
      <c r="G691" t="s">
        <v>39</v>
      </c>
      <c r="H691" t="s">
        <v>47</v>
      </c>
      <c r="J691" s="1">
        <v>45570</v>
      </c>
      <c r="K691" t="s">
        <v>785</v>
      </c>
      <c r="L691" t="s">
        <v>25</v>
      </c>
      <c r="M691" t="s">
        <v>51</v>
      </c>
      <c r="N691" t="s">
        <v>360</v>
      </c>
    </row>
    <row r="692" spans="1:14" x14ac:dyDescent="0.25">
      <c r="A692" t="s">
        <v>786</v>
      </c>
      <c r="B692">
        <v>9024</v>
      </c>
      <c r="C692">
        <v>730</v>
      </c>
      <c r="E692">
        <v>4</v>
      </c>
      <c r="F692" t="s">
        <v>45</v>
      </c>
      <c r="G692" t="s">
        <v>46</v>
      </c>
      <c r="H692" t="s">
        <v>47</v>
      </c>
      <c r="J692" s="1">
        <v>45342</v>
      </c>
      <c r="K692" t="s">
        <v>787</v>
      </c>
      <c r="L692" t="s">
        <v>71</v>
      </c>
      <c r="M692" t="s">
        <v>72</v>
      </c>
      <c r="N692" t="s">
        <v>218</v>
      </c>
    </row>
    <row r="693" spans="1:14" x14ac:dyDescent="0.25">
      <c r="A693" t="s">
        <v>786</v>
      </c>
      <c r="B693">
        <v>2468</v>
      </c>
      <c r="C693">
        <v>418</v>
      </c>
      <c r="E693">
        <v>4</v>
      </c>
      <c r="F693" t="s">
        <v>13</v>
      </c>
      <c r="G693" t="s">
        <v>39</v>
      </c>
      <c r="H693" t="s">
        <v>47</v>
      </c>
      <c r="J693" s="1">
        <v>45342</v>
      </c>
      <c r="K693" t="s">
        <v>787</v>
      </c>
      <c r="L693" t="s">
        <v>71</v>
      </c>
      <c r="M693" t="s">
        <v>72</v>
      </c>
      <c r="N693" t="s">
        <v>218</v>
      </c>
    </row>
    <row r="694" spans="1:14" x14ac:dyDescent="0.25">
      <c r="A694" t="s">
        <v>788</v>
      </c>
      <c r="B694">
        <v>9438</v>
      </c>
      <c r="C694">
        <v>1801</v>
      </c>
      <c r="E694">
        <v>4</v>
      </c>
      <c r="F694" t="s">
        <v>13</v>
      </c>
      <c r="G694" t="s">
        <v>14</v>
      </c>
      <c r="H694" t="s">
        <v>65</v>
      </c>
      <c r="J694" s="1">
        <v>45035</v>
      </c>
      <c r="K694" t="s">
        <v>789</v>
      </c>
      <c r="L694" t="s">
        <v>17</v>
      </c>
      <c r="M694" t="s">
        <v>34</v>
      </c>
      <c r="N694" t="s">
        <v>145</v>
      </c>
    </row>
    <row r="695" spans="1:14" x14ac:dyDescent="0.25">
      <c r="A695" t="s">
        <v>788</v>
      </c>
      <c r="B695">
        <v>9438</v>
      </c>
      <c r="C695">
        <v>1801</v>
      </c>
      <c r="E695">
        <v>4</v>
      </c>
      <c r="F695" t="s">
        <v>13</v>
      </c>
      <c r="G695" t="s">
        <v>14</v>
      </c>
      <c r="H695" t="s">
        <v>65</v>
      </c>
      <c r="J695" s="1">
        <v>45228</v>
      </c>
      <c r="K695" t="s">
        <v>790</v>
      </c>
      <c r="L695" t="s">
        <v>71</v>
      </c>
      <c r="M695" t="s">
        <v>86</v>
      </c>
      <c r="N695" t="s">
        <v>442</v>
      </c>
    </row>
    <row r="696" spans="1:14" x14ac:dyDescent="0.25">
      <c r="A696" t="s">
        <v>791</v>
      </c>
      <c r="B696">
        <v>2685</v>
      </c>
      <c r="C696">
        <v>379</v>
      </c>
      <c r="E696">
        <v>18</v>
      </c>
      <c r="F696" t="s">
        <v>13</v>
      </c>
      <c r="G696" t="s">
        <v>82</v>
      </c>
      <c r="H696" t="s">
        <v>15</v>
      </c>
      <c r="J696" s="1">
        <v>44628</v>
      </c>
      <c r="K696" t="s">
        <v>792</v>
      </c>
      <c r="L696" t="s">
        <v>98</v>
      </c>
      <c r="M696" t="s">
        <v>117</v>
      </c>
      <c r="N696" t="s">
        <v>134</v>
      </c>
    </row>
    <row r="697" spans="1:14" x14ac:dyDescent="0.25">
      <c r="A697" t="s">
        <v>791</v>
      </c>
      <c r="B697">
        <v>2685</v>
      </c>
      <c r="C697">
        <v>379</v>
      </c>
      <c r="E697">
        <v>18</v>
      </c>
      <c r="F697" t="s">
        <v>13</v>
      </c>
      <c r="G697" t="s">
        <v>82</v>
      </c>
      <c r="H697" t="s">
        <v>15</v>
      </c>
      <c r="J697" s="1">
        <v>44903</v>
      </c>
      <c r="K697" t="s">
        <v>793</v>
      </c>
      <c r="L697" t="s">
        <v>17</v>
      </c>
      <c r="M697" t="s">
        <v>150</v>
      </c>
      <c r="N697" t="s">
        <v>152</v>
      </c>
    </row>
    <row r="698" spans="1:14" x14ac:dyDescent="0.25">
      <c r="A698" t="s">
        <v>791</v>
      </c>
      <c r="B698">
        <v>9916</v>
      </c>
      <c r="C698">
        <v>4602</v>
      </c>
      <c r="E698">
        <v>14</v>
      </c>
      <c r="F698" t="s">
        <v>45</v>
      </c>
      <c r="G698" t="s">
        <v>49</v>
      </c>
      <c r="H698" t="s">
        <v>15</v>
      </c>
      <c r="J698" s="1">
        <v>44628</v>
      </c>
      <c r="K698" t="s">
        <v>792</v>
      </c>
      <c r="L698" t="s">
        <v>98</v>
      </c>
      <c r="M698" t="s">
        <v>117</v>
      </c>
      <c r="N698" t="s">
        <v>134</v>
      </c>
    </row>
    <row r="699" spans="1:14" x14ac:dyDescent="0.25">
      <c r="A699" t="s">
        <v>791</v>
      </c>
      <c r="B699">
        <v>9916</v>
      </c>
      <c r="C699">
        <v>4602</v>
      </c>
      <c r="E699">
        <v>14</v>
      </c>
      <c r="F699" t="s">
        <v>45</v>
      </c>
      <c r="G699" t="s">
        <v>49</v>
      </c>
      <c r="H699" t="s">
        <v>15</v>
      </c>
      <c r="J699" s="1">
        <v>44903</v>
      </c>
      <c r="K699" t="s">
        <v>793</v>
      </c>
      <c r="L699" t="s">
        <v>17</v>
      </c>
      <c r="M699" t="s">
        <v>150</v>
      </c>
      <c r="N699" t="s">
        <v>152</v>
      </c>
    </row>
    <row r="700" spans="1:14" x14ac:dyDescent="0.25">
      <c r="A700" t="s">
        <v>791</v>
      </c>
      <c r="B700">
        <v>6184</v>
      </c>
      <c r="C700">
        <v>50</v>
      </c>
      <c r="E700">
        <v>14</v>
      </c>
      <c r="F700" t="s">
        <v>13</v>
      </c>
      <c r="G700" t="s">
        <v>14</v>
      </c>
      <c r="H700" t="s">
        <v>47</v>
      </c>
      <c r="J700" s="1">
        <v>44628</v>
      </c>
      <c r="K700" t="s">
        <v>792</v>
      </c>
      <c r="L700" t="s">
        <v>98</v>
      </c>
      <c r="M700" t="s">
        <v>117</v>
      </c>
      <c r="N700" t="s">
        <v>134</v>
      </c>
    </row>
    <row r="701" spans="1:14" x14ac:dyDescent="0.25">
      <c r="A701" t="s">
        <v>791</v>
      </c>
      <c r="B701">
        <v>6184</v>
      </c>
      <c r="C701">
        <v>50</v>
      </c>
      <c r="E701">
        <v>14</v>
      </c>
      <c r="F701" t="s">
        <v>13</v>
      </c>
      <c r="G701" t="s">
        <v>14</v>
      </c>
      <c r="H701" t="s">
        <v>47</v>
      </c>
      <c r="J701" s="1">
        <v>44903</v>
      </c>
      <c r="K701" t="s">
        <v>793</v>
      </c>
      <c r="L701" t="s">
        <v>17</v>
      </c>
      <c r="M701" t="s">
        <v>150</v>
      </c>
      <c r="N701" t="s">
        <v>152</v>
      </c>
    </row>
    <row r="702" spans="1:14" x14ac:dyDescent="0.25">
      <c r="A702" t="s">
        <v>791</v>
      </c>
      <c r="B702">
        <v>4548</v>
      </c>
      <c r="C702">
        <v>2135</v>
      </c>
      <c r="E702">
        <v>8</v>
      </c>
      <c r="F702" t="s">
        <v>30</v>
      </c>
      <c r="G702" t="s">
        <v>57</v>
      </c>
      <c r="H702" t="s">
        <v>32</v>
      </c>
      <c r="J702" s="1">
        <v>44628</v>
      </c>
      <c r="K702" t="s">
        <v>792</v>
      </c>
      <c r="L702" t="s">
        <v>98</v>
      </c>
      <c r="M702" t="s">
        <v>117</v>
      </c>
      <c r="N702" t="s">
        <v>134</v>
      </c>
    </row>
    <row r="703" spans="1:14" x14ac:dyDescent="0.25">
      <c r="A703" t="s">
        <v>791</v>
      </c>
      <c r="B703">
        <v>4548</v>
      </c>
      <c r="C703">
        <v>2135</v>
      </c>
      <c r="E703">
        <v>8</v>
      </c>
      <c r="F703" t="s">
        <v>30</v>
      </c>
      <c r="G703" t="s">
        <v>57</v>
      </c>
      <c r="H703" t="s">
        <v>32</v>
      </c>
      <c r="J703" s="1">
        <v>44903</v>
      </c>
      <c r="K703" t="s">
        <v>793</v>
      </c>
      <c r="L703" t="s">
        <v>17</v>
      </c>
      <c r="M703" t="s">
        <v>150</v>
      </c>
      <c r="N703" t="s">
        <v>152</v>
      </c>
    </row>
    <row r="704" spans="1:14" x14ac:dyDescent="0.25">
      <c r="A704" t="s">
        <v>794</v>
      </c>
      <c r="B704">
        <v>7195</v>
      </c>
      <c r="C704">
        <v>1665</v>
      </c>
      <c r="E704">
        <v>7</v>
      </c>
      <c r="F704" t="s">
        <v>30</v>
      </c>
      <c r="G704" t="s">
        <v>57</v>
      </c>
      <c r="H704" t="s">
        <v>65</v>
      </c>
      <c r="J704" s="1">
        <v>45500</v>
      </c>
      <c r="K704" t="s">
        <v>795</v>
      </c>
      <c r="L704" t="s">
        <v>25</v>
      </c>
      <c r="M704" t="s">
        <v>68</v>
      </c>
      <c r="N704" t="s">
        <v>215</v>
      </c>
    </row>
    <row r="705" spans="1:14" x14ac:dyDescent="0.25">
      <c r="A705" t="s">
        <v>794</v>
      </c>
      <c r="B705">
        <v>7195</v>
      </c>
      <c r="C705">
        <v>1665</v>
      </c>
      <c r="E705">
        <v>7</v>
      </c>
      <c r="F705" t="s">
        <v>30</v>
      </c>
      <c r="G705" t="s">
        <v>57</v>
      </c>
      <c r="H705" t="s">
        <v>65</v>
      </c>
      <c r="J705" s="1">
        <v>44747</v>
      </c>
      <c r="K705" t="s">
        <v>796</v>
      </c>
      <c r="L705" t="s">
        <v>25</v>
      </c>
      <c r="M705" t="s">
        <v>26</v>
      </c>
      <c r="N705" t="s">
        <v>418</v>
      </c>
    </row>
    <row r="706" spans="1:14" x14ac:dyDescent="0.25">
      <c r="A706" t="s">
        <v>797</v>
      </c>
      <c r="B706">
        <v>3098</v>
      </c>
      <c r="C706">
        <v>957</v>
      </c>
      <c r="E706">
        <v>18</v>
      </c>
      <c r="F706" t="s">
        <v>45</v>
      </c>
      <c r="G706" t="s">
        <v>109</v>
      </c>
      <c r="H706" t="s">
        <v>65</v>
      </c>
      <c r="J706" s="1">
        <v>45477</v>
      </c>
      <c r="K706" t="s">
        <v>798</v>
      </c>
      <c r="L706" t="s">
        <v>71</v>
      </c>
      <c r="M706" t="s">
        <v>86</v>
      </c>
      <c r="N706" t="s">
        <v>215</v>
      </c>
    </row>
    <row r="707" spans="1:14" x14ac:dyDescent="0.25">
      <c r="A707" t="s">
        <v>799</v>
      </c>
      <c r="B707">
        <v>5412</v>
      </c>
      <c r="C707">
        <v>1192</v>
      </c>
      <c r="E707">
        <v>18</v>
      </c>
      <c r="F707" t="s">
        <v>45</v>
      </c>
      <c r="G707" t="s">
        <v>46</v>
      </c>
      <c r="H707" t="s">
        <v>47</v>
      </c>
      <c r="J707" s="1">
        <v>45350</v>
      </c>
      <c r="K707" t="s">
        <v>800</v>
      </c>
      <c r="L707" t="s">
        <v>42</v>
      </c>
      <c r="M707" t="s">
        <v>75</v>
      </c>
      <c r="N707" t="s">
        <v>218</v>
      </c>
    </row>
    <row r="708" spans="1:14" x14ac:dyDescent="0.25">
      <c r="A708" t="s">
        <v>799</v>
      </c>
      <c r="B708">
        <v>5412</v>
      </c>
      <c r="C708">
        <v>1192</v>
      </c>
      <c r="E708">
        <v>18</v>
      </c>
      <c r="F708" t="s">
        <v>45</v>
      </c>
      <c r="G708" t="s">
        <v>46</v>
      </c>
      <c r="H708" t="s">
        <v>47</v>
      </c>
      <c r="J708" s="1">
        <v>45660</v>
      </c>
      <c r="K708" t="s">
        <v>801</v>
      </c>
      <c r="L708" t="s">
        <v>42</v>
      </c>
      <c r="M708" t="s">
        <v>43</v>
      </c>
      <c r="N708" t="s">
        <v>308</v>
      </c>
    </row>
    <row r="709" spans="1:14" x14ac:dyDescent="0.25">
      <c r="A709" t="s">
        <v>802</v>
      </c>
      <c r="B709">
        <v>1397</v>
      </c>
      <c r="C709">
        <v>686</v>
      </c>
      <c r="E709">
        <v>11</v>
      </c>
      <c r="F709" t="s">
        <v>45</v>
      </c>
      <c r="G709" t="s">
        <v>49</v>
      </c>
      <c r="H709" t="s">
        <v>47</v>
      </c>
      <c r="J709" s="1">
        <v>44537</v>
      </c>
      <c r="K709" t="s">
        <v>803</v>
      </c>
      <c r="L709" t="s">
        <v>25</v>
      </c>
      <c r="M709" t="s">
        <v>51</v>
      </c>
      <c r="N709" t="s">
        <v>90</v>
      </c>
    </row>
    <row r="710" spans="1:14" x14ac:dyDescent="0.25">
      <c r="A710" t="s">
        <v>804</v>
      </c>
      <c r="B710">
        <v>9279</v>
      </c>
      <c r="C710">
        <v>552</v>
      </c>
      <c r="E710">
        <v>14</v>
      </c>
      <c r="F710" t="s">
        <v>45</v>
      </c>
      <c r="G710" t="s">
        <v>49</v>
      </c>
      <c r="H710" t="s">
        <v>40</v>
      </c>
      <c r="J710" s="1">
        <v>44544</v>
      </c>
      <c r="K710" t="s">
        <v>805</v>
      </c>
      <c r="L710" t="s">
        <v>25</v>
      </c>
      <c r="M710" t="s">
        <v>26</v>
      </c>
      <c r="N710" t="s">
        <v>90</v>
      </c>
    </row>
    <row r="711" spans="1:14" x14ac:dyDescent="0.25">
      <c r="A711" t="s">
        <v>804</v>
      </c>
      <c r="B711">
        <v>9279</v>
      </c>
      <c r="C711">
        <v>552</v>
      </c>
      <c r="E711">
        <v>14</v>
      </c>
      <c r="F711" t="s">
        <v>45</v>
      </c>
      <c r="G711" t="s">
        <v>49</v>
      </c>
      <c r="H711" t="s">
        <v>40</v>
      </c>
      <c r="J711" s="1">
        <v>44165</v>
      </c>
      <c r="K711" t="s">
        <v>806</v>
      </c>
      <c r="L711" t="s">
        <v>42</v>
      </c>
      <c r="M711" t="s">
        <v>92</v>
      </c>
      <c r="N711" t="s">
        <v>80</v>
      </c>
    </row>
    <row r="712" spans="1:14" x14ac:dyDescent="0.25">
      <c r="A712" t="s">
        <v>804</v>
      </c>
      <c r="B712">
        <v>2596</v>
      </c>
      <c r="C712">
        <v>1003</v>
      </c>
      <c r="E712">
        <v>19</v>
      </c>
      <c r="F712" t="s">
        <v>30</v>
      </c>
      <c r="G712" t="s">
        <v>64</v>
      </c>
      <c r="H712" t="s">
        <v>47</v>
      </c>
      <c r="J712" s="1">
        <v>44544</v>
      </c>
      <c r="K712" t="s">
        <v>805</v>
      </c>
      <c r="L712" t="s">
        <v>25</v>
      </c>
      <c r="M712" t="s">
        <v>26</v>
      </c>
      <c r="N712" t="s">
        <v>90</v>
      </c>
    </row>
    <row r="713" spans="1:14" x14ac:dyDescent="0.25">
      <c r="A713" t="s">
        <v>804</v>
      </c>
      <c r="B713">
        <v>2596</v>
      </c>
      <c r="C713">
        <v>1003</v>
      </c>
      <c r="E713">
        <v>19</v>
      </c>
      <c r="F713" t="s">
        <v>30</v>
      </c>
      <c r="G713" t="s">
        <v>64</v>
      </c>
      <c r="H713" t="s">
        <v>47</v>
      </c>
      <c r="J713" s="1">
        <v>44165</v>
      </c>
      <c r="K713" t="s">
        <v>806</v>
      </c>
      <c r="L713" t="s">
        <v>42</v>
      </c>
      <c r="M713" t="s">
        <v>92</v>
      </c>
      <c r="N713" t="s">
        <v>80</v>
      </c>
    </row>
    <row r="714" spans="1:14" x14ac:dyDescent="0.25">
      <c r="A714" t="s">
        <v>807</v>
      </c>
      <c r="B714">
        <v>6732</v>
      </c>
      <c r="C714">
        <v>911</v>
      </c>
      <c r="E714">
        <v>19</v>
      </c>
      <c r="F714" t="s">
        <v>45</v>
      </c>
      <c r="G714" t="s">
        <v>109</v>
      </c>
      <c r="H714" t="s">
        <v>40</v>
      </c>
      <c r="J714" s="1">
        <v>44559</v>
      </c>
      <c r="K714" t="s">
        <v>808</v>
      </c>
      <c r="L714" t="s">
        <v>25</v>
      </c>
      <c r="M714" t="s">
        <v>26</v>
      </c>
      <c r="N714" t="s">
        <v>90</v>
      </c>
    </row>
    <row r="715" spans="1:14" x14ac:dyDescent="0.25">
      <c r="A715" t="s">
        <v>807</v>
      </c>
      <c r="B715">
        <v>4495</v>
      </c>
      <c r="C715">
        <v>1408</v>
      </c>
      <c r="E715">
        <v>14</v>
      </c>
      <c r="F715" t="s">
        <v>30</v>
      </c>
      <c r="G715" t="s">
        <v>31</v>
      </c>
      <c r="H715" t="s">
        <v>40</v>
      </c>
      <c r="J715" s="1">
        <v>44559</v>
      </c>
      <c r="K715" t="s">
        <v>808</v>
      </c>
      <c r="L715" t="s">
        <v>25</v>
      </c>
      <c r="M715" t="s">
        <v>26</v>
      </c>
      <c r="N715" t="s">
        <v>90</v>
      </c>
    </row>
    <row r="716" spans="1:14" x14ac:dyDescent="0.25">
      <c r="A716" t="s">
        <v>809</v>
      </c>
      <c r="B716">
        <v>9653</v>
      </c>
      <c r="C716">
        <v>2471</v>
      </c>
      <c r="E716">
        <v>6</v>
      </c>
      <c r="F716" t="s">
        <v>30</v>
      </c>
      <c r="G716" t="s">
        <v>64</v>
      </c>
      <c r="H716" t="s">
        <v>15</v>
      </c>
      <c r="J716" s="1">
        <v>45481</v>
      </c>
      <c r="K716" t="s">
        <v>810</v>
      </c>
      <c r="L716" t="s">
        <v>25</v>
      </c>
      <c r="M716" t="s">
        <v>26</v>
      </c>
      <c r="N716" t="s">
        <v>215</v>
      </c>
    </row>
    <row r="717" spans="1:14" x14ac:dyDescent="0.25">
      <c r="A717" t="s">
        <v>811</v>
      </c>
      <c r="B717">
        <v>8945</v>
      </c>
      <c r="C717">
        <v>1728</v>
      </c>
      <c r="E717">
        <v>10</v>
      </c>
      <c r="F717" t="s">
        <v>45</v>
      </c>
      <c r="G717" t="s">
        <v>46</v>
      </c>
      <c r="H717" t="s">
        <v>15</v>
      </c>
      <c r="J717" s="1">
        <v>44237</v>
      </c>
      <c r="K717" t="s">
        <v>812</v>
      </c>
      <c r="L717" t="s">
        <v>21</v>
      </c>
      <c r="M717" t="s">
        <v>172</v>
      </c>
      <c r="N717" t="s">
        <v>292</v>
      </c>
    </row>
    <row r="718" spans="1:14" x14ac:dyDescent="0.25">
      <c r="A718" t="s">
        <v>813</v>
      </c>
      <c r="B718">
        <v>4007</v>
      </c>
      <c r="C718">
        <v>201</v>
      </c>
      <c r="E718">
        <v>13</v>
      </c>
      <c r="F718" t="s">
        <v>45</v>
      </c>
      <c r="G718" t="s">
        <v>109</v>
      </c>
      <c r="H718" t="s">
        <v>65</v>
      </c>
      <c r="J718" s="1">
        <v>44125</v>
      </c>
      <c r="K718" t="s">
        <v>814</v>
      </c>
      <c r="L718" t="s">
        <v>98</v>
      </c>
      <c r="M718" t="s">
        <v>99</v>
      </c>
      <c r="N718" t="s">
        <v>119</v>
      </c>
    </row>
    <row r="719" spans="1:14" x14ac:dyDescent="0.25">
      <c r="A719" t="s">
        <v>813</v>
      </c>
      <c r="B719">
        <v>4007</v>
      </c>
      <c r="C719">
        <v>201</v>
      </c>
      <c r="E719">
        <v>13</v>
      </c>
      <c r="F719" t="s">
        <v>45</v>
      </c>
      <c r="G719" t="s">
        <v>109</v>
      </c>
      <c r="H719" t="s">
        <v>65</v>
      </c>
      <c r="J719" s="1">
        <v>45033</v>
      </c>
      <c r="K719" t="s">
        <v>815</v>
      </c>
      <c r="L719" t="s">
        <v>71</v>
      </c>
      <c r="M719" t="s">
        <v>72</v>
      </c>
      <c r="N719" t="s">
        <v>145</v>
      </c>
    </row>
    <row r="720" spans="1:14" x14ac:dyDescent="0.25">
      <c r="A720" t="s">
        <v>816</v>
      </c>
      <c r="B720">
        <v>810</v>
      </c>
      <c r="C720">
        <v>231</v>
      </c>
      <c r="E720">
        <v>18</v>
      </c>
      <c r="F720" t="s">
        <v>45</v>
      </c>
      <c r="G720" t="s">
        <v>109</v>
      </c>
      <c r="H720" t="s">
        <v>40</v>
      </c>
      <c r="J720" s="1">
        <v>44125</v>
      </c>
      <c r="K720" t="s">
        <v>817</v>
      </c>
      <c r="L720" t="s">
        <v>17</v>
      </c>
      <c r="M720" t="s">
        <v>150</v>
      </c>
      <c r="N720" t="s">
        <v>119</v>
      </c>
    </row>
    <row r="721" spans="1:14" x14ac:dyDescent="0.25">
      <c r="A721" t="s">
        <v>818</v>
      </c>
      <c r="B721">
        <v>9789</v>
      </c>
      <c r="C721">
        <v>2071</v>
      </c>
      <c r="E721">
        <v>18</v>
      </c>
      <c r="F721" t="s">
        <v>45</v>
      </c>
      <c r="G721" t="s">
        <v>109</v>
      </c>
      <c r="H721" t="s">
        <v>32</v>
      </c>
      <c r="J721" s="1">
        <v>45288</v>
      </c>
      <c r="K721" t="s">
        <v>819</v>
      </c>
      <c r="L721" t="s">
        <v>25</v>
      </c>
      <c r="M721" t="s">
        <v>68</v>
      </c>
      <c r="N721" t="s">
        <v>102</v>
      </c>
    </row>
    <row r="722" spans="1:14" x14ac:dyDescent="0.25">
      <c r="A722" t="s">
        <v>818</v>
      </c>
      <c r="B722">
        <v>9229</v>
      </c>
      <c r="C722">
        <v>4090</v>
      </c>
      <c r="E722">
        <v>8</v>
      </c>
      <c r="F722" t="s">
        <v>13</v>
      </c>
      <c r="G722" t="s">
        <v>14</v>
      </c>
      <c r="H722" t="s">
        <v>65</v>
      </c>
      <c r="J722" s="1">
        <v>45288</v>
      </c>
      <c r="K722" t="s">
        <v>819</v>
      </c>
      <c r="L722" t="s">
        <v>25</v>
      </c>
      <c r="M722" t="s">
        <v>68</v>
      </c>
      <c r="N722" t="s">
        <v>102</v>
      </c>
    </row>
    <row r="723" spans="1:14" x14ac:dyDescent="0.25">
      <c r="A723" t="s">
        <v>820</v>
      </c>
      <c r="B723">
        <v>8141</v>
      </c>
      <c r="C723">
        <v>3968</v>
      </c>
      <c r="E723">
        <v>18</v>
      </c>
      <c r="F723" t="s">
        <v>30</v>
      </c>
      <c r="G723" t="s">
        <v>57</v>
      </c>
      <c r="H723" t="s">
        <v>32</v>
      </c>
      <c r="J723" s="1">
        <v>44918</v>
      </c>
      <c r="K723" t="s">
        <v>821</v>
      </c>
      <c r="L723" t="s">
        <v>25</v>
      </c>
      <c r="M723" t="s">
        <v>68</v>
      </c>
      <c r="N723" t="s">
        <v>152</v>
      </c>
    </row>
    <row r="724" spans="1:14" x14ac:dyDescent="0.25">
      <c r="A724" t="s">
        <v>820</v>
      </c>
      <c r="B724">
        <v>8141</v>
      </c>
      <c r="C724">
        <v>3968</v>
      </c>
      <c r="E724">
        <v>18</v>
      </c>
      <c r="F724" t="s">
        <v>30</v>
      </c>
      <c r="G724" t="s">
        <v>57</v>
      </c>
      <c r="H724" t="s">
        <v>32</v>
      </c>
      <c r="J724" s="1">
        <v>44783</v>
      </c>
      <c r="K724" t="s">
        <v>822</v>
      </c>
      <c r="L724" t="s">
        <v>21</v>
      </c>
      <c r="M724" t="s">
        <v>172</v>
      </c>
      <c r="N724" t="s">
        <v>209</v>
      </c>
    </row>
    <row r="725" spans="1:14" x14ac:dyDescent="0.25">
      <c r="A725" t="s">
        <v>820</v>
      </c>
      <c r="B725">
        <v>1067</v>
      </c>
      <c r="C725">
        <v>251</v>
      </c>
      <c r="E725">
        <v>14</v>
      </c>
      <c r="F725" t="s">
        <v>45</v>
      </c>
      <c r="G725" t="s">
        <v>60</v>
      </c>
      <c r="H725" t="s">
        <v>40</v>
      </c>
      <c r="J725" s="1">
        <v>44918</v>
      </c>
      <c r="K725" t="s">
        <v>821</v>
      </c>
      <c r="L725" t="s">
        <v>25</v>
      </c>
      <c r="M725" t="s">
        <v>68</v>
      </c>
      <c r="N725" t="s">
        <v>152</v>
      </c>
    </row>
    <row r="726" spans="1:14" x14ac:dyDescent="0.25">
      <c r="A726" t="s">
        <v>820</v>
      </c>
      <c r="B726">
        <v>1067</v>
      </c>
      <c r="C726">
        <v>251</v>
      </c>
      <c r="E726">
        <v>14</v>
      </c>
      <c r="F726" t="s">
        <v>45</v>
      </c>
      <c r="G726" t="s">
        <v>60</v>
      </c>
      <c r="H726" t="s">
        <v>40</v>
      </c>
      <c r="J726" s="1">
        <v>44783</v>
      </c>
      <c r="K726" t="s">
        <v>822</v>
      </c>
      <c r="L726" t="s">
        <v>21</v>
      </c>
      <c r="M726" t="s">
        <v>172</v>
      </c>
      <c r="N726" t="s">
        <v>209</v>
      </c>
    </row>
    <row r="727" spans="1:14" x14ac:dyDescent="0.25">
      <c r="A727" t="s">
        <v>823</v>
      </c>
      <c r="B727">
        <v>3839</v>
      </c>
      <c r="C727">
        <v>1415</v>
      </c>
      <c r="E727">
        <v>10</v>
      </c>
      <c r="F727" t="s">
        <v>30</v>
      </c>
      <c r="G727" t="s">
        <v>78</v>
      </c>
      <c r="H727" t="s">
        <v>15</v>
      </c>
      <c r="J727" s="1">
        <v>45216</v>
      </c>
      <c r="K727" t="s">
        <v>824</v>
      </c>
      <c r="L727" t="s">
        <v>42</v>
      </c>
      <c r="M727" t="s">
        <v>43</v>
      </c>
      <c r="N727" t="s">
        <v>442</v>
      </c>
    </row>
    <row r="728" spans="1:14" x14ac:dyDescent="0.25">
      <c r="A728" t="s">
        <v>823</v>
      </c>
      <c r="B728">
        <v>3839</v>
      </c>
      <c r="C728">
        <v>1415</v>
      </c>
      <c r="E728">
        <v>10</v>
      </c>
      <c r="F728" t="s">
        <v>30</v>
      </c>
      <c r="G728" t="s">
        <v>78</v>
      </c>
      <c r="H728" t="s">
        <v>15</v>
      </c>
      <c r="J728" s="1">
        <v>44620</v>
      </c>
      <c r="K728" t="s">
        <v>825</v>
      </c>
      <c r="L728" t="s">
        <v>17</v>
      </c>
      <c r="M728" t="s">
        <v>34</v>
      </c>
      <c r="N728" t="s">
        <v>137</v>
      </c>
    </row>
    <row r="729" spans="1:14" x14ac:dyDescent="0.25">
      <c r="A729" t="s">
        <v>826</v>
      </c>
      <c r="B729">
        <v>2858</v>
      </c>
      <c r="C729">
        <v>482</v>
      </c>
      <c r="E729">
        <v>13</v>
      </c>
      <c r="F729" t="s">
        <v>13</v>
      </c>
      <c r="G729" t="s">
        <v>14</v>
      </c>
      <c r="H729" t="s">
        <v>65</v>
      </c>
      <c r="J729" s="1">
        <v>45436</v>
      </c>
      <c r="K729" t="s">
        <v>827</v>
      </c>
      <c r="L729" t="s">
        <v>71</v>
      </c>
      <c r="M729" t="s">
        <v>86</v>
      </c>
      <c r="N729" t="s">
        <v>35</v>
      </c>
    </row>
    <row r="730" spans="1:14" x14ac:dyDescent="0.25">
      <c r="A730" t="s">
        <v>828</v>
      </c>
      <c r="B730">
        <v>2137</v>
      </c>
      <c r="C730">
        <v>638</v>
      </c>
      <c r="E730">
        <v>12</v>
      </c>
      <c r="F730" t="s">
        <v>45</v>
      </c>
      <c r="G730" t="s">
        <v>109</v>
      </c>
      <c r="H730" t="s">
        <v>32</v>
      </c>
      <c r="J730" s="1">
        <v>44106</v>
      </c>
      <c r="K730" t="s">
        <v>829</v>
      </c>
      <c r="L730" t="s">
        <v>25</v>
      </c>
      <c r="M730" t="s">
        <v>51</v>
      </c>
      <c r="N730" t="s">
        <v>119</v>
      </c>
    </row>
    <row r="731" spans="1:14" x14ac:dyDescent="0.25">
      <c r="A731" t="s">
        <v>828</v>
      </c>
      <c r="B731">
        <v>2831</v>
      </c>
      <c r="C731">
        <v>1289</v>
      </c>
      <c r="E731">
        <v>12</v>
      </c>
      <c r="F731" t="s">
        <v>45</v>
      </c>
      <c r="G731" t="s">
        <v>49</v>
      </c>
      <c r="H731" t="s">
        <v>32</v>
      </c>
      <c r="J731" s="1">
        <v>44106</v>
      </c>
      <c r="K731" t="s">
        <v>829</v>
      </c>
      <c r="L731" t="s">
        <v>25</v>
      </c>
      <c r="M731" t="s">
        <v>51</v>
      </c>
      <c r="N731" t="s">
        <v>119</v>
      </c>
    </row>
    <row r="732" spans="1:14" x14ac:dyDescent="0.25">
      <c r="A732" t="s">
        <v>830</v>
      </c>
      <c r="B732">
        <v>3913</v>
      </c>
      <c r="C732">
        <v>961</v>
      </c>
      <c r="E732">
        <v>15</v>
      </c>
      <c r="F732" t="s">
        <v>45</v>
      </c>
      <c r="G732" t="s">
        <v>60</v>
      </c>
      <c r="H732" t="s">
        <v>15</v>
      </c>
      <c r="J732" s="1">
        <v>45332</v>
      </c>
      <c r="K732" t="s">
        <v>831</v>
      </c>
      <c r="L732" t="s">
        <v>98</v>
      </c>
      <c r="M732" t="s">
        <v>99</v>
      </c>
      <c r="N732" t="s">
        <v>218</v>
      </c>
    </row>
    <row r="733" spans="1:14" x14ac:dyDescent="0.25">
      <c r="A733" t="s">
        <v>830</v>
      </c>
      <c r="B733">
        <v>3913</v>
      </c>
      <c r="C733">
        <v>961</v>
      </c>
      <c r="E733">
        <v>15</v>
      </c>
      <c r="F733" t="s">
        <v>45</v>
      </c>
      <c r="G733" t="s">
        <v>60</v>
      </c>
      <c r="H733" t="s">
        <v>15</v>
      </c>
      <c r="J733" s="1">
        <v>44233</v>
      </c>
      <c r="K733" t="s">
        <v>832</v>
      </c>
      <c r="L733" t="s">
        <v>42</v>
      </c>
      <c r="M733" t="s">
        <v>92</v>
      </c>
      <c r="N733" t="s">
        <v>292</v>
      </c>
    </row>
    <row r="734" spans="1:14" x14ac:dyDescent="0.25">
      <c r="A734" t="s">
        <v>833</v>
      </c>
      <c r="B734">
        <v>4468</v>
      </c>
      <c r="C734">
        <v>1940</v>
      </c>
      <c r="E734">
        <v>9</v>
      </c>
      <c r="F734" t="s">
        <v>30</v>
      </c>
      <c r="G734" t="s">
        <v>64</v>
      </c>
      <c r="H734" t="s">
        <v>65</v>
      </c>
      <c r="J734" s="1">
        <v>44636</v>
      </c>
      <c r="K734" t="s">
        <v>834</v>
      </c>
      <c r="L734" t="s">
        <v>17</v>
      </c>
      <c r="M734" t="s">
        <v>150</v>
      </c>
      <c r="N734" t="s">
        <v>134</v>
      </c>
    </row>
    <row r="735" spans="1:14" x14ac:dyDescent="0.25">
      <c r="A735" t="s">
        <v>835</v>
      </c>
      <c r="B735">
        <v>1579</v>
      </c>
      <c r="C735">
        <v>602</v>
      </c>
      <c r="E735">
        <v>9</v>
      </c>
      <c r="F735" t="s">
        <v>13</v>
      </c>
      <c r="G735" t="s">
        <v>39</v>
      </c>
      <c r="H735" t="s">
        <v>47</v>
      </c>
      <c r="J735" s="1">
        <v>43975</v>
      </c>
      <c r="K735" t="s">
        <v>836</v>
      </c>
      <c r="L735" t="s">
        <v>98</v>
      </c>
      <c r="M735" t="s">
        <v>107</v>
      </c>
      <c r="N735" t="s">
        <v>59</v>
      </c>
    </row>
    <row r="736" spans="1:14" x14ac:dyDescent="0.25">
      <c r="A736" t="s">
        <v>835</v>
      </c>
      <c r="B736">
        <v>1579</v>
      </c>
      <c r="C736">
        <v>602</v>
      </c>
      <c r="E736">
        <v>9</v>
      </c>
      <c r="F736" t="s">
        <v>13</v>
      </c>
      <c r="G736" t="s">
        <v>39</v>
      </c>
      <c r="H736" t="s">
        <v>47</v>
      </c>
      <c r="J736" s="1">
        <v>45704</v>
      </c>
      <c r="K736" t="s">
        <v>837</v>
      </c>
      <c r="L736" t="s">
        <v>71</v>
      </c>
      <c r="M736" t="s">
        <v>72</v>
      </c>
      <c r="N736" t="s">
        <v>73</v>
      </c>
    </row>
    <row r="737" spans="1:14" x14ac:dyDescent="0.25">
      <c r="A737" t="s">
        <v>835</v>
      </c>
      <c r="B737">
        <v>1579</v>
      </c>
      <c r="C737">
        <v>602</v>
      </c>
      <c r="E737">
        <v>9</v>
      </c>
      <c r="F737" t="s">
        <v>13</v>
      </c>
      <c r="G737" t="s">
        <v>39</v>
      </c>
      <c r="H737" t="s">
        <v>47</v>
      </c>
      <c r="J737" s="1">
        <v>44516</v>
      </c>
      <c r="K737" t="s">
        <v>838</v>
      </c>
      <c r="L737" t="s">
        <v>98</v>
      </c>
      <c r="M737" t="s">
        <v>107</v>
      </c>
      <c r="N737" t="s">
        <v>175</v>
      </c>
    </row>
    <row r="738" spans="1:14" x14ac:dyDescent="0.25">
      <c r="A738" t="s">
        <v>835</v>
      </c>
      <c r="B738">
        <v>1579</v>
      </c>
      <c r="C738">
        <v>602</v>
      </c>
      <c r="E738">
        <v>9</v>
      </c>
      <c r="F738" t="s">
        <v>13</v>
      </c>
      <c r="G738" t="s">
        <v>39</v>
      </c>
      <c r="H738" t="s">
        <v>47</v>
      </c>
      <c r="J738" s="1">
        <v>45543</v>
      </c>
      <c r="K738" t="s">
        <v>839</v>
      </c>
      <c r="L738" t="s">
        <v>25</v>
      </c>
      <c r="M738" t="s">
        <v>68</v>
      </c>
      <c r="N738" t="s">
        <v>159</v>
      </c>
    </row>
    <row r="739" spans="1:14" x14ac:dyDescent="0.25">
      <c r="A739" t="s">
        <v>835</v>
      </c>
      <c r="B739">
        <v>3760</v>
      </c>
      <c r="C739">
        <v>1849</v>
      </c>
      <c r="E739">
        <v>19</v>
      </c>
      <c r="F739" t="s">
        <v>45</v>
      </c>
      <c r="G739" t="s">
        <v>49</v>
      </c>
      <c r="H739" t="s">
        <v>40</v>
      </c>
      <c r="J739" s="1">
        <v>43975</v>
      </c>
      <c r="K739" t="s">
        <v>836</v>
      </c>
      <c r="L739" t="s">
        <v>98</v>
      </c>
      <c r="M739" t="s">
        <v>107</v>
      </c>
      <c r="N739" t="s">
        <v>59</v>
      </c>
    </row>
    <row r="740" spans="1:14" x14ac:dyDescent="0.25">
      <c r="A740" t="s">
        <v>835</v>
      </c>
      <c r="B740">
        <v>3760</v>
      </c>
      <c r="C740">
        <v>1849</v>
      </c>
      <c r="E740">
        <v>19</v>
      </c>
      <c r="F740" t="s">
        <v>45</v>
      </c>
      <c r="G740" t="s">
        <v>49</v>
      </c>
      <c r="H740" t="s">
        <v>40</v>
      </c>
      <c r="J740" s="1">
        <v>45704</v>
      </c>
      <c r="K740" t="s">
        <v>837</v>
      </c>
      <c r="L740" t="s">
        <v>71</v>
      </c>
      <c r="M740" t="s">
        <v>72</v>
      </c>
      <c r="N740" t="s">
        <v>73</v>
      </c>
    </row>
    <row r="741" spans="1:14" x14ac:dyDescent="0.25">
      <c r="A741" t="s">
        <v>835</v>
      </c>
      <c r="B741">
        <v>3760</v>
      </c>
      <c r="C741">
        <v>1849</v>
      </c>
      <c r="E741">
        <v>19</v>
      </c>
      <c r="F741" t="s">
        <v>45</v>
      </c>
      <c r="G741" t="s">
        <v>49</v>
      </c>
      <c r="H741" t="s">
        <v>40</v>
      </c>
      <c r="J741" s="1">
        <v>44516</v>
      </c>
      <c r="K741" t="s">
        <v>838</v>
      </c>
      <c r="L741" t="s">
        <v>98</v>
      </c>
      <c r="M741" t="s">
        <v>107</v>
      </c>
      <c r="N741" t="s">
        <v>175</v>
      </c>
    </row>
    <row r="742" spans="1:14" x14ac:dyDescent="0.25">
      <c r="A742" t="s">
        <v>835</v>
      </c>
      <c r="B742">
        <v>3760</v>
      </c>
      <c r="C742">
        <v>1849</v>
      </c>
      <c r="E742">
        <v>19</v>
      </c>
      <c r="F742" t="s">
        <v>45</v>
      </c>
      <c r="G742" t="s">
        <v>49</v>
      </c>
      <c r="H742" t="s">
        <v>40</v>
      </c>
      <c r="J742" s="1">
        <v>45543</v>
      </c>
      <c r="K742" t="s">
        <v>839</v>
      </c>
      <c r="L742" t="s">
        <v>25</v>
      </c>
      <c r="M742" t="s">
        <v>68</v>
      </c>
      <c r="N742" t="s">
        <v>159</v>
      </c>
    </row>
    <row r="743" spans="1:14" x14ac:dyDescent="0.25">
      <c r="A743" t="s">
        <v>840</v>
      </c>
      <c r="B743">
        <v>8706</v>
      </c>
      <c r="C743">
        <v>3099</v>
      </c>
      <c r="E743">
        <v>14</v>
      </c>
      <c r="F743" t="s">
        <v>30</v>
      </c>
      <c r="G743" t="s">
        <v>31</v>
      </c>
      <c r="H743" t="s">
        <v>47</v>
      </c>
      <c r="J743" s="1">
        <v>44741</v>
      </c>
      <c r="K743" t="s">
        <v>841</v>
      </c>
      <c r="L743" t="s">
        <v>21</v>
      </c>
      <c r="M743" t="s">
        <v>22</v>
      </c>
      <c r="N743" t="s">
        <v>165</v>
      </c>
    </row>
    <row r="744" spans="1:14" x14ac:dyDescent="0.25">
      <c r="A744" t="s">
        <v>840</v>
      </c>
      <c r="B744">
        <v>4708</v>
      </c>
      <c r="C744">
        <v>696</v>
      </c>
      <c r="E744">
        <v>14</v>
      </c>
      <c r="F744" t="s">
        <v>13</v>
      </c>
      <c r="G744" t="s">
        <v>14</v>
      </c>
      <c r="H744" t="s">
        <v>47</v>
      </c>
      <c r="J744" s="1">
        <v>44741</v>
      </c>
      <c r="K744" t="s">
        <v>841</v>
      </c>
      <c r="L744" t="s">
        <v>21</v>
      </c>
      <c r="M744" t="s">
        <v>22</v>
      </c>
      <c r="N744" t="s">
        <v>165</v>
      </c>
    </row>
    <row r="745" spans="1:14" x14ac:dyDescent="0.25">
      <c r="A745" t="s">
        <v>840</v>
      </c>
      <c r="B745">
        <v>8089</v>
      </c>
      <c r="C745">
        <v>3132</v>
      </c>
      <c r="E745">
        <v>17</v>
      </c>
      <c r="F745" t="s">
        <v>45</v>
      </c>
      <c r="G745" t="s">
        <v>49</v>
      </c>
      <c r="H745" t="s">
        <v>65</v>
      </c>
      <c r="J745" s="1">
        <v>44741</v>
      </c>
      <c r="K745" t="s">
        <v>841</v>
      </c>
      <c r="L745" t="s">
        <v>21</v>
      </c>
      <c r="M745" t="s">
        <v>22</v>
      </c>
      <c r="N745" t="s">
        <v>165</v>
      </c>
    </row>
    <row r="746" spans="1:14" x14ac:dyDescent="0.25">
      <c r="A746" t="s">
        <v>842</v>
      </c>
      <c r="B746">
        <v>5462</v>
      </c>
      <c r="C746">
        <v>673</v>
      </c>
      <c r="E746">
        <v>12</v>
      </c>
      <c r="F746" t="s">
        <v>13</v>
      </c>
      <c r="G746" t="s">
        <v>28</v>
      </c>
      <c r="H746" t="s">
        <v>32</v>
      </c>
      <c r="J746" s="1">
        <v>44868</v>
      </c>
      <c r="K746" t="s">
        <v>843</v>
      </c>
      <c r="L746" t="s">
        <v>71</v>
      </c>
      <c r="M746" t="s">
        <v>86</v>
      </c>
      <c r="N746" t="s">
        <v>44</v>
      </c>
    </row>
    <row r="747" spans="1:14" x14ac:dyDescent="0.25">
      <c r="A747" t="s">
        <v>844</v>
      </c>
      <c r="B747">
        <v>6392</v>
      </c>
      <c r="C747">
        <v>444</v>
      </c>
      <c r="E747">
        <v>18</v>
      </c>
      <c r="F747" t="s">
        <v>13</v>
      </c>
      <c r="G747" t="s">
        <v>14</v>
      </c>
      <c r="H747" t="s">
        <v>47</v>
      </c>
      <c r="J747" s="1">
        <v>45258</v>
      </c>
      <c r="K747" t="s">
        <v>845</v>
      </c>
      <c r="L747" t="s">
        <v>17</v>
      </c>
      <c r="M747" t="s">
        <v>150</v>
      </c>
      <c r="N747" t="s">
        <v>52</v>
      </c>
    </row>
    <row r="748" spans="1:14" x14ac:dyDescent="0.25">
      <c r="A748" t="s">
        <v>846</v>
      </c>
      <c r="B748">
        <v>8706</v>
      </c>
      <c r="C748">
        <v>1724</v>
      </c>
      <c r="E748">
        <v>3</v>
      </c>
      <c r="F748" t="s">
        <v>13</v>
      </c>
      <c r="G748" t="s">
        <v>14</v>
      </c>
      <c r="H748" t="s">
        <v>32</v>
      </c>
      <c r="J748" s="1">
        <v>43946</v>
      </c>
      <c r="K748" t="s">
        <v>847</v>
      </c>
      <c r="L748" t="s">
        <v>17</v>
      </c>
      <c r="M748" t="s">
        <v>34</v>
      </c>
      <c r="N748" t="s">
        <v>162</v>
      </c>
    </row>
    <row r="749" spans="1:14" x14ac:dyDescent="0.25">
      <c r="A749" t="s">
        <v>848</v>
      </c>
      <c r="B749">
        <v>2349</v>
      </c>
      <c r="C749">
        <v>319</v>
      </c>
      <c r="E749">
        <v>4</v>
      </c>
      <c r="F749" t="s">
        <v>30</v>
      </c>
      <c r="G749" t="s">
        <v>31</v>
      </c>
      <c r="H749" t="s">
        <v>15</v>
      </c>
      <c r="J749" s="1">
        <v>44579</v>
      </c>
      <c r="K749" t="s">
        <v>849</v>
      </c>
      <c r="L749" t="s">
        <v>17</v>
      </c>
      <c r="M749" t="s">
        <v>18</v>
      </c>
      <c r="N749" t="s">
        <v>87</v>
      </c>
    </row>
    <row r="750" spans="1:14" x14ac:dyDescent="0.25">
      <c r="A750" t="s">
        <v>848</v>
      </c>
      <c r="B750">
        <v>8220</v>
      </c>
      <c r="C750">
        <v>3882</v>
      </c>
      <c r="E750">
        <v>14</v>
      </c>
      <c r="F750" t="s">
        <v>45</v>
      </c>
      <c r="G750" t="s">
        <v>49</v>
      </c>
      <c r="H750" t="s">
        <v>15</v>
      </c>
      <c r="J750" s="1">
        <v>44579</v>
      </c>
      <c r="K750" t="s">
        <v>849</v>
      </c>
      <c r="L750" t="s">
        <v>17</v>
      </c>
      <c r="M750" t="s">
        <v>18</v>
      </c>
      <c r="N750" t="s">
        <v>87</v>
      </c>
    </row>
    <row r="751" spans="1:14" x14ac:dyDescent="0.25">
      <c r="A751" t="s">
        <v>848</v>
      </c>
      <c r="B751">
        <v>2379</v>
      </c>
      <c r="C751">
        <v>279</v>
      </c>
      <c r="E751">
        <v>7</v>
      </c>
      <c r="F751" t="s">
        <v>45</v>
      </c>
      <c r="G751" t="s">
        <v>49</v>
      </c>
      <c r="H751" t="s">
        <v>32</v>
      </c>
      <c r="J751" s="1">
        <v>44579</v>
      </c>
      <c r="K751" t="s">
        <v>849</v>
      </c>
      <c r="L751" t="s">
        <v>17</v>
      </c>
      <c r="M751" t="s">
        <v>18</v>
      </c>
      <c r="N751" t="s">
        <v>87</v>
      </c>
    </row>
    <row r="752" spans="1:14" x14ac:dyDescent="0.25">
      <c r="A752" t="s">
        <v>848</v>
      </c>
      <c r="B752">
        <v>7377</v>
      </c>
      <c r="C752">
        <v>2049</v>
      </c>
      <c r="E752">
        <v>4</v>
      </c>
      <c r="F752" t="s">
        <v>30</v>
      </c>
      <c r="G752" t="s">
        <v>57</v>
      </c>
      <c r="H752" t="s">
        <v>15</v>
      </c>
      <c r="J752" s="1">
        <v>44579</v>
      </c>
      <c r="K752" t="s">
        <v>849</v>
      </c>
      <c r="L752" t="s">
        <v>17</v>
      </c>
      <c r="M752" t="s">
        <v>18</v>
      </c>
      <c r="N752" t="s">
        <v>87</v>
      </c>
    </row>
    <row r="753" spans="1:14" x14ac:dyDescent="0.25">
      <c r="A753" t="s">
        <v>850</v>
      </c>
      <c r="B753">
        <v>717</v>
      </c>
      <c r="C753">
        <v>158</v>
      </c>
      <c r="E753">
        <v>16</v>
      </c>
      <c r="F753" t="s">
        <v>45</v>
      </c>
      <c r="G753" t="s">
        <v>46</v>
      </c>
      <c r="H753" t="s">
        <v>47</v>
      </c>
      <c r="J753" s="1">
        <v>44643</v>
      </c>
      <c r="K753" t="s">
        <v>851</v>
      </c>
      <c r="L753" t="s">
        <v>98</v>
      </c>
      <c r="M753" t="s">
        <v>117</v>
      </c>
      <c r="N753" t="s">
        <v>134</v>
      </c>
    </row>
    <row r="754" spans="1:14" x14ac:dyDescent="0.25">
      <c r="A754" t="s">
        <v>850</v>
      </c>
      <c r="B754">
        <v>717</v>
      </c>
      <c r="C754">
        <v>158</v>
      </c>
      <c r="E754">
        <v>16</v>
      </c>
      <c r="F754" t="s">
        <v>45</v>
      </c>
      <c r="G754" t="s">
        <v>46</v>
      </c>
      <c r="H754" t="s">
        <v>47</v>
      </c>
      <c r="J754" s="1">
        <v>44006</v>
      </c>
      <c r="K754" t="s">
        <v>852</v>
      </c>
      <c r="L754" t="s">
        <v>17</v>
      </c>
      <c r="M754" t="s">
        <v>18</v>
      </c>
      <c r="N754" t="s">
        <v>313</v>
      </c>
    </row>
    <row r="755" spans="1:14" x14ac:dyDescent="0.25">
      <c r="A755" t="s">
        <v>850</v>
      </c>
      <c r="B755">
        <v>717</v>
      </c>
      <c r="C755">
        <v>158</v>
      </c>
      <c r="E755">
        <v>16</v>
      </c>
      <c r="F755" t="s">
        <v>45</v>
      </c>
      <c r="G755" t="s">
        <v>46</v>
      </c>
      <c r="H755" t="s">
        <v>47</v>
      </c>
      <c r="J755" s="1">
        <v>44918</v>
      </c>
      <c r="K755" t="s">
        <v>853</v>
      </c>
      <c r="L755" t="s">
        <v>25</v>
      </c>
      <c r="M755" t="s">
        <v>26</v>
      </c>
      <c r="N755" t="s">
        <v>152</v>
      </c>
    </row>
    <row r="756" spans="1:14" x14ac:dyDescent="0.25">
      <c r="A756" t="s">
        <v>850</v>
      </c>
      <c r="B756">
        <v>717</v>
      </c>
      <c r="C756">
        <v>158</v>
      </c>
      <c r="E756">
        <v>16</v>
      </c>
      <c r="F756" t="s">
        <v>45</v>
      </c>
      <c r="G756" t="s">
        <v>46</v>
      </c>
      <c r="H756" t="s">
        <v>47</v>
      </c>
      <c r="J756" s="1">
        <v>45620</v>
      </c>
      <c r="K756" t="s">
        <v>854</v>
      </c>
      <c r="L756" t="s">
        <v>25</v>
      </c>
      <c r="M756" t="s">
        <v>51</v>
      </c>
      <c r="N756" t="s">
        <v>255</v>
      </c>
    </row>
    <row r="757" spans="1:14" x14ac:dyDescent="0.25">
      <c r="A757" t="s">
        <v>850</v>
      </c>
      <c r="B757">
        <v>717</v>
      </c>
      <c r="C757">
        <v>158</v>
      </c>
      <c r="E757">
        <v>16</v>
      </c>
      <c r="F757" t="s">
        <v>45</v>
      </c>
      <c r="G757" t="s">
        <v>46</v>
      </c>
      <c r="H757" t="s">
        <v>47</v>
      </c>
      <c r="J757" s="1">
        <v>44141</v>
      </c>
      <c r="K757" t="s">
        <v>855</v>
      </c>
      <c r="L757" t="s">
        <v>17</v>
      </c>
      <c r="M757" t="s">
        <v>34</v>
      </c>
      <c r="N757" t="s">
        <v>80</v>
      </c>
    </row>
    <row r="758" spans="1:14" x14ac:dyDescent="0.25">
      <c r="A758" t="s">
        <v>850</v>
      </c>
      <c r="B758">
        <v>717</v>
      </c>
      <c r="C758">
        <v>158</v>
      </c>
      <c r="E758">
        <v>16</v>
      </c>
      <c r="F758" t="s">
        <v>45</v>
      </c>
      <c r="G758" t="s">
        <v>46</v>
      </c>
      <c r="H758" t="s">
        <v>47</v>
      </c>
      <c r="J758" s="1">
        <v>45223</v>
      </c>
      <c r="K758" t="s">
        <v>856</v>
      </c>
      <c r="L758" t="s">
        <v>25</v>
      </c>
      <c r="M758" t="s">
        <v>68</v>
      </c>
      <c r="N758" t="s">
        <v>442</v>
      </c>
    </row>
    <row r="759" spans="1:14" x14ac:dyDescent="0.25">
      <c r="A759" t="s">
        <v>850</v>
      </c>
      <c r="B759">
        <v>508</v>
      </c>
      <c r="C759">
        <v>177</v>
      </c>
      <c r="E759">
        <v>17</v>
      </c>
      <c r="F759" t="s">
        <v>45</v>
      </c>
      <c r="G759" t="s">
        <v>60</v>
      </c>
      <c r="H759" t="s">
        <v>15</v>
      </c>
      <c r="J759" s="1">
        <v>44643</v>
      </c>
      <c r="K759" t="s">
        <v>851</v>
      </c>
      <c r="L759" t="s">
        <v>98</v>
      </c>
      <c r="M759" t="s">
        <v>117</v>
      </c>
      <c r="N759" t="s">
        <v>134</v>
      </c>
    </row>
    <row r="760" spans="1:14" x14ac:dyDescent="0.25">
      <c r="A760" t="s">
        <v>850</v>
      </c>
      <c r="B760">
        <v>508</v>
      </c>
      <c r="C760">
        <v>177</v>
      </c>
      <c r="E760">
        <v>17</v>
      </c>
      <c r="F760" t="s">
        <v>45</v>
      </c>
      <c r="G760" t="s">
        <v>60</v>
      </c>
      <c r="H760" t="s">
        <v>15</v>
      </c>
      <c r="J760" s="1">
        <v>44006</v>
      </c>
      <c r="K760" t="s">
        <v>852</v>
      </c>
      <c r="L760" t="s">
        <v>17</v>
      </c>
      <c r="M760" t="s">
        <v>18</v>
      </c>
      <c r="N760" t="s">
        <v>313</v>
      </c>
    </row>
    <row r="761" spans="1:14" x14ac:dyDescent="0.25">
      <c r="A761" t="s">
        <v>850</v>
      </c>
      <c r="B761">
        <v>508</v>
      </c>
      <c r="C761">
        <v>177</v>
      </c>
      <c r="E761">
        <v>17</v>
      </c>
      <c r="F761" t="s">
        <v>45</v>
      </c>
      <c r="G761" t="s">
        <v>60</v>
      </c>
      <c r="H761" t="s">
        <v>15</v>
      </c>
      <c r="J761" s="1">
        <v>44918</v>
      </c>
      <c r="K761" t="s">
        <v>853</v>
      </c>
      <c r="L761" t="s">
        <v>25</v>
      </c>
      <c r="M761" t="s">
        <v>26</v>
      </c>
      <c r="N761" t="s">
        <v>152</v>
      </c>
    </row>
    <row r="762" spans="1:14" x14ac:dyDescent="0.25">
      <c r="A762" t="s">
        <v>850</v>
      </c>
      <c r="B762">
        <v>508</v>
      </c>
      <c r="C762">
        <v>177</v>
      </c>
      <c r="E762">
        <v>17</v>
      </c>
      <c r="F762" t="s">
        <v>45</v>
      </c>
      <c r="G762" t="s">
        <v>60</v>
      </c>
      <c r="H762" t="s">
        <v>15</v>
      </c>
      <c r="J762" s="1">
        <v>45620</v>
      </c>
      <c r="K762" t="s">
        <v>854</v>
      </c>
      <c r="L762" t="s">
        <v>25</v>
      </c>
      <c r="M762" t="s">
        <v>51</v>
      </c>
      <c r="N762" t="s">
        <v>255</v>
      </c>
    </row>
    <row r="763" spans="1:14" x14ac:dyDescent="0.25">
      <c r="A763" t="s">
        <v>850</v>
      </c>
      <c r="B763">
        <v>508</v>
      </c>
      <c r="C763">
        <v>177</v>
      </c>
      <c r="E763">
        <v>17</v>
      </c>
      <c r="F763" t="s">
        <v>45</v>
      </c>
      <c r="G763" t="s">
        <v>60</v>
      </c>
      <c r="H763" t="s">
        <v>15</v>
      </c>
      <c r="J763" s="1">
        <v>44141</v>
      </c>
      <c r="K763" t="s">
        <v>855</v>
      </c>
      <c r="L763" t="s">
        <v>17</v>
      </c>
      <c r="M763" t="s">
        <v>34</v>
      </c>
      <c r="N763" t="s">
        <v>80</v>
      </c>
    </row>
    <row r="764" spans="1:14" x14ac:dyDescent="0.25">
      <c r="A764" t="s">
        <v>850</v>
      </c>
      <c r="B764">
        <v>508</v>
      </c>
      <c r="C764">
        <v>177</v>
      </c>
      <c r="E764">
        <v>17</v>
      </c>
      <c r="F764" t="s">
        <v>45</v>
      </c>
      <c r="G764" t="s">
        <v>60</v>
      </c>
      <c r="H764" t="s">
        <v>15</v>
      </c>
      <c r="J764" s="1">
        <v>45223</v>
      </c>
      <c r="K764" t="s">
        <v>856</v>
      </c>
      <c r="L764" t="s">
        <v>25</v>
      </c>
      <c r="M764" t="s">
        <v>68</v>
      </c>
      <c r="N764" t="s">
        <v>442</v>
      </c>
    </row>
    <row r="765" spans="1:14" x14ac:dyDescent="0.25">
      <c r="A765" t="s">
        <v>857</v>
      </c>
      <c r="B765">
        <v>9382</v>
      </c>
      <c r="C765">
        <v>1085</v>
      </c>
      <c r="E765">
        <v>3</v>
      </c>
      <c r="F765" t="s">
        <v>13</v>
      </c>
      <c r="G765" t="s">
        <v>28</v>
      </c>
      <c r="H765" t="s">
        <v>32</v>
      </c>
      <c r="J765" s="1">
        <v>45125</v>
      </c>
      <c r="K765" t="s">
        <v>858</v>
      </c>
      <c r="L765" t="s">
        <v>21</v>
      </c>
      <c r="M765" t="s">
        <v>22</v>
      </c>
      <c r="N765" t="s">
        <v>105</v>
      </c>
    </row>
    <row r="766" spans="1:14" x14ac:dyDescent="0.25">
      <c r="A766" t="s">
        <v>857</v>
      </c>
      <c r="B766">
        <v>9382</v>
      </c>
      <c r="C766">
        <v>1085</v>
      </c>
      <c r="E766">
        <v>3</v>
      </c>
      <c r="F766" t="s">
        <v>13</v>
      </c>
      <c r="G766" t="s">
        <v>28</v>
      </c>
      <c r="H766" t="s">
        <v>32</v>
      </c>
      <c r="J766" s="1">
        <v>44697</v>
      </c>
      <c r="K766" t="s">
        <v>859</v>
      </c>
      <c r="L766" t="s">
        <v>25</v>
      </c>
      <c r="M766" t="s">
        <v>68</v>
      </c>
      <c r="N766" t="s">
        <v>180</v>
      </c>
    </row>
    <row r="767" spans="1:14" x14ac:dyDescent="0.25">
      <c r="A767" t="s">
        <v>857</v>
      </c>
      <c r="B767">
        <v>4936</v>
      </c>
      <c r="C767">
        <v>576</v>
      </c>
      <c r="E767">
        <v>19</v>
      </c>
      <c r="F767" t="s">
        <v>45</v>
      </c>
      <c r="G767" t="s">
        <v>46</v>
      </c>
      <c r="H767" t="s">
        <v>65</v>
      </c>
      <c r="J767" s="1">
        <v>45125</v>
      </c>
      <c r="K767" t="s">
        <v>858</v>
      </c>
      <c r="L767" t="s">
        <v>21</v>
      </c>
      <c r="M767" t="s">
        <v>22</v>
      </c>
      <c r="N767" t="s">
        <v>105</v>
      </c>
    </row>
    <row r="768" spans="1:14" x14ac:dyDescent="0.25">
      <c r="A768" t="s">
        <v>857</v>
      </c>
      <c r="B768">
        <v>4936</v>
      </c>
      <c r="C768">
        <v>576</v>
      </c>
      <c r="E768">
        <v>19</v>
      </c>
      <c r="F768" t="s">
        <v>45</v>
      </c>
      <c r="G768" t="s">
        <v>46</v>
      </c>
      <c r="H768" t="s">
        <v>65</v>
      </c>
      <c r="J768" s="1">
        <v>44697</v>
      </c>
      <c r="K768" t="s">
        <v>859</v>
      </c>
      <c r="L768" t="s">
        <v>25</v>
      </c>
      <c r="M768" t="s">
        <v>68</v>
      </c>
      <c r="N768" t="s">
        <v>180</v>
      </c>
    </row>
    <row r="769" spans="1:14" x14ac:dyDescent="0.25">
      <c r="A769" t="s">
        <v>860</v>
      </c>
      <c r="B769">
        <v>2663</v>
      </c>
      <c r="C769">
        <v>64</v>
      </c>
      <c r="E769">
        <v>19</v>
      </c>
      <c r="F769" t="s">
        <v>45</v>
      </c>
      <c r="G769" t="s">
        <v>60</v>
      </c>
      <c r="H769" t="s">
        <v>65</v>
      </c>
      <c r="J769" s="1">
        <v>45459</v>
      </c>
      <c r="K769" t="s">
        <v>861</v>
      </c>
      <c r="L769" t="s">
        <v>42</v>
      </c>
      <c r="M769" t="s">
        <v>92</v>
      </c>
      <c r="N769" t="s">
        <v>262</v>
      </c>
    </row>
    <row r="770" spans="1:14" x14ac:dyDescent="0.25">
      <c r="A770" t="s">
        <v>860</v>
      </c>
      <c r="B770">
        <v>2663</v>
      </c>
      <c r="C770">
        <v>64</v>
      </c>
      <c r="E770">
        <v>19</v>
      </c>
      <c r="F770" t="s">
        <v>45</v>
      </c>
      <c r="G770" t="s">
        <v>60</v>
      </c>
      <c r="H770" t="s">
        <v>65</v>
      </c>
      <c r="J770" s="1">
        <v>44492</v>
      </c>
      <c r="K770" t="s">
        <v>862</v>
      </c>
      <c r="L770" t="s">
        <v>98</v>
      </c>
      <c r="M770" t="s">
        <v>117</v>
      </c>
      <c r="N770" t="s">
        <v>37</v>
      </c>
    </row>
    <row r="771" spans="1:14" x14ac:dyDescent="0.25">
      <c r="A771" t="s">
        <v>863</v>
      </c>
      <c r="B771">
        <v>5151</v>
      </c>
      <c r="C771">
        <v>1680</v>
      </c>
      <c r="E771">
        <v>5</v>
      </c>
      <c r="F771" t="s">
        <v>13</v>
      </c>
      <c r="G771" t="s">
        <v>28</v>
      </c>
      <c r="H771" t="s">
        <v>40</v>
      </c>
      <c r="J771" s="1">
        <v>44856</v>
      </c>
      <c r="K771" t="s">
        <v>864</v>
      </c>
      <c r="L771" t="s">
        <v>71</v>
      </c>
      <c r="M771" t="s">
        <v>138</v>
      </c>
      <c r="N771" t="s">
        <v>96</v>
      </c>
    </row>
    <row r="772" spans="1:14" x14ac:dyDescent="0.25">
      <c r="A772" t="s">
        <v>865</v>
      </c>
      <c r="B772">
        <v>2514</v>
      </c>
      <c r="C772">
        <v>95</v>
      </c>
      <c r="E772">
        <v>8</v>
      </c>
      <c r="F772" t="s">
        <v>30</v>
      </c>
      <c r="G772" t="s">
        <v>31</v>
      </c>
      <c r="H772" t="s">
        <v>15</v>
      </c>
      <c r="J772" s="1">
        <v>45124</v>
      </c>
      <c r="K772" t="s">
        <v>866</v>
      </c>
      <c r="L772" t="s">
        <v>25</v>
      </c>
      <c r="M772" t="s">
        <v>68</v>
      </c>
      <c r="N772" t="s">
        <v>105</v>
      </c>
    </row>
    <row r="773" spans="1:14" x14ac:dyDescent="0.25">
      <c r="A773" t="s">
        <v>867</v>
      </c>
      <c r="B773">
        <v>6129</v>
      </c>
      <c r="C773">
        <v>2976</v>
      </c>
      <c r="E773">
        <v>2</v>
      </c>
      <c r="F773" t="s">
        <v>13</v>
      </c>
      <c r="G773" t="s">
        <v>39</v>
      </c>
      <c r="H773" t="s">
        <v>40</v>
      </c>
      <c r="J773" s="1">
        <v>45712</v>
      </c>
      <c r="K773" t="s">
        <v>868</v>
      </c>
      <c r="L773" t="s">
        <v>25</v>
      </c>
      <c r="M773" t="s">
        <v>51</v>
      </c>
      <c r="N773" t="s">
        <v>73</v>
      </c>
    </row>
    <row r="774" spans="1:14" x14ac:dyDescent="0.25">
      <c r="A774" t="s">
        <v>867</v>
      </c>
      <c r="B774">
        <v>4395</v>
      </c>
      <c r="C774">
        <v>1663</v>
      </c>
      <c r="E774">
        <v>3</v>
      </c>
      <c r="F774" t="s">
        <v>45</v>
      </c>
      <c r="G774" t="s">
        <v>109</v>
      </c>
      <c r="H774" t="s">
        <v>65</v>
      </c>
      <c r="J774" s="1">
        <v>45712</v>
      </c>
      <c r="K774" t="s">
        <v>868</v>
      </c>
      <c r="L774" t="s">
        <v>25</v>
      </c>
      <c r="M774" t="s">
        <v>51</v>
      </c>
      <c r="N774" t="s">
        <v>73</v>
      </c>
    </row>
    <row r="775" spans="1:14" x14ac:dyDescent="0.25">
      <c r="A775" t="s">
        <v>869</v>
      </c>
      <c r="B775">
        <v>5393</v>
      </c>
      <c r="C775">
        <v>2642</v>
      </c>
      <c r="E775">
        <v>8</v>
      </c>
      <c r="F775" t="s">
        <v>45</v>
      </c>
      <c r="G775" t="s">
        <v>49</v>
      </c>
      <c r="H775" t="s">
        <v>15</v>
      </c>
      <c r="J775" s="1">
        <v>44262</v>
      </c>
      <c r="K775" t="s">
        <v>870</v>
      </c>
      <c r="L775" t="s">
        <v>98</v>
      </c>
      <c r="M775" t="s">
        <v>107</v>
      </c>
      <c r="N775" t="s">
        <v>167</v>
      </c>
    </row>
    <row r="776" spans="1:14" x14ac:dyDescent="0.25">
      <c r="A776" t="s">
        <v>871</v>
      </c>
      <c r="B776">
        <v>2280</v>
      </c>
      <c r="C776">
        <v>509</v>
      </c>
      <c r="E776">
        <v>8</v>
      </c>
      <c r="F776" t="s">
        <v>13</v>
      </c>
      <c r="G776" t="s">
        <v>82</v>
      </c>
      <c r="H776" t="s">
        <v>47</v>
      </c>
      <c r="J776" s="1">
        <v>44199</v>
      </c>
      <c r="K776" t="s">
        <v>872</v>
      </c>
      <c r="L776" t="s">
        <v>25</v>
      </c>
      <c r="M776" t="s">
        <v>26</v>
      </c>
      <c r="N776" t="s">
        <v>276</v>
      </c>
    </row>
    <row r="777" spans="1:14" x14ac:dyDescent="0.25">
      <c r="A777" t="s">
        <v>873</v>
      </c>
      <c r="B777">
        <v>6596</v>
      </c>
      <c r="C777">
        <v>1439</v>
      </c>
      <c r="E777">
        <v>9</v>
      </c>
      <c r="F777" t="s">
        <v>30</v>
      </c>
      <c r="G777" t="s">
        <v>64</v>
      </c>
      <c r="H777" t="s">
        <v>32</v>
      </c>
      <c r="J777" s="1">
        <v>45049</v>
      </c>
      <c r="K777" t="s">
        <v>874</v>
      </c>
      <c r="L777" t="s">
        <v>98</v>
      </c>
      <c r="M777" t="s">
        <v>107</v>
      </c>
      <c r="N777" t="s">
        <v>127</v>
      </c>
    </row>
    <row r="778" spans="1:14" x14ac:dyDescent="0.25">
      <c r="A778" t="s">
        <v>875</v>
      </c>
      <c r="B778">
        <v>4510</v>
      </c>
      <c r="C778">
        <v>1896</v>
      </c>
      <c r="E778">
        <v>5</v>
      </c>
      <c r="F778" t="s">
        <v>30</v>
      </c>
      <c r="G778" t="s">
        <v>64</v>
      </c>
      <c r="H778" t="s">
        <v>40</v>
      </c>
      <c r="J778" s="1">
        <v>45224</v>
      </c>
      <c r="K778" t="s">
        <v>876</v>
      </c>
      <c r="L778" t="s">
        <v>42</v>
      </c>
      <c r="M778" t="s">
        <v>43</v>
      </c>
      <c r="N778" t="s">
        <v>442</v>
      </c>
    </row>
    <row r="779" spans="1:14" x14ac:dyDescent="0.25">
      <c r="A779" t="s">
        <v>877</v>
      </c>
      <c r="B779">
        <v>6077</v>
      </c>
      <c r="C779">
        <v>2378</v>
      </c>
      <c r="E779">
        <v>18</v>
      </c>
      <c r="F779" t="s">
        <v>13</v>
      </c>
      <c r="G779" t="s">
        <v>82</v>
      </c>
      <c r="H779" t="s">
        <v>65</v>
      </c>
      <c r="J779" s="1">
        <v>44794</v>
      </c>
      <c r="K779" t="s">
        <v>878</v>
      </c>
      <c r="L779" t="s">
        <v>25</v>
      </c>
      <c r="M779" t="s">
        <v>51</v>
      </c>
      <c r="N779" t="s">
        <v>209</v>
      </c>
    </row>
    <row r="780" spans="1:14" x14ac:dyDescent="0.25">
      <c r="A780" t="s">
        <v>879</v>
      </c>
      <c r="B780">
        <v>5379</v>
      </c>
      <c r="C780">
        <v>2510</v>
      </c>
      <c r="E780">
        <v>17</v>
      </c>
      <c r="F780" t="s">
        <v>13</v>
      </c>
      <c r="G780" t="s">
        <v>28</v>
      </c>
      <c r="H780" t="s">
        <v>65</v>
      </c>
      <c r="J780" s="1">
        <v>44667</v>
      </c>
      <c r="K780" t="s">
        <v>880</v>
      </c>
      <c r="L780" t="s">
        <v>98</v>
      </c>
      <c r="M780" t="s">
        <v>99</v>
      </c>
      <c r="N780" t="s">
        <v>187</v>
      </c>
    </row>
    <row r="781" spans="1:14" x14ac:dyDescent="0.25">
      <c r="A781" t="s">
        <v>881</v>
      </c>
      <c r="B781">
        <v>4629</v>
      </c>
      <c r="C781">
        <v>1660</v>
      </c>
      <c r="E781">
        <v>16</v>
      </c>
      <c r="F781" t="s">
        <v>30</v>
      </c>
      <c r="G781" t="s">
        <v>57</v>
      </c>
      <c r="H781" t="s">
        <v>40</v>
      </c>
      <c r="J781" s="1">
        <v>45018</v>
      </c>
      <c r="K781" t="s">
        <v>882</v>
      </c>
      <c r="L781" t="s">
        <v>42</v>
      </c>
      <c r="M781" t="s">
        <v>75</v>
      </c>
      <c r="N781" t="s">
        <v>145</v>
      </c>
    </row>
    <row r="782" spans="1:14" x14ac:dyDescent="0.25">
      <c r="A782" t="s">
        <v>883</v>
      </c>
      <c r="B782">
        <v>2710</v>
      </c>
      <c r="C782">
        <v>555</v>
      </c>
      <c r="E782">
        <v>20</v>
      </c>
      <c r="F782" t="s">
        <v>13</v>
      </c>
      <c r="G782" t="s">
        <v>39</v>
      </c>
      <c r="H782" t="s">
        <v>32</v>
      </c>
      <c r="J782" s="1">
        <v>45586</v>
      </c>
      <c r="K782" t="s">
        <v>884</v>
      </c>
      <c r="L782" t="s">
        <v>21</v>
      </c>
      <c r="M782" t="s">
        <v>22</v>
      </c>
      <c r="N782" t="s">
        <v>360</v>
      </c>
    </row>
    <row r="783" spans="1:14" x14ac:dyDescent="0.25">
      <c r="A783" t="s">
        <v>883</v>
      </c>
      <c r="B783">
        <v>3224</v>
      </c>
      <c r="C783">
        <v>1018</v>
      </c>
      <c r="E783">
        <v>14</v>
      </c>
      <c r="F783" t="s">
        <v>30</v>
      </c>
      <c r="G783" t="s">
        <v>78</v>
      </c>
      <c r="H783" t="s">
        <v>15</v>
      </c>
      <c r="J783" s="1">
        <v>45586</v>
      </c>
      <c r="K783" t="s">
        <v>884</v>
      </c>
      <c r="L783" t="s">
        <v>21</v>
      </c>
      <c r="M783" t="s">
        <v>22</v>
      </c>
      <c r="N783" t="s">
        <v>360</v>
      </c>
    </row>
    <row r="784" spans="1:14" x14ac:dyDescent="0.25">
      <c r="A784" t="s">
        <v>885</v>
      </c>
      <c r="B784">
        <v>8042</v>
      </c>
      <c r="C784">
        <v>936</v>
      </c>
      <c r="E784">
        <v>15</v>
      </c>
      <c r="F784" t="s">
        <v>30</v>
      </c>
      <c r="G784" t="s">
        <v>57</v>
      </c>
      <c r="H784" t="s">
        <v>40</v>
      </c>
      <c r="J784" s="1">
        <v>44386</v>
      </c>
      <c r="K784" t="s">
        <v>886</v>
      </c>
      <c r="L784" t="s">
        <v>21</v>
      </c>
      <c r="M784" t="s">
        <v>63</v>
      </c>
      <c r="N784" t="s">
        <v>27</v>
      </c>
    </row>
    <row r="785" spans="1:14" x14ac:dyDescent="0.25">
      <c r="A785" t="s">
        <v>885</v>
      </c>
      <c r="B785">
        <v>8042</v>
      </c>
      <c r="C785">
        <v>936</v>
      </c>
      <c r="E785">
        <v>15</v>
      </c>
      <c r="F785" t="s">
        <v>30</v>
      </c>
      <c r="G785" t="s">
        <v>57</v>
      </c>
      <c r="H785" t="s">
        <v>40</v>
      </c>
      <c r="J785" s="1">
        <v>44659</v>
      </c>
      <c r="K785" t="s">
        <v>887</v>
      </c>
      <c r="L785" t="s">
        <v>42</v>
      </c>
      <c r="M785" t="s">
        <v>43</v>
      </c>
      <c r="N785" t="s">
        <v>187</v>
      </c>
    </row>
    <row r="786" spans="1:14" x14ac:dyDescent="0.25">
      <c r="A786" t="s">
        <v>888</v>
      </c>
      <c r="B786">
        <v>3957</v>
      </c>
      <c r="C786">
        <v>151</v>
      </c>
      <c r="E786">
        <v>10</v>
      </c>
      <c r="F786" t="s">
        <v>30</v>
      </c>
      <c r="G786" t="s">
        <v>78</v>
      </c>
      <c r="H786" t="s">
        <v>40</v>
      </c>
      <c r="J786" s="1">
        <v>44681</v>
      </c>
      <c r="K786" t="s">
        <v>889</v>
      </c>
      <c r="L786" t="s">
        <v>71</v>
      </c>
      <c r="M786" t="s">
        <v>86</v>
      </c>
      <c r="N786" t="s">
        <v>187</v>
      </c>
    </row>
    <row r="787" spans="1:14" x14ac:dyDescent="0.25">
      <c r="A787" t="s">
        <v>890</v>
      </c>
      <c r="B787">
        <v>8769</v>
      </c>
      <c r="C787">
        <v>3178</v>
      </c>
      <c r="E787">
        <v>16</v>
      </c>
      <c r="F787" t="s">
        <v>30</v>
      </c>
      <c r="G787" t="s">
        <v>57</v>
      </c>
      <c r="H787" t="s">
        <v>32</v>
      </c>
      <c r="J787" s="1">
        <v>44946</v>
      </c>
      <c r="K787" t="s">
        <v>891</v>
      </c>
      <c r="L787" t="s">
        <v>21</v>
      </c>
      <c r="M787" t="s">
        <v>22</v>
      </c>
      <c r="N787" t="s">
        <v>333</v>
      </c>
    </row>
    <row r="788" spans="1:14" x14ac:dyDescent="0.25">
      <c r="A788" t="s">
        <v>892</v>
      </c>
      <c r="B788">
        <v>2957</v>
      </c>
      <c r="C788">
        <v>917</v>
      </c>
      <c r="E788">
        <v>16</v>
      </c>
      <c r="F788" t="s">
        <v>30</v>
      </c>
      <c r="G788" t="s">
        <v>31</v>
      </c>
      <c r="H788" t="s">
        <v>32</v>
      </c>
      <c r="J788" s="1">
        <v>45613</v>
      </c>
      <c r="K788" t="s">
        <v>893</v>
      </c>
      <c r="L788" t="s">
        <v>21</v>
      </c>
      <c r="M788" t="s">
        <v>22</v>
      </c>
      <c r="N788" t="s">
        <v>255</v>
      </c>
    </row>
    <row r="789" spans="1:14" x14ac:dyDescent="0.25">
      <c r="A789" t="s">
        <v>894</v>
      </c>
      <c r="B789">
        <v>5344</v>
      </c>
      <c r="C789">
        <v>2607</v>
      </c>
      <c r="E789">
        <v>6</v>
      </c>
      <c r="F789" t="s">
        <v>30</v>
      </c>
      <c r="G789" t="s">
        <v>64</v>
      </c>
      <c r="H789" t="s">
        <v>32</v>
      </c>
      <c r="J789" s="1">
        <v>44674</v>
      </c>
      <c r="K789" t="s">
        <v>895</v>
      </c>
      <c r="L789" t="s">
        <v>71</v>
      </c>
      <c r="M789" t="s">
        <v>72</v>
      </c>
      <c r="N789" t="s">
        <v>187</v>
      </c>
    </row>
    <row r="790" spans="1:14" x14ac:dyDescent="0.25">
      <c r="A790" t="s">
        <v>894</v>
      </c>
      <c r="B790">
        <v>5344</v>
      </c>
      <c r="C790">
        <v>2607</v>
      </c>
      <c r="E790">
        <v>6</v>
      </c>
      <c r="F790" t="s">
        <v>30</v>
      </c>
      <c r="G790" t="s">
        <v>64</v>
      </c>
      <c r="H790" t="s">
        <v>32</v>
      </c>
      <c r="J790" s="1">
        <v>45706</v>
      </c>
      <c r="K790" t="s">
        <v>896</v>
      </c>
      <c r="L790" t="s">
        <v>25</v>
      </c>
      <c r="M790" t="s">
        <v>68</v>
      </c>
      <c r="N790" t="s">
        <v>73</v>
      </c>
    </row>
    <row r="791" spans="1:14" x14ac:dyDescent="0.25">
      <c r="A791" t="s">
        <v>897</v>
      </c>
      <c r="B791">
        <v>6061</v>
      </c>
      <c r="C791">
        <v>2121</v>
      </c>
      <c r="E791">
        <v>19</v>
      </c>
      <c r="F791" t="s">
        <v>13</v>
      </c>
      <c r="G791" t="s">
        <v>39</v>
      </c>
      <c r="H791" t="s">
        <v>40</v>
      </c>
      <c r="J791" s="1">
        <v>44343</v>
      </c>
      <c r="K791" t="s">
        <v>898</v>
      </c>
      <c r="L791" t="s">
        <v>98</v>
      </c>
      <c r="M791" t="s">
        <v>117</v>
      </c>
      <c r="N791" t="s">
        <v>108</v>
      </c>
    </row>
    <row r="792" spans="1:14" x14ac:dyDescent="0.25">
      <c r="A792" t="s">
        <v>897</v>
      </c>
      <c r="B792">
        <v>6061</v>
      </c>
      <c r="C792">
        <v>2121</v>
      </c>
      <c r="E792">
        <v>19</v>
      </c>
      <c r="F792" t="s">
        <v>13</v>
      </c>
      <c r="G792" t="s">
        <v>39</v>
      </c>
      <c r="H792" t="s">
        <v>40</v>
      </c>
      <c r="J792" s="1">
        <v>44578</v>
      </c>
      <c r="K792" t="s">
        <v>899</v>
      </c>
      <c r="L792" t="s">
        <v>42</v>
      </c>
      <c r="M792" t="s">
        <v>75</v>
      </c>
      <c r="N792" t="s">
        <v>87</v>
      </c>
    </row>
    <row r="793" spans="1:14" x14ac:dyDescent="0.25">
      <c r="A793" t="s">
        <v>900</v>
      </c>
      <c r="B793">
        <v>5376</v>
      </c>
      <c r="C793">
        <v>1928</v>
      </c>
      <c r="E793">
        <v>7</v>
      </c>
      <c r="F793" t="s">
        <v>45</v>
      </c>
      <c r="G793" t="s">
        <v>46</v>
      </c>
      <c r="H793" t="s">
        <v>47</v>
      </c>
      <c r="J793" s="1">
        <v>45672</v>
      </c>
      <c r="K793" t="s">
        <v>901</v>
      </c>
      <c r="L793" t="s">
        <v>25</v>
      </c>
      <c r="M793" t="s">
        <v>51</v>
      </c>
      <c r="N793" t="s">
        <v>308</v>
      </c>
    </row>
    <row r="794" spans="1:14" x14ac:dyDescent="0.25">
      <c r="A794" t="s">
        <v>902</v>
      </c>
      <c r="B794">
        <v>2792</v>
      </c>
      <c r="C794">
        <v>1008</v>
      </c>
      <c r="E794">
        <v>8</v>
      </c>
      <c r="F794" t="s">
        <v>13</v>
      </c>
      <c r="G794" t="s">
        <v>28</v>
      </c>
      <c r="H794" t="s">
        <v>65</v>
      </c>
      <c r="J794" s="1">
        <v>44241</v>
      </c>
      <c r="K794" t="s">
        <v>903</v>
      </c>
      <c r="L794" t="s">
        <v>17</v>
      </c>
      <c r="M794" t="s">
        <v>18</v>
      </c>
      <c r="N794" t="s">
        <v>292</v>
      </c>
    </row>
    <row r="795" spans="1:14" x14ac:dyDescent="0.25">
      <c r="A795" t="s">
        <v>904</v>
      </c>
      <c r="B795">
        <v>2944</v>
      </c>
      <c r="C795">
        <v>249</v>
      </c>
      <c r="E795">
        <v>5</v>
      </c>
      <c r="F795" t="s">
        <v>30</v>
      </c>
      <c r="G795" t="s">
        <v>78</v>
      </c>
      <c r="H795" t="s">
        <v>47</v>
      </c>
      <c r="J795" s="1">
        <v>45535</v>
      </c>
      <c r="K795" t="s">
        <v>905</v>
      </c>
      <c r="L795" t="s">
        <v>98</v>
      </c>
      <c r="M795" t="s">
        <v>99</v>
      </c>
      <c r="N795" t="s">
        <v>114</v>
      </c>
    </row>
    <row r="796" spans="1:14" x14ac:dyDescent="0.25">
      <c r="A796" t="s">
        <v>904</v>
      </c>
      <c r="B796">
        <v>2944</v>
      </c>
      <c r="C796">
        <v>249</v>
      </c>
      <c r="E796">
        <v>5</v>
      </c>
      <c r="F796" t="s">
        <v>30</v>
      </c>
      <c r="G796" t="s">
        <v>78</v>
      </c>
      <c r="H796" t="s">
        <v>47</v>
      </c>
      <c r="J796" s="1">
        <v>44921</v>
      </c>
      <c r="K796" t="s">
        <v>906</v>
      </c>
      <c r="L796" t="s">
        <v>71</v>
      </c>
      <c r="M796" t="s">
        <v>72</v>
      </c>
      <c r="N796" t="s">
        <v>152</v>
      </c>
    </row>
    <row r="797" spans="1:14" x14ac:dyDescent="0.25">
      <c r="A797" t="s">
        <v>907</v>
      </c>
      <c r="B797">
        <v>4220</v>
      </c>
      <c r="C797">
        <v>945</v>
      </c>
      <c r="E797">
        <v>13</v>
      </c>
      <c r="F797" t="s">
        <v>30</v>
      </c>
      <c r="G797" t="s">
        <v>57</v>
      </c>
      <c r="H797" t="s">
        <v>40</v>
      </c>
      <c r="J797" s="1">
        <v>45372</v>
      </c>
      <c r="K797" t="s">
        <v>908</v>
      </c>
      <c r="L797" t="s">
        <v>21</v>
      </c>
      <c r="M797" t="s">
        <v>63</v>
      </c>
      <c r="N797" t="s">
        <v>338</v>
      </c>
    </row>
    <row r="798" spans="1:14" x14ac:dyDescent="0.25">
      <c r="A798" t="s">
        <v>907</v>
      </c>
      <c r="B798">
        <v>4220</v>
      </c>
      <c r="C798">
        <v>945</v>
      </c>
      <c r="E798">
        <v>13</v>
      </c>
      <c r="F798" t="s">
        <v>30</v>
      </c>
      <c r="G798" t="s">
        <v>57</v>
      </c>
      <c r="H798" t="s">
        <v>40</v>
      </c>
      <c r="J798" s="1">
        <v>44180</v>
      </c>
      <c r="K798" t="s">
        <v>909</v>
      </c>
      <c r="L798" t="s">
        <v>21</v>
      </c>
      <c r="M798" t="s">
        <v>172</v>
      </c>
      <c r="N798" t="s">
        <v>287</v>
      </c>
    </row>
    <row r="799" spans="1:14" x14ac:dyDescent="0.25">
      <c r="A799" t="s">
        <v>910</v>
      </c>
      <c r="B799">
        <v>8526</v>
      </c>
      <c r="C799">
        <v>1704</v>
      </c>
      <c r="E799">
        <v>4</v>
      </c>
      <c r="F799" t="s">
        <v>30</v>
      </c>
      <c r="G799" t="s">
        <v>78</v>
      </c>
      <c r="H799" t="s">
        <v>32</v>
      </c>
      <c r="J799" s="1">
        <v>45006</v>
      </c>
      <c r="K799" t="s">
        <v>911</v>
      </c>
      <c r="L799" t="s">
        <v>71</v>
      </c>
      <c r="M799" t="s">
        <v>86</v>
      </c>
      <c r="N799" t="s">
        <v>245</v>
      </c>
    </row>
    <row r="800" spans="1:14" x14ac:dyDescent="0.25">
      <c r="A800" t="s">
        <v>912</v>
      </c>
      <c r="B800">
        <v>8218</v>
      </c>
      <c r="C800">
        <v>1430</v>
      </c>
      <c r="E800">
        <v>19</v>
      </c>
      <c r="F800" t="s">
        <v>45</v>
      </c>
      <c r="G800" t="s">
        <v>109</v>
      </c>
      <c r="H800" t="s">
        <v>47</v>
      </c>
      <c r="J800" s="1">
        <v>45085</v>
      </c>
      <c r="K800" t="s">
        <v>913</v>
      </c>
      <c r="L800" t="s">
        <v>42</v>
      </c>
      <c r="M800" t="s">
        <v>92</v>
      </c>
      <c r="N800" t="s">
        <v>19</v>
      </c>
    </row>
    <row r="801" spans="1:14" x14ac:dyDescent="0.25">
      <c r="A801" t="s">
        <v>914</v>
      </c>
      <c r="B801">
        <v>599</v>
      </c>
      <c r="C801">
        <v>265</v>
      </c>
      <c r="E801">
        <v>4</v>
      </c>
      <c r="F801" t="s">
        <v>13</v>
      </c>
      <c r="G801" t="s">
        <v>82</v>
      </c>
      <c r="H801" t="s">
        <v>47</v>
      </c>
      <c r="J801" s="1">
        <v>44759</v>
      </c>
      <c r="K801" t="s">
        <v>915</v>
      </c>
      <c r="L801" t="s">
        <v>25</v>
      </c>
      <c r="M801" t="s">
        <v>26</v>
      </c>
      <c r="N801" t="s">
        <v>418</v>
      </c>
    </row>
    <row r="802" spans="1:14" x14ac:dyDescent="0.25">
      <c r="A802" t="s">
        <v>914</v>
      </c>
      <c r="B802">
        <v>599</v>
      </c>
      <c r="C802">
        <v>265</v>
      </c>
      <c r="E802">
        <v>4</v>
      </c>
      <c r="F802" t="s">
        <v>13</v>
      </c>
      <c r="G802" t="s">
        <v>82</v>
      </c>
      <c r="H802" t="s">
        <v>47</v>
      </c>
      <c r="J802" s="1">
        <v>45631</v>
      </c>
      <c r="K802" t="s">
        <v>916</v>
      </c>
      <c r="L802" t="s">
        <v>25</v>
      </c>
      <c r="M802" t="s">
        <v>68</v>
      </c>
      <c r="N802" t="s">
        <v>23</v>
      </c>
    </row>
    <row r="803" spans="1:14" x14ac:dyDescent="0.25">
      <c r="A803" t="s">
        <v>914</v>
      </c>
      <c r="B803">
        <v>2727</v>
      </c>
      <c r="C803">
        <v>543</v>
      </c>
      <c r="E803">
        <v>10</v>
      </c>
      <c r="F803" t="s">
        <v>45</v>
      </c>
      <c r="G803" t="s">
        <v>109</v>
      </c>
      <c r="H803" t="s">
        <v>47</v>
      </c>
      <c r="J803" s="1">
        <v>44759</v>
      </c>
      <c r="K803" t="s">
        <v>915</v>
      </c>
      <c r="L803" t="s">
        <v>25</v>
      </c>
      <c r="M803" t="s">
        <v>26</v>
      </c>
      <c r="N803" t="s">
        <v>418</v>
      </c>
    </row>
    <row r="804" spans="1:14" x14ac:dyDescent="0.25">
      <c r="A804" t="s">
        <v>914</v>
      </c>
      <c r="B804">
        <v>2727</v>
      </c>
      <c r="C804">
        <v>543</v>
      </c>
      <c r="E804">
        <v>10</v>
      </c>
      <c r="F804" t="s">
        <v>45</v>
      </c>
      <c r="G804" t="s">
        <v>109</v>
      </c>
      <c r="H804" t="s">
        <v>47</v>
      </c>
      <c r="J804" s="1">
        <v>45631</v>
      </c>
      <c r="K804" t="s">
        <v>916</v>
      </c>
      <c r="L804" t="s">
        <v>25</v>
      </c>
      <c r="M804" t="s">
        <v>68</v>
      </c>
      <c r="N804" t="s">
        <v>23</v>
      </c>
    </row>
    <row r="805" spans="1:14" x14ac:dyDescent="0.25">
      <c r="A805" t="s">
        <v>917</v>
      </c>
      <c r="B805">
        <v>2589</v>
      </c>
      <c r="C805">
        <v>605</v>
      </c>
      <c r="E805">
        <v>11</v>
      </c>
      <c r="F805" t="s">
        <v>30</v>
      </c>
      <c r="G805" t="s">
        <v>31</v>
      </c>
      <c r="H805" t="s">
        <v>40</v>
      </c>
      <c r="J805" s="1">
        <v>45232</v>
      </c>
      <c r="K805" t="s">
        <v>918</v>
      </c>
      <c r="L805" t="s">
        <v>42</v>
      </c>
      <c r="M805" t="s">
        <v>92</v>
      </c>
      <c r="N805" t="s">
        <v>52</v>
      </c>
    </row>
    <row r="806" spans="1:14" x14ac:dyDescent="0.25">
      <c r="A806" t="s">
        <v>917</v>
      </c>
      <c r="B806">
        <v>2589</v>
      </c>
      <c r="C806">
        <v>605</v>
      </c>
      <c r="E806">
        <v>11</v>
      </c>
      <c r="F806" t="s">
        <v>30</v>
      </c>
      <c r="G806" t="s">
        <v>31</v>
      </c>
      <c r="H806" t="s">
        <v>40</v>
      </c>
      <c r="J806" s="1">
        <v>45570</v>
      </c>
      <c r="K806" t="s">
        <v>919</v>
      </c>
      <c r="L806" t="s">
        <v>98</v>
      </c>
      <c r="M806" t="s">
        <v>117</v>
      </c>
      <c r="N806" t="s">
        <v>360</v>
      </c>
    </row>
    <row r="807" spans="1:14" x14ac:dyDescent="0.25">
      <c r="A807" t="s">
        <v>920</v>
      </c>
      <c r="B807">
        <v>3776</v>
      </c>
      <c r="C807">
        <v>1100</v>
      </c>
      <c r="E807">
        <v>9</v>
      </c>
      <c r="F807" t="s">
        <v>13</v>
      </c>
      <c r="G807" t="s">
        <v>14</v>
      </c>
      <c r="H807" t="s">
        <v>40</v>
      </c>
      <c r="J807" s="1">
        <v>44878</v>
      </c>
      <c r="K807" t="s">
        <v>921</v>
      </c>
      <c r="L807" t="s">
        <v>71</v>
      </c>
      <c r="M807" t="s">
        <v>86</v>
      </c>
      <c r="N807" t="s">
        <v>44</v>
      </c>
    </row>
    <row r="808" spans="1:14" x14ac:dyDescent="0.25">
      <c r="A808" t="s">
        <v>920</v>
      </c>
      <c r="B808">
        <v>3776</v>
      </c>
      <c r="C808">
        <v>1100</v>
      </c>
      <c r="E808">
        <v>9</v>
      </c>
      <c r="F808" t="s">
        <v>13</v>
      </c>
      <c r="G808" t="s">
        <v>14</v>
      </c>
      <c r="H808" t="s">
        <v>40</v>
      </c>
      <c r="J808" s="1">
        <v>44923</v>
      </c>
      <c r="K808" t="s">
        <v>922</v>
      </c>
      <c r="L808" t="s">
        <v>21</v>
      </c>
      <c r="M808" t="s">
        <v>172</v>
      </c>
      <c r="N808" t="s">
        <v>152</v>
      </c>
    </row>
    <row r="809" spans="1:14" x14ac:dyDescent="0.25">
      <c r="A809" t="s">
        <v>923</v>
      </c>
      <c r="B809">
        <v>5402</v>
      </c>
      <c r="C809">
        <v>1666</v>
      </c>
      <c r="E809">
        <v>12</v>
      </c>
      <c r="F809" t="s">
        <v>45</v>
      </c>
      <c r="G809" t="s">
        <v>109</v>
      </c>
      <c r="H809" t="s">
        <v>40</v>
      </c>
      <c r="J809" s="1">
        <v>45714</v>
      </c>
      <c r="K809" t="s">
        <v>924</v>
      </c>
      <c r="L809" t="s">
        <v>98</v>
      </c>
      <c r="M809" t="s">
        <v>117</v>
      </c>
      <c r="N809" t="s">
        <v>73</v>
      </c>
    </row>
    <row r="810" spans="1:14" x14ac:dyDescent="0.25">
      <c r="A810" t="s">
        <v>925</v>
      </c>
      <c r="B810">
        <v>5165</v>
      </c>
      <c r="C810">
        <v>885</v>
      </c>
      <c r="E810">
        <v>16</v>
      </c>
      <c r="F810" t="s">
        <v>30</v>
      </c>
      <c r="G810" t="s">
        <v>31</v>
      </c>
      <c r="H810" t="s">
        <v>40</v>
      </c>
      <c r="J810" s="1">
        <v>44877</v>
      </c>
      <c r="K810" t="s">
        <v>926</v>
      </c>
      <c r="L810" t="s">
        <v>21</v>
      </c>
      <c r="M810" t="s">
        <v>172</v>
      </c>
      <c r="N810" t="s">
        <v>44</v>
      </c>
    </row>
    <row r="811" spans="1:14" x14ac:dyDescent="0.25">
      <c r="A811" t="s">
        <v>925</v>
      </c>
      <c r="B811">
        <v>4863</v>
      </c>
      <c r="C811">
        <v>2394</v>
      </c>
      <c r="E811">
        <v>4</v>
      </c>
      <c r="F811" t="s">
        <v>45</v>
      </c>
      <c r="G811" t="s">
        <v>109</v>
      </c>
      <c r="H811" t="s">
        <v>40</v>
      </c>
      <c r="J811" s="1">
        <v>44877</v>
      </c>
      <c r="K811" t="s">
        <v>926</v>
      </c>
      <c r="L811" t="s">
        <v>21</v>
      </c>
      <c r="M811" t="s">
        <v>172</v>
      </c>
      <c r="N811" t="s">
        <v>44</v>
      </c>
    </row>
    <row r="812" spans="1:14" x14ac:dyDescent="0.25">
      <c r="A812" t="s">
        <v>927</v>
      </c>
      <c r="B812">
        <v>1626</v>
      </c>
      <c r="C812">
        <v>258</v>
      </c>
      <c r="E812">
        <v>15</v>
      </c>
      <c r="F812" t="s">
        <v>30</v>
      </c>
      <c r="G812" t="s">
        <v>31</v>
      </c>
      <c r="H812" t="s">
        <v>40</v>
      </c>
      <c r="J812" s="1">
        <v>44354</v>
      </c>
      <c r="K812" t="s">
        <v>928</v>
      </c>
      <c r="L812" t="s">
        <v>17</v>
      </c>
      <c r="M812" t="s">
        <v>34</v>
      </c>
      <c r="N812" t="s">
        <v>125</v>
      </c>
    </row>
    <row r="813" spans="1:14" x14ac:dyDescent="0.25">
      <c r="A813" t="s">
        <v>929</v>
      </c>
      <c r="B813">
        <v>8851</v>
      </c>
      <c r="C813">
        <v>3962</v>
      </c>
      <c r="E813">
        <v>7</v>
      </c>
      <c r="F813" t="s">
        <v>45</v>
      </c>
      <c r="G813" t="s">
        <v>46</v>
      </c>
      <c r="H813" t="s">
        <v>40</v>
      </c>
      <c r="J813" s="1">
        <v>44100</v>
      </c>
      <c r="K813" t="s">
        <v>930</v>
      </c>
      <c r="L813" t="s">
        <v>17</v>
      </c>
      <c r="M813" t="s">
        <v>18</v>
      </c>
      <c r="N813" t="s">
        <v>389</v>
      </c>
    </row>
    <row r="814" spans="1:14" x14ac:dyDescent="0.25">
      <c r="A814" t="s">
        <v>931</v>
      </c>
      <c r="B814">
        <v>9680</v>
      </c>
      <c r="C814">
        <v>3295</v>
      </c>
      <c r="E814">
        <v>9</v>
      </c>
      <c r="F814" t="s">
        <v>45</v>
      </c>
      <c r="G814" t="s">
        <v>46</v>
      </c>
      <c r="H814" t="s">
        <v>65</v>
      </c>
      <c r="J814" s="1">
        <v>45411</v>
      </c>
      <c r="K814" t="s">
        <v>932</v>
      </c>
      <c r="L814" t="s">
        <v>25</v>
      </c>
      <c r="M814" t="s">
        <v>68</v>
      </c>
      <c r="N814" t="s">
        <v>235</v>
      </c>
    </row>
    <row r="815" spans="1:14" x14ac:dyDescent="0.25">
      <c r="A815" t="s">
        <v>931</v>
      </c>
      <c r="B815">
        <v>8468</v>
      </c>
      <c r="C815">
        <v>3666</v>
      </c>
      <c r="E815">
        <v>8</v>
      </c>
      <c r="F815" t="s">
        <v>30</v>
      </c>
      <c r="G815" t="s">
        <v>31</v>
      </c>
      <c r="H815" t="s">
        <v>15</v>
      </c>
      <c r="J815" s="1">
        <v>45411</v>
      </c>
      <c r="K815" t="s">
        <v>932</v>
      </c>
      <c r="L815" t="s">
        <v>25</v>
      </c>
      <c r="M815" t="s">
        <v>68</v>
      </c>
      <c r="N815" t="s">
        <v>235</v>
      </c>
    </row>
    <row r="816" spans="1:14" x14ac:dyDescent="0.25">
      <c r="A816" t="s">
        <v>931</v>
      </c>
      <c r="B816">
        <v>4441</v>
      </c>
      <c r="C816">
        <v>314</v>
      </c>
      <c r="E816">
        <v>14</v>
      </c>
      <c r="F816" t="s">
        <v>45</v>
      </c>
      <c r="G816" t="s">
        <v>49</v>
      </c>
      <c r="H816" t="s">
        <v>32</v>
      </c>
      <c r="J816" s="1">
        <v>45411</v>
      </c>
      <c r="K816" t="s">
        <v>932</v>
      </c>
      <c r="L816" t="s">
        <v>25</v>
      </c>
      <c r="M816" t="s">
        <v>68</v>
      </c>
      <c r="N816" t="s">
        <v>235</v>
      </c>
    </row>
    <row r="817" spans="1:14" x14ac:dyDescent="0.25">
      <c r="A817" t="s">
        <v>933</v>
      </c>
      <c r="B817">
        <v>6622</v>
      </c>
      <c r="C817">
        <v>2673</v>
      </c>
      <c r="E817">
        <v>8</v>
      </c>
      <c r="F817" t="s">
        <v>45</v>
      </c>
      <c r="G817" t="s">
        <v>60</v>
      </c>
      <c r="H817" t="s">
        <v>65</v>
      </c>
      <c r="J817" s="1">
        <v>45392</v>
      </c>
      <c r="K817" t="s">
        <v>934</v>
      </c>
      <c r="L817" t="s">
        <v>25</v>
      </c>
      <c r="M817" t="s">
        <v>51</v>
      </c>
      <c r="N817" t="s">
        <v>235</v>
      </c>
    </row>
    <row r="818" spans="1:14" x14ac:dyDescent="0.25">
      <c r="A818" t="s">
        <v>935</v>
      </c>
      <c r="B818">
        <v>3260</v>
      </c>
      <c r="C818">
        <v>207</v>
      </c>
      <c r="E818">
        <v>17</v>
      </c>
      <c r="F818" t="s">
        <v>45</v>
      </c>
      <c r="G818" t="s">
        <v>46</v>
      </c>
      <c r="H818" t="s">
        <v>15</v>
      </c>
      <c r="J818" s="1">
        <v>45281</v>
      </c>
      <c r="K818" t="s">
        <v>936</v>
      </c>
      <c r="L818" t="s">
        <v>42</v>
      </c>
      <c r="M818" t="s">
        <v>75</v>
      </c>
      <c r="N818" t="s">
        <v>102</v>
      </c>
    </row>
    <row r="819" spans="1:14" x14ac:dyDescent="0.25">
      <c r="A819" t="s">
        <v>937</v>
      </c>
      <c r="B819">
        <v>8709</v>
      </c>
      <c r="C819">
        <v>2322</v>
      </c>
      <c r="E819">
        <v>8</v>
      </c>
      <c r="F819" t="s">
        <v>45</v>
      </c>
      <c r="G819" t="s">
        <v>46</v>
      </c>
      <c r="H819" t="s">
        <v>32</v>
      </c>
      <c r="J819" s="1">
        <v>45414</v>
      </c>
      <c r="K819" t="s">
        <v>938</v>
      </c>
      <c r="L819" t="s">
        <v>71</v>
      </c>
      <c r="M819" t="s">
        <v>86</v>
      </c>
      <c r="N819" t="s">
        <v>35</v>
      </c>
    </row>
    <row r="820" spans="1:14" x14ac:dyDescent="0.25">
      <c r="A820" t="s">
        <v>937</v>
      </c>
      <c r="B820">
        <v>8709</v>
      </c>
      <c r="C820">
        <v>2322</v>
      </c>
      <c r="E820">
        <v>8</v>
      </c>
      <c r="F820" t="s">
        <v>45</v>
      </c>
      <c r="G820" t="s">
        <v>46</v>
      </c>
      <c r="H820" t="s">
        <v>32</v>
      </c>
      <c r="J820" s="1">
        <v>45617</v>
      </c>
      <c r="K820" t="s">
        <v>939</v>
      </c>
      <c r="L820" t="s">
        <v>42</v>
      </c>
      <c r="M820" t="s">
        <v>92</v>
      </c>
      <c r="N820" t="s">
        <v>255</v>
      </c>
    </row>
    <row r="821" spans="1:14" x14ac:dyDescent="0.25">
      <c r="A821" t="s">
        <v>940</v>
      </c>
      <c r="B821">
        <v>5250</v>
      </c>
      <c r="C821">
        <v>187</v>
      </c>
      <c r="E821">
        <v>1</v>
      </c>
      <c r="F821" t="s">
        <v>30</v>
      </c>
      <c r="G821" t="s">
        <v>78</v>
      </c>
      <c r="H821" t="s">
        <v>65</v>
      </c>
      <c r="J821" s="1">
        <v>44637</v>
      </c>
      <c r="K821" t="s">
        <v>941</v>
      </c>
      <c r="L821" t="s">
        <v>98</v>
      </c>
      <c r="M821" t="s">
        <v>107</v>
      </c>
      <c r="N821" t="s">
        <v>134</v>
      </c>
    </row>
    <row r="822" spans="1:14" x14ac:dyDescent="0.25">
      <c r="A822" t="s">
        <v>940</v>
      </c>
      <c r="B822">
        <v>5250</v>
      </c>
      <c r="C822">
        <v>187</v>
      </c>
      <c r="E822">
        <v>1</v>
      </c>
      <c r="F822" t="s">
        <v>30</v>
      </c>
      <c r="G822" t="s">
        <v>78</v>
      </c>
      <c r="H822" t="s">
        <v>65</v>
      </c>
      <c r="J822" s="1">
        <v>45060</v>
      </c>
      <c r="K822" t="s">
        <v>942</v>
      </c>
      <c r="L822" t="s">
        <v>71</v>
      </c>
      <c r="M822" t="s">
        <v>138</v>
      </c>
      <c r="N822" t="s">
        <v>127</v>
      </c>
    </row>
    <row r="823" spans="1:14" x14ac:dyDescent="0.25">
      <c r="A823" t="s">
        <v>943</v>
      </c>
      <c r="B823">
        <v>4116</v>
      </c>
      <c r="C823">
        <v>921</v>
      </c>
      <c r="E823">
        <v>20</v>
      </c>
      <c r="F823" t="s">
        <v>30</v>
      </c>
      <c r="G823" t="s">
        <v>64</v>
      </c>
      <c r="H823" t="s">
        <v>15</v>
      </c>
      <c r="J823" s="1">
        <v>45572</v>
      </c>
      <c r="K823" t="s">
        <v>944</v>
      </c>
      <c r="L823" t="s">
        <v>42</v>
      </c>
      <c r="M823" t="s">
        <v>43</v>
      </c>
      <c r="N823" t="s">
        <v>360</v>
      </c>
    </row>
    <row r="824" spans="1:14" x14ac:dyDescent="0.25">
      <c r="A824" t="s">
        <v>943</v>
      </c>
      <c r="B824">
        <v>4116</v>
      </c>
      <c r="C824">
        <v>921</v>
      </c>
      <c r="E824">
        <v>20</v>
      </c>
      <c r="F824" t="s">
        <v>30</v>
      </c>
      <c r="G824" t="s">
        <v>64</v>
      </c>
      <c r="H824" t="s">
        <v>15</v>
      </c>
      <c r="J824" s="1">
        <v>44082</v>
      </c>
      <c r="K824" t="s">
        <v>945</v>
      </c>
      <c r="L824" t="s">
        <v>21</v>
      </c>
      <c r="M824" t="s">
        <v>63</v>
      </c>
      <c r="N824" t="s">
        <v>389</v>
      </c>
    </row>
    <row r="825" spans="1:14" x14ac:dyDescent="0.25">
      <c r="A825" t="s">
        <v>946</v>
      </c>
      <c r="B825">
        <v>1109</v>
      </c>
      <c r="C825">
        <v>418</v>
      </c>
      <c r="E825">
        <v>15</v>
      </c>
      <c r="F825" t="s">
        <v>30</v>
      </c>
      <c r="G825" t="s">
        <v>64</v>
      </c>
      <c r="H825" t="s">
        <v>15</v>
      </c>
      <c r="J825" s="1">
        <v>44427</v>
      </c>
      <c r="K825" t="s">
        <v>947</v>
      </c>
      <c r="L825" t="s">
        <v>42</v>
      </c>
      <c r="M825" t="s">
        <v>43</v>
      </c>
      <c r="N825" t="s">
        <v>178</v>
      </c>
    </row>
    <row r="826" spans="1:14" x14ac:dyDescent="0.25">
      <c r="A826" t="s">
        <v>948</v>
      </c>
      <c r="B826">
        <v>3573</v>
      </c>
      <c r="C826">
        <v>562</v>
      </c>
      <c r="E826">
        <v>7</v>
      </c>
      <c r="F826" t="s">
        <v>30</v>
      </c>
      <c r="G826" t="s">
        <v>31</v>
      </c>
      <c r="H826" t="s">
        <v>40</v>
      </c>
      <c r="J826" s="1">
        <v>44846</v>
      </c>
      <c r="K826" t="s">
        <v>454</v>
      </c>
      <c r="L826" t="s">
        <v>25</v>
      </c>
      <c r="M826" t="s">
        <v>68</v>
      </c>
      <c r="N826" t="s">
        <v>96</v>
      </c>
    </row>
    <row r="827" spans="1:14" x14ac:dyDescent="0.25">
      <c r="A827" t="s">
        <v>948</v>
      </c>
      <c r="B827">
        <v>3573</v>
      </c>
      <c r="C827">
        <v>562</v>
      </c>
      <c r="E827">
        <v>7</v>
      </c>
      <c r="F827" t="s">
        <v>30</v>
      </c>
      <c r="G827" t="s">
        <v>31</v>
      </c>
      <c r="H827" t="s">
        <v>40</v>
      </c>
      <c r="J827" s="1">
        <v>43974</v>
      </c>
      <c r="K827" t="s">
        <v>949</v>
      </c>
      <c r="L827" t="s">
        <v>42</v>
      </c>
      <c r="M827" t="s">
        <v>75</v>
      </c>
      <c r="N827" t="s">
        <v>59</v>
      </c>
    </row>
    <row r="828" spans="1:14" x14ac:dyDescent="0.25">
      <c r="A828" t="s">
        <v>948</v>
      </c>
      <c r="B828">
        <v>3573</v>
      </c>
      <c r="C828">
        <v>562</v>
      </c>
      <c r="E828">
        <v>7</v>
      </c>
      <c r="F828" t="s">
        <v>30</v>
      </c>
      <c r="G828" t="s">
        <v>31</v>
      </c>
      <c r="H828" t="s">
        <v>40</v>
      </c>
      <c r="J828" s="1">
        <v>43939</v>
      </c>
      <c r="K828" t="s">
        <v>950</v>
      </c>
      <c r="L828" t="s">
        <v>17</v>
      </c>
      <c r="M828" t="s">
        <v>150</v>
      </c>
      <c r="N828" t="s">
        <v>162</v>
      </c>
    </row>
    <row r="829" spans="1:14" x14ac:dyDescent="0.25">
      <c r="A829" t="s">
        <v>948</v>
      </c>
      <c r="B829">
        <v>8055</v>
      </c>
      <c r="C829">
        <v>661</v>
      </c>
      <c r="E829">
        <v>10</v>
      </c>
      <c r="F829" t="s">
        <v>13</v>
      </c>
      <c r="G829" t="s">
        <v>82</v>
      </c>
      <c r="H829" t="s">
        <v>40</v>
      </c>
      <c r="J829" s="1">
        <v>44846</v>
      </c>
      <c r="K829" t="s">
        <v>454</v>
      </c>
      <c r="L829" t="s">
        <v>25</v>
      </c>
      <c r="M829" t="s">
        <v>68</v>
      </c>
      <c r="N829" t="s">
        <v>96</v>
      </c>
    </row>
    <row r="830" spans="1:14" x14ac:dyDescent="0.25">
      <c r="A830" t="s">
        <v>948</v>
      </c>
      <c r="B830">
        <v>8055</v>
      </c>
      <c r="C830">
        <v>661</v>
      </c>
      <c r="E830">
        <v>10</v>
      </c>
      <c r="F830" t="s">
        <v>13</v>
      </c>
      <c r="G830" t="s">
        <v>82</v>
      </c>
      <c r="H830" t="s">
        <v>40</v>
      </c>
      <c r="J830" s="1">
        <v>43974</v>
      </c>
      <c r="K830" t="s">
        <v>949</v>
      </c>
      <c r="L830" t="s">
        <v>42</v>
      </c>
      <c r="M830" t="s">
        <v>75</v>
      </c>
      <c r="N830" t="s">
        <v>59</v>
      </c>
    </row>
    <row r="831" spans="1:14" x14ac:dyDescent="0.25">
      <c r="A831" t="s">
        <v>948</v>
      </c>
      <c r="B831">
        <v>8055</v>
      </c>
      <c r="C831">
        <v>661</v>
      </c>
      <c r="E831">
        <v>10</v>
      </c>
      <c r="F831" t="s">
        <v>13</v>
      </c>
      <c r="G831" t="s">
        <v>82</v>
      </c>
      <c r="H831" t="s">
        <v>40</v>
      </c>
      <c r="J831" s="1">
        <v>43939</v>
      </c>
      <c r="K831" t="s">
        <v>950</v>
      </c>
      <c r="L831" t="s">
        <v>17</v>
      </c>
      <c r="M831" t="s">
        <v>150</v>
      </c>
      <c r="N831" t="s">
        <v>162</v>
      </c>
    </row>
    <row r="832" spans="1:14" x14ac:dyDescent="0.25">
      <c r="A832" t="s">
        <v>951</v>
      </c>
      <c r="B832">
        <v>6829</v>
      </c>
      <c r="C832">
        <v>2609</v>
      </c>
      <c r="E832">
        <v>2</v>
      </c>
      <c r="F832" t="s">
        <v>13</v>
      </c>
      <c r="G832" t="s">
        <v>39</v>
      </c>
      <c r="H832" t="s">
        <v>40</v>
      </c>
      <c r="J832" s="1">
        <v>44716</v>
      </c>
      <c r="K832" t="s">
        <v>952</v>
      </c>
      <c r="L832" t="s">
        <v>42</v>
      </c>
      <c r="M832" t="s">
        <v>92</v>
      </c>
      <c r="N832" t="s">
        <v>165</v>
      </c>
    </row>
    <row r="833" spans="1:14" x14ac:dyDescent="0.25">
      <c r="A833" t="s">
        <v>951</v>
      </c>
      <c r="B833">
        <v>6390</v>
      </c>
      <c r="C833">
        <v>3089</v>
      </c>
      <c r="E833">
        <v>12</v>
      </c>
      <c r="F833" t="s">
        <v>30</v>
      </c>
      <c r="G833" t="s">
        <v>64</v>
      </c>
      <c r="H833" t="s">
        <v>65</v>
      </c>
      <c r="J833" s="1">
        <v>44716</v>
      </c>
      <c r="K833" t="s">
        <v>952</v>
      </c>
      <c r="L833" t="s">
        <v>42</v>
      </c>
      <c r="M833" t="s">
        <v>92</v>
      </c>
      <c r="N833" t="s">
        <v>165</v>
      </c>
    </row>
    <row r="834" spans="1:14" x14ac:dyDescent="0.25">
      <c r="A834" t="s">
        <v>953</v>
      </c>
      <c r="B834">
        <v>5831</v>
      </c>
      <c r="C834">
        <v>1574</v>
      </c>
      <c r="E834">
        <v>17</v>
      </c>
      <c r="F834" t="s">
        <v>30</v>
      </c>
      <c r="G834" t="s">
        <v>31</v>
      </c>
      <c r="H834" t="s">
        <v>32</v>
      </c>
      <c r="J834" s="1">
        <v>44881</v>
      </c>
      <c r="K834" t="s">
        <v>954</v>
      </c>
      <c r="L834" t="s">
        <v>42</v>
      </c>
      <c r="M834" t="s">
        <v>92</v>
      </c>
      <c r="N834" t="s">
        <v>44</v>
      </c>
    </row>
    <row r="835" spans="1:14" x14ac:dyDescent="0.25">
      <c r="A835" t="s">
        <v>953</v>
      </c>
      <c r="B835">
        <v>5831</v>
      </c>
      <c r="C835">
        <v>1574</v>
      </c>
      <c r="E835">
        <v>17</v>
      </c>
      <c r="F835" t="s">
        <v>30</v>
      </c>
      <c r="G835" t="s">
        <v>31</v>
      </c>
      <c r="H835" t="s">
        <v>32</v>
      </c>
      <c r="J835" s="1">
        <v>45491</v>
      </c>
      <c r="K835" t="s">
        <v>955</v>
      </c>
      <c r="L835" t="s">
        <v>42</v>
      </c>
      <c r="M835" t="s">
        <v>75</v>
      </c>
      <c r="N835" t="s">
        <v>215</v>
      </c>
    </row>
    <row r="836" spans="1:14" x14ac:dyDescent="0.25">
      <c r="A836" t="s">
        <v>953</v>
      </c>
      <c r="B836">
        <v>5831</v>
      </c>
      <c r="C836">
        <v>1574</v>
      </c>
      <c r="E836">
        <v>17</v>
      </c>
      <c r="F836" t="s">
        <v>30</v>
      </c>
      <c r="G836" t="s">
        <v>31</v>
      </c>
      <c r="H836" t="s">
        <v>32</v>
      </c>
      <c r="J836" s="1">
        <v>45123</v>
      </c>
      <c r="K836" t="s">
        <v>956</v>
      </c>
      <c r="L836" t="s">
        <v>17</v>
      </c>
      <c r="M836" t="s">
        <v>18</v>
      </c>
      <c r="N836" t="s">
        <v>105</v>
      </c>
    </row>
    <row r="837" spans="1:14" x14ac:dyDescent="0.25">
      <c r="A837" t="s">
        <v>957</v>
      </c>
      <c r="B837">
        <v>7952</v>
      </c>
      <c r="C837">
        <v>3865</v>
      </c>
      <c r="E837">
        <v>8</v>
      </c>
      <c r="F837" t="s">
        <v>45</v>
      </c>
      <c r="G837" t="s">
        <v>60</v>
      </c>
      <c r="H837" t="s">
        <v>32</v>
      </c>
      <c r="J837" s="1">
        <v>44053</v>
      </c>
      <c r="K837" t="s">
        <v>958</v>
      </c>
      <c r="L837" t="s">
        <v>21</v>
      </c>
      <c r="M837" t="s">
        <v>172</v>
      </c>
      <c r="N837" t="s">
        <v>185</v>
      </c>
    </row>
    <row r="838" spans="1:14" x14ac:dyDescent="0.25">
      <c r="A838" t="s">
        <v>959</v>
      </c>
      <c r="B838">
        <v>3659</v>
      </c>
      <c r="C838">
        <v>379</v>
      </c>
      <c r="E838">
        <v>5</v>
      </c>
      <c r="F838" t="s">
        <v>45</v>
      </c>
      <c r="G838" t="s">
        <v>109</v>
      </c>
      <c r="H838" t="s">
        <v>15</v>
      </c>
      <c r="J838" s="1">
        <v>45465</v>
      </c>
      <c r="K838" t="s">
        <v>960</v>
      </c>
      <c r="L838" t="s">
        <v>42</v>
      </c>
      <c r="M838" t="s">
        <v>43</v>
      </c>
      <c r="N838" t="s">
        <v>262</v>
      </c>
    </row>
    <row r="839" spans="1:14" x14ac:dyDescent="0.25">
      <c r="A839" t="s">
        <v>961</v>
      </c>
      <c r="B839">
        <v>4183</v>
      </c>
      <c r="C839">
        <v>1159</v>
      </c>
      <c r="E839">
        <v>4</v>
      </c>
      <c r="F839" t="s">
        <v>30</v>
      </c>
      <c r="G839" t="s">
        <v>31</v>
      </c>
      <c r="H839" t="s">
        <v>32</v>
      </c>
      <c r="J839" s="1">
        <v>44025</v>
      </c>
      <c r="K839" t="s">
        <v>962</v>
      </c>
      <c r="L839" t="s">
        <v>21</v>
      </c>
      <c r="M839" t="s">
        <v>63</v>
      </c>
      <c r="N839" t="s">
        <v>462</v>
      </c>
    </row>
    <row r="840" spans="1:14" x14ac:dyDescent="0.25">
      <c r="A840" t="s">
        <v>963</v>
      </c>
      <c r="B840">
        <v>7478</v>
      </c>
      <c r="C840">
        <v>1381</v>
      </c>
      <c r="E840">
        <v>11</v>
      </c>
      <c r="F840" t="s">
        <v>13</v>
      </c>
      <c r="G840" t="s">
        <v>82</v>
      </c>
      <c r="H840" t="s">
        <v>40</v>
      </c>
      <c r="J840" s="1">
        <v>45398</v>
      </c>
      <c r="K840" t="s">
        <v>964</v>
      </c>
      <c r="L840" t="s">
        <v>71</v>
      </c>
      <c r="M840" t="s">
        <v>138</v>
      </c>
      <c r="N840" t="s">
        <v>235</v>
      </c>
    </row>
    <row r="841" spans="1:14" x14ac:dyDescent="0.25">
      <c r="A841" t="s">
        <v>965</v>
      </c>
      <c r="B841">
        <v>702</v>
      </c>
      <c r="C841">
        <v>238</v>
      </c>
      <c r="E841">
        <v>9</v>
      </c>
      <c r="F841" t="s">
        <v>13</v>
      </c>
      <c r="G841" t="s">
        <v>82</v>
      </c>
      <c r="H841" t="s">
        <v>65</v>
      </c>
      <c r="J841" s="1">
        <v>44268</v>
      </c>
      <c r="K841" t="s">
        <v>966</v>
      </c>
      <c r="L841" t="s">
        <v>17</v>
      </c>
      <c r="M841" t="s">
        <v>150</v>
      </c>
      <c r="N841" t="s">
        <v>167</v>
      </c>
    </row>
    <row r="842" spans="1:14" x14ac:dyDescent="0.25">
      <c r="A842" t="s">
        <v>967</v>
      </c>
      <c r="B842">
        <v>4037</v>
      </c>
      <c r="C842">
        <v>1494</v>
      </c>
      <c r="E842">
        <v>15</v>
      </c>
      <c r="F842" t="s">
        <v>45</v>
      </c>
      <c r="G842" t="s">
        <v>49</v>
      </c>
      <c r="H842" t="s">
        <v>40</v>
      </c>
      <c r="J842" s="1">
        <v>45017</v>
      </c>
      <c r="K842" t="s">
        <v>968</v>
      </c>
      <c r="L842" t="s">
        <v>42</v>
      </c>
      <c r="M842" t="s">
        <v>92</v>
      </c>
      <c r="N842" t="s">
        <v>145</v>
      </c>
    </row>
    <row r="843" spans="1:14" x14ac:dyDescent="0.25">
      <c r="A843" t="s">
        <v>969</v>
      </c>
      <c r="B843">
        <v>5014</v>
      </c>
      <c r="C843">
        <v>2332</v>
      </c>
      <c r="E843">
        <v>2</v>
      </c>
      <c r="F843" t="s">
        <v>45</v>
      </c>
      <c r="G843" t="s">
        <v>49</v>
      </c>
      <c r="H843" t="s">
        <v>65</v>
      </c>
      <c r="J843" s="1">
        <v>44145</v>
      </c>
      <c r="K843" t="s">
        <v>970</v>
      </c>
      <c r="L843" t="s">
        <v>21</v>
      </c>
      <c r="M843" t="s">
        <v>22</v>
      </c>
      <c r="N843" t="s">
        <v>80</v>
      </c>
    </row>
    <row r="844" spans="1:14" x14ac:dyDescent="0.25">
      <c r="A844" t="s">
        <v>971</v>
      </c>
      <c r="B844">
        <v>9879</v>
      </c>
      <c r="C844">
        <v>4930</v>
      </c>
      <c r="E844">
        <v>15</v>
      </c>
      <c r="F844" t="s">
        <v>13</v>
      </c>
      <c r="G844" t="s">
        <v>39</v>
      </c>
      <c r="H844" t="s">
        <v>32</v>
      </c>
      <c r="J844" s="1">
        <v>45085</v>
      </c>
      <c r="K844" t="s">
        <v>972</v>
      </c>
      <c r="L844" t="s">
        <v>25</v>
      </c>
      <c r="M844" t="s">
        <v>68</v>
      </c>
      <c r="N844" t="s">
        <v>19</v>
      </c>
    </row>
    <row r="845" spans="1:14" x14ac:dyDescent="0.25">
      <c r="A845" t="s">
        <v>973</v>
      </c>
      <c r="B845">
        <v>8762</v>
      </c>
      <c r="C845">
        <v>3502</v>
      </c>
      <c r="E845">
        <v>1</v>
      </c>
      <c r="F845" t="s">
        <v>13</v>
      </c>
      <c r="G845" t="s">
        <v>82</v>
      </c>
      <c r="H845" t="s">
        <v>32</v>
      </c>
      <c r="J845" s="1">
        <v>44425</v>
      </c>
      <c r="K845" t="s">
        <v>974</v>
      </c>
      <c r="L845" t="s">
        <v>17</v>
      </c>
      <c r="M845" t="s">
        <v>150</v>
      </c>
      <c r="N845" t="s">
        <v>178</v>
      </c>
    </row>
    <row r="846" spans="1:14" x14ac:dyDescent="0.25">
      <c r="A846" t="s">
        <v>975</v>
      </c>
      <c r="B846">
        <v>8490</v>
      </c>
      <c r="C846">
        <v>800</v>
      </c>
      <c r="E846">
        <v>1</v>
      </c>
      <c r="F846" t="s">
        <v>30</v>
      </c>
      <c r="G846" t="s">
        <v>31</v>
      </c>
      <c r="H846" t="s">
        <v>40</v>
      </c>
      <c r="J846" s="1">
        <v>43975</v>
      </c>
      <c r="K846" t="s">
        <v>976</v>
      </c>
      <c r="L846" t="s">
        <v>25</v>
      </c>
      <c r="M846" t="s">
        <v>51</v>
      </c>
      <c r="N846" t="s">
        <v>59</v>
      </c>
    </row>
    <row r="847" spans="1:14" x14ac:dyDescent="0.25">
      <c r="A847" t="s">
        <v>977</v>
      </c>
      <c r="B847">
        <v>6951</v>
      </c>
      <c r="C847">
        <v>164</v>
      </c>
      <c r="E847">
        <v>10</v>
      </c>
      <c r="F847" t="s">
        <v>45</v>
      </c>
      <c r="G847" t="s">
        <v>60</v>
      </c>
      <c r="H847" t="s">
        <v>15</v>
      </c>
      <c r="J847" s="1">
        <v>44420</v>
      </c>
      <c r="K847" t="s">
        <v>978</v>
      </c>
      <c r="L847" t="s">
        <v>25</v>
      </c>
      <c r="M847" t="s">
        <v>26</v>
      </c>
      <c r="N847" t="s">
        <v>178</v>
      </c>
    </row>
    <row r="848" spans="1:14" x14ac:dyDescent="0.25">
      <c r="A848" t="s">
        <v>979</v>
      </c>
      <c r="B848">
        <v>1078</v>
      </c>
      <c r="C848">
        <v>309</v>
      </c>
      <c r="E848">
        <v>3</v>
      </c>
      <c r="F848" t="s">
        <v>13</v>
      </c>
      <c r="G848" t="s">
        <v>82</v>
      </c>
      <c r="H848" t="s">
        <v>47</v>
      </c>
      <c r="J848" s="1">
        <v>44807</v>
      </c>
      <c r="K848" t="s">
        <v>980</v>
      </c>
      <c r="L848" t="s">
        <v>98</v>
      </c>
      <c r="M848" t="s">
        <v>117</v>
      </c>
      <c r="N848" t="s">
        <v>131</v>
      </c>
    </row>
    <row r="849" spans="1:14" x14ac:dyDescent="0.25">
      <c r="A849" t="s">
        <v>979</v>
      </c>
      <c r="B849">
        <v>1078</v>
      </c>
      <c r="C849">
        <v>309</v>
      </c>
      <c r="E849">
        <v>3</v>
      </c>
      <c r="F849" t="s">
        <v>13</v>
      </c>
      <c r="G849" t="s">
        <v>82</v>
      </c>
      <c r="H849" t="s">
        <v>47</v>
      </c>
      <c r="J849" s="1">
        <v>44105</v>
      </c>
      <c r="K849" t="s">
        <v>981</v>
      </c>
      <c r="L849" t="s">
        <v>21</v>
      </c>
      <c r="M849" t="s">
        <v>22</v>
      </c>
      <c r="N849" t="s">
        <v>119</v>
      </c>
    </row>
    <row r="850" spans="1:14" x14ac:dyDescent="0.25">
      <c r="A850" t="s">
        <v>982</v>
      </c>
      <c r="B850">
        <v>8560</v>
      </c>
      <c r="C850">
        <v>2166</v>
      </c>
      <c r="E850">
        <v>19</v>
      </c>
      <c r="F850" t="s">
        <v>30</v>
      </c>
      <c r="G850" t="s">
        <v>78</v>
      </c>
      <c r="H850" t="s">
        <v>40</v>
      </c>
      <c r="J850" s="1">
        <v>44708</v>
      </c>
      <c r="K850" t="s">
        <v>983</v>
      </c>
      <c r="L850" t="s">
        <v>17</v>
      </c>
      <c r="M850" t="s">
        <v>150</v>
      </c>
      <c r="N850" t="s">
        <v>180</v>
      </c>
    </row>
    <row r="851" spans="1:14" x14ac:dyDescent="0.25">
      <c r="A851" t="s">
        <v>982</v>
      </c>
      <c r="B851">
        <v>1031</v>
      </c>
      <c r="C851">
        <v>318</v>
      </c>
      <c r="E851">
        <v>20</v>
      </c>
      <c r="F851" t="s">
        <v>13</v>
      </c>
      <c r="G851" t="s">
        <v>14</v>
      </c>
      <c r="H851" t="s">
        <v>15</v>
      </c>
      <c r="J851" s="1">
        <v>44708</v>
      </c>
      <c r="K851" t="s">
        <v>983</v>
      </c>
      <c r="L851" t="s">
        <v>17</v>
      </c>
      <c r="M851" t="s">
        <v>150</v>
      </c>
      <c r="N851" t="s">
        <v>180</v>
      </c>
    </row>
    <row r="852" spans="1:14" x14ac:dyDescent="0.25">
      <c r="A852" t="s">
        <v>984</v>
      </c>
      <c r="B852">
        <v>6402</v>
      </c>
      <c r="C852">
        <v>2770</v>
      </c>
      <c r="E852">
        <v>19</v>
      </c>
      <c r="F852" t="s">
        <v>30</v>
      </c>
      <c r="G852" t="s">
        <v>57</v>
      </c>
      <c r="H852" t="s">
        <v>32</v>
      </c>
      <c r="J852" s="1">
        <v>45361</v>
      </c>
      <c r="K852" t="s">
        <v>985</v>
      </c>
      <c r="L852" t="s">
        <v>17</v>
      </c>
      <c r="M852" t="s">
        <v>34</v>
      </c>
      <c r="N852" t="s">
        <v>338</v>
      </c>
    </row>
    <row r="853" spans="1:14" x14ac:dyDescent="0.25">
      <c r="A853" t="s">
        <v>984</v>
      </c>
      <c r="B853">
        <v>6402</v>
      </c>
      <c r="C853">
        <v>2770</v>
      </c>
      <c r="E853">
        <v>19</v>
      </c>
      <c r="F853" t="s">
        <v>30</v>
      </c>
      <c r="G853" t="s">
        <v>57</v>
      </c>
      <c r="H853" t="s">
        <v>32</v>
      </c>
      <c r="J853" s="1">
        <v>45204</v>
      </c>
      <c r="K853" t="s">
        <v>986</v>
      </c>
      <c r="L853" t="s">
        <v>17</v>
      </c>
      <c r="M853" t="s">
        <v>34</v>
      </c>
      <c r="N853" t="s">
        <v>442</v>
      </c>
    </row>
    <row r="854" spans="1:14" x14ac:dyDescent="0.25">
      <c r="A854" t="s">
        <v>984</v>
      </c>
      <c r="B854">
        <v>5916</v>
      </c>
      <c r="C854">
        <v>1594</v>
      </c>
      <c r="E854">
        <v>19</v>
      </c>
      <c r="F854" t="s">
        <v>13</v>
      </c>
      <c r="G854" t="s">
        <v>28</v>
      </c>
      <c r="H854" t="s">
        <v>32</v>
      </c>
      <c r="J854" s="1">
        <v>45361</v>
      </c>
      <c r="K854" t="s">
        <v>985</v>
      </c>
      <c r="L854" t="s">
        <v>17</v>
      </c>
      <c r="M854" t="s">
        <v>34</v>
      </c>
      <c r="N854" t="s">
        <v>338</v>
      </c>
    </row>
    <row r="855" spans="1:14" x14ac:dyDescent="0.25">
      <c r="A855" t="s">
        <v>984</v>
      </c>
      <c r="B855">
        <v>5916</v>
      </c>
      <c r="C855">
        <v>1594</v>
      </c>
      <c r="E855">
        <v>19</v>
      </c>
      <c r="F855" t="s">
        <v>13</v>
      </c>
      <c r="G855" t="s">
        <v>28</v>
      </c>
      <c r="H855" t="s">
        <v>32</v>
      </c>
      <c r="J855" s="1">
        <v>45204</v>
      </c>
      <c r="K855" t="s">
        <v>986</v>
      </c>
      <c r="L855" t="s">
        <v>17</v>
      </c>
      <c r="M855" t="s">
        <v>34</v>
      </c>
      <c r="N855" t="s">
        <v>442</v>
      </c>
    </row>
    <row r="856" spans="1:14" x14ac:dyDescent="0.25">
      <c r="A856" t="s">
        <v>987</v>
      </c>
      <c r="B856">
        <v>4015</v>
      </c>
      <c r="C856">
        <v>1751</v>
      </c>
      <c r="E856">
        <v>15</v>
      </c>
      <c r="F856" t="s">
        <v>45</v>
      </c>
      <c r="G856" t="s">
        <v>49</v>
      </c>
      <c r="H856" t="s">
        <v>32</v>
      </c>
      <c r="J856" s="1">
        <v>44801</v>
      </c>
      <c r="K856" t="s">
        <v>988</v>
      </c>
      <c r="L856" t="s">
        <v>42</v>
      </c>
      <c r="M856" t="s">
        <v>92</v>
      </c>
      <c r="N856" t="s">
        <v>209</v>
      </c>
    </row>
    <row r="857" spans="1:14" x14ac:dyDescent="0.25">
      <c r="A857" t="s">
        <v>987</v>
      </c>
      <c r="B857">
        <v>4015</v>
      </c>
      <c r="C857">
        <v>1751</v>
      </c>
      <c r="E857">
        <v>15</v>
      </c>
      <c r="F857" t="s">
        <v>45</v>
      </c>
      <c r="G857" t="s">
        <v>49</v>
      </c>
      <c r="H857" t="s">
        <v>32</v>
      </c>
      <c r="J857" s="1">
        <v>44082</v>
      </c>
      <c r="K857" t="s">
        <v>989</v>
      </c>
      <c r="L857" t="s">
        <v>25</v>
      </c>
      <c r="M857" t="s">
        <v>51</v>
      </c>
      <c r="N857" t="s">
        <v>389</v>
      </c>
    </row>
    <row r="858" spans="1:14" x14ac:dyDescent="0.25">
      <c r="A858" t="s">
        <v>990</v>
      </c>
      <c r="B858">
        <v>9335</v>
      </c>
      <c r="C858">
        <v>557</v>
      </c>
      <c r="E858">
        <v>11</v>
      </c>
      <c r="F858" t="s">
        <v>13</v>
      </c>
      <c r="G858" t="s">
        <v>14</v>
      </c>
      <c r="H858" t="s">
        <v>65</v>
      </c>
      <c r="J858" s="1">
        <v>44313</v>
      </c>
      <c r="K858" t="s">
        <v>991</v>
      </c>
      <c r="L858" t="s">
        <v>42</v>
      </c>
      <c r="M858" t="s">
        <v>43</v>
      </c>
      <c r="N858" t="s">
        <v>139</v>
      </c>
    </row>
    <row r="859" spans="1:14" x14ac:dyDescent="0.25">
      <c r="A859" t="s">
        <v>992</v>
      </c>
      <c r="B859">
        <v>4706</v>
      </c>
      <c r="C859">
        <v>594</v>
      </c>
      <c r="E859">
        <v>11</v>
      </c>
      <c r="F859" t="s">
        <v>30</v>
      </c>
      <c r="G859" t="s">
        <v>78</v>
      </c>
      <c r="H859" t="s">
        <v>65</v>
      </c>
      <c r="J859" s="1">
        <v>44429</v>
      </c>
      <c r="K859" t="s">
        <v>993</v>
      </c>
      <c r="L859" t="s">
        <v>98</v>
      </c>
      <c r="M859" t="s">
        <v>117</v>
      </c>
      <c r="N859" t="s">
        <v>178</v>
      </c>
    </row>
    <row r="860" spans="1:14" x14ac:dyDescent="0.25">
      <c r="A860" t="s">
        <v>992</v>
      </c>
      <c r="B860">
        <v>4706</v>
      </c>
      <c r="C860">
        <v>594</v>
      </c>
      <c r="E860">
        <v>11</v>
      </c>
      <c r="F860" t="s">
        <v>30</v>
      </c>
      <c r="G860" t="s">
        <v>78</v>
      </c>
      <c r="H860" t="s">
        <v>65</v>
      </c>
      <c r="J860" s="1">
        <v>44332</v>
      </c>
      <c r="K860" t="s">
        <v>994</v>
      </c>
      <c r="L860" t="s">
        <v>98</v>
      </c>
      <c r="M860" t="s">
        <v>99</v>
      </c>
      <c r="N860" t="s">
        <v>108</v>
      </c>
    </row>
    <row r="861" spans="1:14" x14ac:dyDescent="0.25">
      <c r="A861" t="s">
        <v>992</v>
      </c>
      <c r="B861">
        <v>6584</v>
      </c>
      <c r="C861">
        <v>371</v>
      </c>
      <c r="E861">
        <v>6</v>
      </c>
      <c r="F861" t="s">
        <v>30</v>
      </c>
      <c r="G861" t="s">
        <v>57</v>
      </c>
      <c r="H861" t="s">
        <v>15</v>
      </c>
      <c r="J861" s="1">
        <v>44429</v>
      </c>
      <c r="K861" t="s">
        <v>993</v>
      </c>
      <c r="L861" t="s">
        <v>98</v>
      </c>
      <c r="M861" t="s">
        <v>117</v>
      </c>
      <c r="N861" t="s">
        <v>178</v>
      </c>
    </row>
    <row r="862" spans="1:14" x14ac:dyDescent="0.25">
      <c r="A862" t="s">
        <v>992</v>
      </c>
      <c r="B862">
        <v>6584</v>
      </c>
      <c r="C862">
        <v>371</v>
      </c>
      <c r="E862">
        <v>6</v>
      </c>
      <c r="F862" t="s">
        <v>30</v>
      </c>
      <c r="G862" t="s">
        <v>57</v>
      </c>
      <c r="H862" t="s">
        <v>15</v>
      </c>
      <c r="J862" s="1">
        <v>44332</v>
      </c>
      <c r="K862" t="s">
        <v>994</v>
      </c>
      <c r="L862" t="s">
        <v>98</v>
      </c>
      <c r="M862" t="s">
        <v>99</v>
      </c>
      <c r="N862" t="s">
        <v>108</v>
      </c>
    </row>
    <row r="863" spans="1:14" x14ac:dyDescent="0.25">
      <c r="A863" t="s">
        <v>995</v>
      </c>
      <c r="B863">
        <v>6389</v>
      </c>
      <c r="C863">
        <v>734</v>
      </c>
      <c r="E863">
        <v>1</v>
      </c>
      <c r="F863" t="s">
        <v>45</v>
      </c>
      <c r="G863" t="s">
        <v>60</v>
      </c>
      <c r="H863" t="s">
        <v>40</v>
      </c>
      <c r="J863" s="1">
        <v>44576</v>
      </c>
      <c r="K863" t="s">
        <v>996</v>
      </c>
      <c r="L863" t="s">
        <v>71</v>
      </c>
      <c r="M863" t="s">
        <v>72</v>
      </c>
      <c r="N863" t="s">
        <v>87</v>
      </c>
    </row>
    <row r="864" spans="1:14" x14ac:dyDescent="0.25">
      <c r="A864" t="s">
        <v>997</v>
      </c>
      <c r="B864">
        <v>9869</v>
      </c>
      <c r="C864">
        <v>4299</v>
      </c>
      <c r="E864">
        <v>12</v>
      </c>
      <c r="F864" t="s">
        <v>13</v>
      </c>
      <c r="G864" t="s">
        <v>28</v>
      </c>
      <c r="H864" t="s">
        <v>32</v>
      </c>
      <c r="J864" s="1">
        <v>45006</v>
      </c>
      <c r="K864" t="s">
        <v>998</v>
      </c>
      <c r="L864" t="s">
        <v>42</v>
      </c>
      <c r="M864" t="s">
        <v>75</v>
      </c>
      <c r="N864" t="s">
        <v>245</v>
      </c>
    </row>
    <row r="865" spans="1:14" x14ac:dyDescent="0.25">
      <c r="A865" t="s">
        <v>997</v>
      </c>
      <c r="B865">
        <v>9869</v>
      </c>
      <c r="C865">
        <v>4299</v>
      </c>
      <c r="E865">
        <v>12</v>
      </c>
      <c r="F865" t="s">
        <v>13</v>
      </c>
      <c r="G865" t="s">
        <v>28</v>
      </c>
      <c r="H865" t="s">
        <v>32</v>
      </c>
      <c r="J865" s="1">
        <v>45288</v>
      </c>
      <c r="K865" t="s">
        <v>999</v>
      </c>
      <c r="L865" t="s">
        <v>25</v>
      </c>
      <c r="M865" t="s">
        <v>26</v>
      </c>
      <c r="N865" t="s">
        <v>102</v>
      </c>
    </row>
    <row r="866" spans="1:14" x14ac:dyDescent="0.25">
      <c r="A866" t="s">
        <v>1000</v>
      </c>
      <c r="B866">
        <v>655</v>
      </c>
      <c r="C866">
        <v>297</v>
      </c>
      <c r="E866">
        <v>4</v>
      </c>
      <c r="F866" t="s">
        <v>30</v>
      </c>
      <c r="G866" t="s">
        <v>57</v>
      </c>
      <c r="H866" t="s">
        <v>32</v>
      </c>
      <c r="J866" s="1">
        <v>44607</v>
      </c>
      <c r="K866" t="s">
        <v>1001</v>
      </c>
      <c r="L866" t="s">
        <v>25</v>
      </c>
      <c r="M866" t="s">
        <v>26</v>
      </c>
      <c r="N866" t="s">
        <v>137</v>
      </c>
    </row>
    <row r="867" spans="1:14" x14ac:dyDescent="0.25">
      <c r="A867" t="s">
        <v>1000</v>
      </c>
      <c r="B867">
        <v>655</v>
      </c>
      <c r="C867">
        <v>297</v>
      </c>
      <c r="E867">
        <v>4</v>
      </c>
      <c r="F867" t="s">
        <v>30</v>
      </c>
      <c r="G867" t="s">
        <v>57</v>
      </c>
      <c r="H867" t="s">
        <v>32</v>
      </c>
      <c r="J867" s="1">
        <v>45260</v>
      </c>
      <c r="K867" t="s">
        <v>1002</v>
      </c>
      <c r="L867" t="s">
        <v>17</v>
      </c>
      <c r="M867" t="s">
        <v>34</v>
      </c>
      <c r="N867" t="s">
        <v>52</v>
      </c>
    </row>
    <row r="868" spans="1:14" x14ac:dyDescent="0.25">
      <c r="A868" t="s">
        <v>1003</v>
      </c>
      <c r="B868">
        <v>798</v>
      </c>
      <c r="C868">
        <v>308</v>
      </c>
      <c r="E868">
        <v>10</v>
      </c>
      <c r="F868" t="s">
        <v>13</v>
      </c>
      <c r="G868" t="s">
        <v>82</v>
      </c>
      <c r="H868" t="s">
        <v>32</v>
      </c>
      <c r="J868" s="1">
        <v>44938</v>
      </c>
      <c r="K868" t="s">
        <v>1004</v>
      </c>
      <c r="L868" t="s">
        <v>25</v>
      </c>
      <c r="M868" t="s">
        <v>26</v>
      </c>
      <c r="N868" t="s">
        <v>333</v>
      </c>
    </row>
    <row r="869" spans="1:14" x14ac:dyDescent="0.25">
      <c r="A869" t="s">
        <v>1003</v>
      </c>
      <c r="B869">
        <v>798</v>
      </c>
      <c r="C869">
        <v>308</v>
      </c>
      <c r="E869">
        <v>10</v>
      </c>
      <c r="F869" t="s">
        <v>13</v>
      </c>
      <c r="G869" t="s">
        <v>82</v>
      </c>
      <c r="H869" t="s">
        <v>32</v>
      </c>
      <c r="J869" s="1">
        <v>45065</v>
      </c>
      <c r="K869" t="s">
        <v>1005</v>
      </c>
      <c r="L869" t="s">
        <v>98</v>
      </c>
      <c r="M869" t="s">
        <v>117</v>
      </c>
      <c r="N869" t="s">
        <v>127</v>
      </c>
    </row>
    <row r="870" spans="1:14" x14ac:dyDescent="0.25">
      <c r="A870" t="s">
        <v>1003</v>
      </c>
      <c r="B870">
        <v>7967</v>
      </c>
      <c r="C870">
        <v>2504</v>
      </c>
      <c r="E870">
        <v>13</v>
      </c>
      <c r="F870" t="s">
        <v>13</v>
      </c>
      <c r="G870" t="s">
        <v>28</v>
      </c>
      <c r="H870" t="s">
        <v>40</v>
      </c>
      <c r="J870" s="1">
        <v>44938</v>
      </c>
      <c r="K870" t="s">
        <v>1004</v>
      </c>
      <c r="L870" t="s">
        <v>25</v>
      </c>
      <c r="M870" t="s">
        <v>26</v>
      </c>
      <c r="N870" t="s">
        <v>333</v>
      </c>
    </row>
    <row r="871" spans="1:14" x14ac:dyDescent="0.25">
      <c r="A871" t="s">
        <v>1003</v>
      </c>
      <c r="B871">
        <v>7967</v>
      </c>
      <c r="C871">
        <v>2504</v>
      </c>
      <c r="E871">
        <v>13</v>
      </c>
      <c r="F871" t="s">
        <v>13</v>
      </c>
      <c r="G871" t="s">
        <v>28</v>
      </c>
      <c r="H871" t="s">
        <v>40</v>
      </c>
      <c r="J871" s="1">
        <v>45065</v>
      </c>
      <c r="K871" t="s">
        <v>1005</v>
      </c>
      <c r="L871" t="s">
        <v>98</v>
      </c>
      <c r="M871" t="s">
        <v>117</v>
      </c>
      <c r="N871" t="s">
        <v>127</v>
      </c>
    </row>
    <row r="872" spans="1:14" x14ac:dyDescent="0.25">
      <c r="A872" t="s">
        <v>1006</v>
      </c>
      <c r="B872">
        <v>3756</v>
      </c>
      <c r="C872">
        <v>1318</v>
      </c>
      <c r="E872">
        <v>5</v>
      </c>
      <c r="F872" t="s">
        <v>45</v>
      </c>
      <c r="G872" t="s">
        <v>46</v>
      </c>
      <c r="H872" t="s">
        <v>15</v>
      </c>
      <c r="J872" s="1">
        <v>45341</v>
      </c>
      <c r="K872" t="s">
        <v>1007</v>
      </c>
      <c r="L872" t="s">
        <v>17</v>
      </c>
      <c r="M872" t="s">
        <v>18</v>
      </c>
      <c r="N872" t="s">
        <v>218</v>
      </c>
    </row>
    <row r="873" spans="1:14" x14ac:dyDescent="0.25">
      <c r="A873" t="s">
        <v>1008</v>
      </c>
      <c r="B873">
        <v>5196</v>
      </c>
      <c r="C873">
        <v>2477</v>
      </c>
      <c r="E873">
        <v>1</v>
      </c>
      <c r="F873" t="s">
        <v>30</v>
      </c>
      <c r="G873" t="s">
        <v>57</v>
      </c>
      <c r="H873" t="s">
        <v>15</v>
      </c>
      <c r="J873" s="1">
        <v>44531</v>
      </c>
      <c r="K873" t="s">
        <v>1009</v>
      </c>
      <c r="L873" t="s">
        <v>71</v>
      </c>
      <c r="M873" t="s">
        <v>86</v>
      </c>
      <c r="N873" t="s">
        <v>90</v>
      </c>
    </row>
    <row r="874" spans="1:14" x14ac:dyDescent="0.25">
      <c r="A874" t="s">
        <v>1008</v>
      </c>
      <c r="B874">
        <v>6586</v>
      </c>
      <c r="C874">
        <v>1794</v>
      </c>
      <c r="E874">
        <v>19</v>
      </c>
      <c r="F874" t="s">
        <v>45</v>
      </c>
      <c r="G874" t="s">
        <v>109</v>
      </c>
      <c r="H874" t="s">
        <v>32</v>
      </c>
      <c r="J874" s="1">
        <v>44531</v>
      </c>
      <c r="K874" t="s">
        <v>1009</v>
      </c>
      <c r="L874" t="s">
        <v>71</v>
      </c>
      <c r="M874" t="s">
        <v>86</v>
      </c>
      <c r="N874" t="s">
        <v>90</v>
      </c>
    </row>
    <row r="875" spans="1:14" x14ac:dyDescent="0.25">
      <c r="A875" t="s">
        <v>1010</v>
      </c>
      <c r="B875">
        <v>6673</v>
      </c>
      <c r="C875">
        <v>950</v>
      </c>
      <c r="E875">
        <v>19</v>
      </c>
      <c r="F875" t="s">
        <v>30</v>
      </c>
      <c r="G875" t="s">
        <v>57</v>
      </c>
      <c r="H875" t="s">
        <v>40</v>
      </c>
      <c r="J875" s="1">
        <v>45645</v>
      </c>
      <c r="K875" t="s">
        <v>1011</v>
      </c>
      <c r="L875" t="s">
        <v>25</v>
      </c>
      <c r="M875" t="s">
        <v>26</v>
      </c>
      <c r="N875" t="s">
        <v>23</v>
      </c>
    </row>
    <row r="876" spans="1:14" x14ac:dyDescent="0.25">
      <c r="A876" t="s">
        <v>1012</v>
      </c>
      <c r="B876">
        <v>714</v>
      </c>
      <c r="C876">
        <v>232</v>
      </c>
      <c r="E876">
        <v>14</v>
      </c>
      <c r="F876" t="s">
        <v>45</v>
      </c>
      <c r="G876" t="s">
        <v>46</v>
      </c>
      <c r="H876" t="s">
        <v>15</v>
      </c>
      <c r="J876" s="1">
        <v>44944</v>
      </c>
      <c r="K876" t="s">
        <v>1013</v>
      </c>
      <c r="L876" t="s">
        <v>98</v>
      </c>
      <c r="M876" t="s">
        <v>99</v>
      </c>
      <c r="N876" t="s">
        <v>333</v>
      </c>
    </row>
    <row r="877" spans="1:14" x14ac:dyDescent="0.25">
      <c r="A877" t="s">
        <v>1012</v>
      </c>
      <c r="B877">
        <v>714</v>
      </c>
      <c r="C877">
        <v>232</v>
      </c>
      <c r="E877">
        <v>14</v>
      </c>
      <c r="F877" t="s">
        <v>45</v>
      </c>
      <c r="G877" t="s">
        <v>46</v>
      </c>
      <c r="H877" t="s">
        <v>15</v>
      </c>
      <c r="J877" s="1">
        <v>44188</v>
      </c>
      <c r="K877" t="s">
        <v>1014</v>
      </c>
      <c r="L877" t="s">
        <v>71</v>
      </c>
      <c r="M877" t="s">
        <v>86</v>
      </c>
      <c r="N877" t="s">
        <v>287</v>
      </c>
    </row>
    <row r="878" spans="1:14" x14ac:dyDescent="0.25">
      <c r="A878" t="s">
        <v>1015</v>
      </c>
      <c r="B878">
        <v>1083</v>
      </c>
      <c r="C878">
        <v>501</v>
      </c>
      <c r="E878">
        <v>6</v>
      </c>
      <c r="F878" t="s">
        <v>30</v>
      </c>
      <c r="G878" t="s">
        <v>31</v>
      </c>
      <c r="H878" t="s">
        <v>65</v>
      </c>
      <c r="J878" s="1">
        <v>44255</v>
      </c>
      <c r="K878" t="s">
        <v>1016</v>
      </c>
      <c r="L878" t="s">
        <v>71</v>
      </c>
      <c r="M878" t="s">
        <v>86</v>
      </c>
      <c r="N878" t="s">
        <v>292</v>
      </c>
    </row>
    <row r="879" spans="1:14" x14ac:dyDescent="0.25">
      <c r="A879" t="s">
        <v>1017</v>
      </c>
      <c r="B879">
        <v>2401</v>
      </c>
      <c r="C879">
        <v>1163</v>
      </c>
      <c r="E879">
        <v>10</v>
      </c>
      <c r="F879" t="s">
        <v>45</v>
      </c>
      <c r="G879" t="s">
        <v>109</v>
      </c>
      <c r="H879" t="s">
        <v>15</v>
      </c>
      <c r="J879" s="1">
        <v>45050</v>
      </c>
      <c r="K879" t="s">
        <v>1018</v>
      </c>
      <c r="L879" t="s">
        <v>98</v>
      </c>
      <c r="M879" t="s">
        <v>117</v>
      </c>
      <c r="N879" t="s">
        <v>127</v>
      </c>
    </row>
    <row r="880" spans="1:14" x14ac:dyDescent="0.25">
      <c r="A880" t="s">
        <v>1017</v>
      </c>
      <c r="B880">
        <v>2401</v>
      </c>
      <c r="C880">
        <v>1163</v>
      </c>
      <c r="E880">
        <v>10</v>
      </c>
      <c r="F880" t="s">
        <v>45</v>
      </c>
      <c r="G880" t="s">
        <v>109</v>
      </c>
      <c r="H880" t="s">
        <v>15</v>
      </c>
      <c r="J880" s="1">
        <v>43943</v>
      </c>
      <c r="K880" t="s">
        <v>1019</v>
      </c>
      <c r="L880" t="s">
        <v>42</v>
      </c>
      <c r="M880" t="s">
        <v>43</v>
      </c>
      <c r="N880" t="s">
        <v>162</v>
      </c>
    </row>
    <row r="881" spans="1:14" x14ac:dyDescent="0.25">
      <c r="A881" t="s">
        <v>1017</v>
      </c>
      <c r="B881">
        <v>2401</v>
      </c>
      <c r="C881">
        <v>1163</v>
      </c>
      <c r="E881">
        <v>10</v>
      </c>
      <c r="F881" t="s">
        <v>45</v>
      </c>
      <c r="G881" t="s">
        <v>109</v>
      </c>
      <c r="H881" t="s">
        <v>15</v>
      </c>
      <c r="J881" s="1">
        <v>44421</v>
      </c>
      <c r="K881" t="s">
        <v>1020</v>
      </c>
      <c r="L881" t="s">
        <v>25</v>
      </c>
      <c r="M881" t="s">
        <v>68</v>
      </c>
      <c r="N881" t="s">
        <v>178</v>
      </c>
    </row>
    <row r="882" spans="1:14" x14ac:dyDescent="0.25">
      <c r="A882" t="s">
        <v>1017</v>
      </c>
      <c r="B882">
        <v>1045</v>
      </c>
      <c r="C882">
        <v>267</v>
      </c>
      <c r="E882">
        <v>11</v>
      </c>
      <c r="F882" t="s">
        <v>13</v>
      </c>
      <c r="G882" t="s">
        <v>82</v>
      </c>
      <c r="H882" t="s">
        <v>32</v>
      </c>
      <c r="J882" s="1">
        <v>45050</v>
      </c>
      <c r="K882" t="s">
        <v>1018</v>
      </c>
      <c r="L882" t="s">
        <v>98</v>
      </c>
      <c r="M882" t="s">
        <v>117</v>
      </c>
      <c r="N882" t="s">
        <v>127</v>
      </c>
    </row>
    <row r="883" spans="1:14" x14ac:dyDescent="0.25">
      <c r="A883" t="s">
        <v>1017</v>
      </c>
      <c r="B883">
        <v>1045</v>
      </c>
      <c r="C883">
        <v>267</v>
      </c>
      <c r="E883">
        <v>11</v>
      </c>
      <c r="F883" t="s">
        <v>13</v>
      </c>
      <c r="G883" t="s">
        <v>82</v>
      </c>
      <c r="H883" t="s">
        <v>32</v>
      </c>
      <c r="J883" s="1">
        <v>43943</v>
      </c>
      <c r="K883" t="s">
        <v>1019</v>
      </c>
      <c r="L883" t="s">
        <v>42</v>
      </c>
      <c r="M883" t="s">
        <v>43</v>
      </c>
      <c r="N883" t="s">
        <v>162</v>
      </c>
    </row>
    <row r="884" spans="1:14" x14ac:dyDescent="0.25">
      <c r="A884" t="s">
        <v>1017</v>
      </c>
      <c r="B884">
        <v>1045</v>
      </c>
      <c r="C884">
        <v>267</v>
      </c>
      <c r="E884">
        <v>11</v>
      </c>
      <c r="F884" t="s">
        <v>13</v>
      </c>
      <c r="G884" t="s">
        <v>82</v>
      </c>
      <c r="H884" t="s">
        <v>32</v>
      </c>
      <c r="J884" s="1">
        <v>44421</v>
      </c>
      <c r="K884" t="s">
        <v>1020</v>
      </c>
      <c r="L884" t="s">
        <v>25</v>
      </c>
      <c r="M884" t="s">
        <v>68</v>
      </c>
      <c r="N884" t="s">
        <v>178</v>
      </c>
    </row>
    <row r="885" spans="1:14" x14ac:dyDescent="0.25">
      <c r="A885" t="s">
        <v>1021</v>
      </c>
      <c r="B885">
        <v>7806</v>
      </c>
      <c r="C885">
        <v>1127</v>
      </c>
      <c r="E885">
        <v>1</v>
      </c>
      <c r="F885" t="s">
        <v>30</v>
      </c>
      <c r="G885" t="s">
        <v>57</v>
      </c>
      <c r="H885" t="s">
        <v>47</v>
      </c>
      <c r="J885" s="1">
        <v>45127</v>
      </c>
      <c r="K885" t="s">
        <v>1022</v>
      </c>
      <c r="L885" t="s">
        <v>71</v>
      </c>
      <c r="M885" t="s">
        <v>72</v>
      </c>
      <c r="N885" t="s">
        <v>105</v>
      </c>
    </row>
    <row r="886" spans="1:14" x14ac:dyDescent="0.25">
      <c r="A886" t="s">
        <v>1023</v>
      </c>
      <c r="B886">
        <v>5263</v>
      </c>
      <c r="C886">
        <v>1743</v>
      </c>
      <c r="E886">
        <v>19</v>
      </c>
      <c r="F886" t="s">
        <v>45</v>
      </c>
      <c r="G886" t="s">
        <v>60</v>
      </c>
      <c r="H886" t="s">
        <v>47</v>
      </c>
      <c r="J886" s="1">
        <v>44801</v>
      </c>
      <c r="K886" t="s">
        <v>1024</v>
      </c>
      <c r="L886" t="s">
        <v>17</v>
      </c>
      <c r="M886" t="s">
        <v>18</v>
      </c>
      <c r="N886" t="s">
        <v>209</v>
      </c>
    </row>
    <row r="887" spans="1:14" x14ac:dyDescent="0.25">
      <c r="A887" t="s">
        <v>1025</v>
      </c>
      <c r="B887">
        <v>6147</v>
      </c>
      <c r="C887">
        <v>2526</v>
      </c>
      <c r="E887">
        <v>6</v>
      </c>
      <c r="F887" t="s">
        <v>30</v>
      </c>
      <c r="G887" t="s">
        <v>31</v>
      </c>
      <c r="H887" t="s">
        <v>32</v>
      </c>
      <c r="J887" s="1">
        <v>44999</v>
      </c>
      <c r="K887" t="s">
        <v>1026</v>
      </c>
      <c r="L887" t="s">
        <v>71</v>
      </c>
      <c r="M887" t="s">
        <v>72</v>
      </c>
      <c r="N887" t="s">
        <v>245</v>
      </c>
    </row>
    <row r="888" spans="1:14" x14ac:dyDescent="0.25">
      <c r="A888" t="s">
        <v>1027</v>
      </c>
      <c r="B888">
        <v>7484</v>
      </c>
      <c r="C888">
        <v>2871</v>
      </c>
      <c r="E888">
        <v>15</v>
      </c>
      <c r="F888" t="s">
        <v>13</v>
      </c>
      <c r="G888" t="s">
        <v>82</v>
      </c>
      <c r="H888" t="s">
        <v>15</v>
      </c>
      <c r="J888" s="1">
        <v>45237</v>
      </c>
      <c r="K888" t="s">
        <v>1028</v>
      </c>
      <c r="L888" t="s">
        <v>17</v>
      </c>
      <c r="M888" t="s">
        <v>34</v>
      </c>
      <c r="N888" t="s">
        <v>52</v>
      </c>
    </row>
    <row r="889" spans="1:14" x14ac:dyDescent="0.25">
      <c r="A889" t="s">
        <v>1027</v>
      </c>
      <c r="B889">
        <v>7484</v>
      </c>
      <c r="C889">
        <v>2871</v>
      </c>
      <c r="E889">
        <v>15</v>
      </c>
      <c r="F889" t="s">
        <v>13</v>
      </c>
      <c r="G889" t="s">
        <v>82</v>
      </c>
      <c r="H889" t="s">
        <v>15</v>
      </c>
      <c r="J889" s="1">
        <v>45398</v>
      </c>
      <c r="K889" t="s">
        <v>1029</v>
      </c>
      <c r="L889" t="s">
        <v>21</v>
      </c>
      <c r="M889" t="s">
        <v>22</v>
      </c>
      <c r="N889" t="s">
        <v>235</v>
      </c>
    </row>
    <row r="890" spans="1:14" x14ac:dyDescent="0.25">
      <c r="A890" t="s">
        <v>1027</v>
      </c>
      <c r="B890">
        <v>7700</v>
      </c>
      <c r="C890">
        <v>2712</v>
      </c>
      <c r="E890">
        <v>1</v>
      </c>
      <c r="F890" t="s">
        <v>45</v>
      </c>
      <c r="G890" t="s">
        <v>60</v>
      </c>
      <c r="H890" t="s">
        <v>47</v>
      </c>
      <c r="J890" s="1">
        <v>45237</v>
      </c>
      <c r="K890" t="s">
        <v>1028</v>
      </c>
      <c r="L890" t="s">
        <v>17</v>
      </c>
      <c r="M890" t="s">
        <v>34</v>
      </c>
      <c r="N890" t="s">
        <v>52</v>
      </c>
    </row>
    <row r="891" spans="1:14" x14ac:dyDescent="0.25">
      <c r="A891" t="s">
        <v>1027</v>
      </c>
      <c r="B891">
        <v>7700</v>
      </c>
      <c r="C891">
        <v>2712</v>
      </c>
      <c r="E891">
        <v>1</v>
      </c>
      <c r="F891" t="s">
        <v>45</v>
      </c>
      <c r="G891" t="s">
        <v>60</v>
      </c>
      <c r="H891" t="s">
        <v>47</v>
      </c>
      <c r="J891" s="1">
        <v>45398</v>
      </c>
      <c r="K891" t="s">
        <v>1029</v>
      </c>
      <c r="L891" t="s">
        <v>21</v>
      </c>
      <c r="M891" t="s">
        <v>22</v>
      </c>
      <c r="N891" t="s">
        <v>235</v>
      </c>
    </row>
    <row r="892" spans="1:14" x14ac:dyDescent="0.25">
      <c r="A892" t="s">
        <v>1030</v>
      </c>
      <c r="B892">
        <v>8537</v>
      </c>
      <c r="C892">
        <v>3586</v>
      </c>
      <c r="E892">
        <v>13</v>
      </c>
      <c r="F892" t="s">
        <v>30</v>
      </c>
      <c r="G892" t="s">
        <v>57</v>
      </c>
      <c r="H892" t="s">
        <v>15</v>
      </c>
      <c r="J892" s="1">
        <v>44820</v>
      </c>
      <c r="K892" t="s">
        <v>1031</v>
      </c>
      <c r="L892" t="s">
        <v>25</v>
      </c>
      <c r="M892" t="s">
        <v>68</v>
      </c>
      <c r="N892" t="s">
        <v>131</v>
      </c>
    </row>
    <row r="893" spans="1:14" x14ac:dyDescent="0.25">
      <c r="A893" t="s">
        <v>1032</v>
      </c>
      <c r="B893">
        <v>8858</v>
      </c>
      <c r="C893">
        <v>3394</v>
      </c>
      <c r="E893">
        <v>6</v>
      </c>
      <c r="F893" t="s">
        <v>45</v>
      </c>
      <c r="G893" t="s">
        <v>49</v>
      </c>
      <c r="H893" t="s">
        <v>65</v>
      </c>
      <c r="J893" s="1">
        <v>45596</v>
      </c>
      <c r="K893" t="s">
        <v>1033</v>
      </c>
      <c r="L893" t="s">
        <v>42</v>
      </c>
      <c r="M893" t="s">
        <v>75</v>
      </c>
      <c r="N893" t="s">
        <v>360</v>
      </c>
    </row>
    <row r="894" spans="1:14" x14ac:dyDescent="0.25">
      <c r="A894" t="s">
        <v>1034</v>
      </c>
      <c r="B894">
        <v>5313</v>
      </c>
      <c r="C894">
        <v>2037</v>
      </c>
      <c r="E894">
        <v>7</v>
      </c>
      <c r="F894" t="s">
        <v>13</v>
      </c>
      <c r="G894" t="s">
        <v>28</v>
      </c>
      <c r="H894" t="s">
        <v>32</v>
      </c>
      <c r="J894" s="1">
        <v>45621</v>
      </c>
      <c r="K894" t="s">
        <v>1035</v>
      </c>
      <c r="L894" t="s">
        <v>42</v>
      </c>
      <c r="M894" t="s">
        <v>92</v>
      </c>
      <c r="N894" t="s">
        <v>255</v>
      </c>
    </row>
    <row r="895" spans="1:14" x14ac:dyDescent="0.25">
      <c r="A895" t="s">
        <v>1034</v>
      </c>
      <c r="B895">
        <v>5313</v>
      </c>
      <c r="C895">
        <v>2037</v>
      </c>
      <c r="E895">
        <v>7</v>
      </c>
      <c r="F895" t="s">
        <v>13</v>
      </c>
      <c r="G895" t="s">
        <v>28</v>
      </c>
      <c r="H895" t="s">
        <v>32</v>
      </c>
      <c r="J895" s="1">
        <v>44498</v>
      </c>
      <c r="K895" t="s">
        <v>1036</v>
      </c>
      <c r="L895" t="s">
        <v>71</v>
      </c>
      <c r="M895" t="s">
        <v>138</v>
      </c>
      <c r="N895" t="s">
        <v>37</v>
      </c>
    </row>
    <row r="896" spans="1:14" x14ac:dyDescent="0.25">
      <c r="A896" t="s">
        <v>1037</v>
      </c>
      <c r="B896">
        <v>3281</v>
      </c>
      <c r="C896">
        <v>471</v>
      </c>
      <c r="E896">
        <v>7</v>
      </c>
      <c r="F896" t="s">
        <v>45</v>
      </c>
      <c r="G896" t="s">
        <v>60</v>
      </c>
      <c r="H896" t="s">
        <v>40</v>
      </c>
      <c r="J896" s="1">
        <v>45287</v>
      </c>
      <c r="K896" t="s">
        <v>1038</v>
      </c>
      <c r="L896" t="s">
        <v>42</v>
      </c>
      <c r="M896" t="s">
        <v>43</v>
      </c>
      <c r="N896" t="s">
        <v>102</v>
      </c>
    </row>
    <row r="897" spans="1:14" x14ac:dyDescent="0.25">
      <c r="A897" t="s">
        <v>1037</v>
      </c>
      <c r="B897">
        <v>3281</v>
      </c>
      <c r="C897">
        <v>471</v>
      </c>
      <c r="E897">
        <v>7</v>
      </c>
      <c r="F897" t="s">
        <v>45</v>
      </c>
      <c r="G897" t="s">
        <v>60</v>
      </c>
      <c r="H897" t="s">
        <v>40</v>
      </c>
      <c r="J897" s="1">
        <v>45102</v>
      </c>
      <c r="K897" t="s">
        <v>1039</v>
      </c>
      <c r="L897" t="s">
        <v>21</v>
      </c>
      <c r="M897" t="s">
        <v>172</v>
      </c>
      <c r="N897" t="s">
        <v>19</v>
      </c>
    </row>
    <row r="898" spans="1:14" x14ac:dyDescent="0.25">
      <c r="A898" t="s">
        <v>1040</v>
      </c>
      <c r="B898">
        <v>8681</v>
      </c>
      <c r="C898">
        <v>2458</v>
      </c>
      <c r="E898">
        <v>9</v>
      </c>
      <c r="F898" t="s">
        <v>30</v>
      </c>
      <c r="G898" t="s">
        <v>31</v>
      </c>
      <c r="H898" t="s">
        <v>47</v>
      </c>
      <c r="J898" s="1">
        <v>44075</v>
      </c>
      <c r="K898" t="s">
        <v>1041</v>
      </c>
      <c r="L898" t="s">
        <v>25</v>
      </c>
      <c r="M898" t="s">
        <v>51</v>
      </c>
      <c r="N898" t="s">
        <v>389</v>
      </c>
    </row>
    <row r="899" spans="1:14" x14ac:dyDescent="0.25">
      <c r="A899" t="s">
        <v>1042</v>
      </c>
      <c r="B899">
        <v>6195</v>
      </c>
      <c r="C899">
        <v>1556</v>
      </c>
      <c r="E899">
        <v>18</v>
      </c>
      <c r="F899" t="s">
        <v>45</v>
      </c>
      <c r="G899" t="s">
        <v>60</v>
      </c>
      <c r="H899" t="s">
        <v>40</v>
      </c>
      <c r="J899" s="1">
        <v>45689</v>
      </c>
      <c r="K899" t="s">
        <v>1043</v>
      </c>
      <c r="L899" t="s">
        <v>21</v>
      </c>
      <c r="M899" t="s">
        <v>63</v>
      </c>
      <c r="N899" t="s">
        <v>73</v>
      </c>
    </row>
    <row r="900" spans="1:14" x14ac:dyDescent="0.25">
      <c r="A900" t="s">
        <v>1044</v>
      </c>
      <c r="B900">
        <v>3877</v>
      </c>
      <c r="C900">
        <v>481</v>
      </c>
      <c r="E900">
        <v>16</v>
      </c>
      <c r="F900" t="s">
        <v>45</v>
      </c>
      <c r="G900" t="s">
        <v>49</v>
      </c>
      <c r="H900" t="s">
        <v>32</v>
      </c>
      <c r="J900" s="1">
        <v>45129</v>
      </c>
      <c r="K900" t="s">
        <v>1045</v>
      </c>
      <c r="L900" t="s">
        <v>25</v>
      </c>
      <c r="M900" t="s">
        <v>68</v>
      </c>
      <c r="N900" t="s">
        <v>105</v>
      </c>
    </row>
    <row r="901" spans="1:14" x14ac:dyDescent="0.25">
      <c r="A901" t="s">
        <v>1044</v>
      </c>
      <c r="B901">
        <v>3877</v>
      </c>
      <c r="C901">
        <v>481</v>
      </c>
      <c r="E901">
        <v>16</v>
      </c>
      <c r="F901" t="s">
        <v>45</v>
      </c>
      <c r="G901" t="s">
        <v>49</v>
      </c>
      <c r="H901" t="s">
        <v>32</v>
      </c>
      <c r="J901" s="1">
        <v>44596</v>
      </c>
      <c r="K901" t="s">
        <v>1046</v>
      </c>
      <c r="L901" t="s">
        <v>25</v>
      </c>
      <c r="M901" t="s">
        <v>51</v>
      </c>
      <c r="N901" t="s">
        <v>137</v>
      </c>
    </row>
    <row r="902" spans="1:14" x14ac:dyDescent="0.25">
      <c r="A902" t="s">
        <v>1047</v>
      </c>
      <c r="B902">
        <v>9369</v>
      </c>
      <c r="C902">
        <v>3297</v>
      </c>
      <c r="E902">
        <v>6</v>
      </c>
      <c r="F902" t="s">
        <v>13</v>
      </c>
      <c r="G902" t="s">
        <v>28</v>
      </c>
      <c r="H902" t="s">
        <v>32</v>
      </c>
      <c r="J902" s="1">
        <v>45196</v>
      </c>
      <c r="K902" t="s">
        <v>1048</v>
      </c>
      <c r="L902" t="s">
        <v>17</v>
      </c>
      <c r="M902" t="s">
        <v>34</v>
      </c>
      <c r="N902" t="s">
        <v>273</v>
      </c>
    </row>
    <row r="903" spans="1:14" x14ac:dyDescent="0.25">
      <c r="A903" t="s">
        <v>1047</v>
      </c>
      <c r="B903">
        <v>9369</v>
      </c>
      <c r="C903">
        <v>3297</v>
      </c>
      <c r="E903">
        <v>6</v>
      </c>
      <c r="F903" t="s">
        <v>13</v>
      </c>
      <c r="G903" t="s">
        <v>28</v>
      </c>
      <c r="H903" t="s">
        <v>32</v>
      </c>
      <c r="J903" s="1">
        <v>45687</v>
      </c>
      <c r="K903" t="s">
        <v>1049</v>
      </c>
      <c r="L903" t="s">
        <v>25</v>
      </c>
      <c r="M903" t="s">
        <v>51</v>
      </c>
      <c r="N903" t="s">
        <v>308</v>
      </c>
    </row>
    <row r="904" spans="1:14" x14ac:dyDescent="0.25">
      <c r="A904" t="s">
        <v>1047</v>
      </c>
      <c r="B904">
        <v>8680</v>
      </c>
      <c r="C904">
        <v>4068</v>
      </c>
      <c r="E904">
        <v>20</v>
      </c>
      <c r="F904" t="s">
        <v>13</v>
      </c>
      <c r="G904" t="s">
        <v>28</v>
      </c>
      <c r="H904" t="s">
        <v>47</v>
      </c>
      <c r="J904" s="1">
        <v>45196</v>
      </c>
      <c r="K904" t="s">
        <v>1048</v>
      </c>
      <c r="L904" t="s">
        <v>17</v>
      </c>
      <c r="M904" t="s">
        <v>34</v>
      </c>
      <c r="N904" t="s">
        <v>273</v>
      </c>
    </row>
    <row r="905" spans="1:14" x14ac:dyDescent="0.25">
      <c r="A905" t="s">
        <v>1047</v>
      </c>
      <c r="B905">
        <v>8680</v>
      </c>
      <c r="C905">
        <v>4068</v>
      </c>
      <c r="E905">
        <v>20</v>
      </c>
      <c r="F905" t="s">
        <v>13</v>
      </c>
      <c r="G905" t="s">
        <v>28</v>
      </c>
      <c r="H905" t="s">
        <v>47</v>
      </c>
      <c r="J905" s="1">
        <v>45687</v>
      </c>
      <c r="K905" t="s">
        <v>1049</v>
      </c>
      <c r="L905" t="s">
        <v>25</v>
      </c>
      <c r="M905" t="s">
        <v>51</v>
      </c>
      <c r="N905" t="s">
        <v>308</v>
      </c>
    </row>
    <row r="906" spans="1:14" x14ac:dyDescent="0.25">
      <c r="A906" t="s">
        <v>1047</v>
      </c>
      <c r="B906">
        <v>3067</v>
      </c>
      <c r="C906">
        <v>1475</v>
      </c>
      <c r="E906">
        <v>8</v>
      </c>
      <c r="F906" t="s">
        <v>13</v>
      </c>
      <c r="G906" t="s">
        <v>39</v>
      </c>
      <c r="H906" t="s">
        <v>15</v>
      </c>
      <c r="J906" s="1">
        <v>45196</v>
      </c>
      <c r="K906" t="s">
        <v>1048</v>
      </c>
      <c r="L906" t="s">
        <v>17</v>
      </c>
      <c r="M906" t="s">
        <v>34</v>
      </c>
      <c r="N906" t="s">
        <v>273</v>
      </c>
    </row>
    <row r="907" spans="1:14" x14ac:dyDescent="0.25">
      <c r="A907" t="s">
        <v>1047</v>
      </c>
      <c r="B907">
        <v>3067</v>
      </c>
      <c r="C907">
        <v>1475</v>
      </c>
      <c r="E907">
        <v>8</v>
      </c>
      <c r="F907" t="s">
        <v>13</v>
      </c>
      <c r="G907" t="s">
        <v>39</v>
      </c>
      <c r="H907" t="s">
        <v>15</v>
      </c>
      <c r="J907" s="1">
        <v>45687</v>
      </c>
      <c r="K907" t="s">
        <v>1049</v>
      </c>
      <c r="L907" t="s">
        <v>25</v>
      </c>
      <c r="M907" t="s">
        <v>51</v>
      </c>
      <c r="N907" t="s">
        <v>308</v>
      </c>
    </row>
    <row r="908" spans="1:14" x14ac:dyDescent="0.25">
      <c r="A908" t="s">
        <v>1050</v>
      </c>
      <c r="B908">
        <v>9002</v>
      </c>
      <c r="C908">
        <v>4197</v>
      </c>
      <c r="E908">
        <v>2</v>
      </c>
      <c r="F908" t="s">
        <v>30</v>
      </c>
      <c r="G908" t="s">
        <v>57</v>
      </c>
      <c r="H908" t="s">
        <v>40</v>
      </c>
      <c r="J908" s="1">
        <v>45672</v>
      </c>
      <c r="K908" t="s">
        <v>1051</v>
      </c>
      <c r="L908" t="s">
        <v>98</v>
      </c>
      <c r="M908" t="s">
        <v>107</v>
      </c>
      <c r="N908" t="s">
        <v>308</v>
      </c>
    </row>
    <row r="909" spans="1:14" x14ac:dyDescent="0.25">
      <c r="A909" t="s">
        <v>1050</v>
      </c>
      <c r="B909">
        <v>9002</v>
      </c>
      <c r="C909">
        <v>4197</v>
      </c>
      <c r="E909">
        <v>2</v>
      </c>
      <c r="F909" t="s">
        <v>30</v>
      </c>
      <c r="G909" t="s">
        <v>57</v>
      </c>
      <c r="H909" t="s">
        <v>40</v>
      </c>
      <c r="J909" s="1">
        <v>44283</v>
      </c>
      <c r="K909" t="s">
        <v>1052</v>
      </c>
      <c r="L909" t="s">
        <v>98</v>
      </c>
      <c r="M909" t="s">
        <v>99</v>
      </c>
      <c r="N909" t="s">
        <v>167</v>
      </c>
    </row>
    <row r="910" spans="1:14" x14ac:dyDescent="0.25">
      <c r="A910" t="s">
        <v>1053</v>
      </c>
      <c r="B910">
        <v>7105</v>
      </c>
      <c r="C910">
        <v>2782</v>
      </c>
      <c r="E910">
        <v>19</v>
      </c>
      <c r="F910" t="s">
        <v>30</v>
      </c>
      <c r="G910" t="s">
        <v>31</v>
      </c>
      <c r="H910" t="s">
        <v>65</v>
      </c>
      <c r="J910" s="1">
        <v>44555</v>
      </c>
      <c r="K910" t="s">
        <v>1054</v>
      </c>
      <c r="L910" t="s">
        <v>98</v>
      </c>
      <c r="M910" t="s">
        <v>99</v>
      </c>
      <c r="N910" t="s">
        <v>90</v>
      </c>
    </row>
    <row r="911" spans="1:14" x14ac:dyDescent="0.25">
      <c r="A911" t="s">
        <v>1055</v>
      </c>
      <c r="B911">
        <v>5317</v>
      </c>
      <c r="C911">
        <v>1345</v>
      </c>
      <c r="E911">
        <v>18</v>
      </c>
      <c r="F911" t="s">
        <v>45</v>
      </c>
      <c r="G911" t="s">
        <v>49</v>
      </c>
      <c r="H911" t="s">
        <v>32</v>
      </c>
      <c r="J911" s="1">
        <v>44960</v>
      </c>
      <c r="K911" t="s">
        <v>1056</v>
      </c>
      <c r="L911" t="s">
        <v>98</v>
      </c>
      <c r="M911" t="s">
        <v>99</v>
      </c>
      <c r="N911" t="s">
        <v>93</v>
      </c>
    </row>
    <row r="912" spans="1:14" x14ac:dyDescent="0.25">
      <c r="A912" t="s">
        <v>1055</v>
      </c>
      <c r="B912">
        <v>5317</v>
      </c>
      <c r="C912">
        <v>1345</v>
      </c>
      <c r="E912">
        <v>18</v>
      </c>
      <c r="F912" t="s">
        <v>45</v>
      </c>
      <c r="G912" t="s">
        <v>49</v>
      </c>
      <c r="H912" t="s">
        <v>32</v>
      </c>
      <c r="J912" s="1">
        <v>45044</v>
      </c>
      <c r="K912" t="s">
        <v>1057</v>
      </c>
      <c r="L912" t="s">
        <v>17</v>
      </c>
      <c r="M912" t="s">
        <v>34</v>
      </c>
      <c r="N912" t="s">
        <v>145</v>
      </c>
    </row>
    <row r="913" spans="1:14" x14ac:dyDescent="0.25">
      <c r="A913" t="s">
        <v>1055</v>
      </c>
      <c r="B913">
        <v>5317</v>
      </c>
      <c r="C913">
        <v>1345</v>
      </c>
      <c r="E913">
        <v>18</v>
      </c>
      <c r="F913" t="s">
        <v>45</v>
      </c>
      <c r="G913" t="s">
        <v>49</v>
      </c>
      <c r="H913" t="s">
        <v>32</v>
      </c>
      <c r="J913" s="1">
        <v>45618</v>
      </c>
      <c r="K913" t="s">
        <v>1058</v>
      </c>
      <c r="L913" t="s">
        <v>42</v>
      </c>
      <c r="M913" t="s">
        <v>92</v>
      </c>
      <c r="N913" t="s">
        <v>255</v>
      </c>
    </row>
    <row r="914" spans="1:14" x14ac:dyDescent="0.25">
      <c r="A914" t="s">
        <v>1055</v>
      </c>
      <c r="B914">
        <v>6304</v>
      </c>
      <c r="C914">
        <v>766</v>
      </c>
      <c r="E914">
        <v>14</v>
      </c>
      <c r="F914" t="s">
        <v>45</v>
      </c>
      <c r="G914" t="s">
        <v>46</v>
      </c>
      <c r="H914" t="s">
        <v>40</v>
      </c>
      <c r="J914" s="1">
        <v>44960</v>
      </c>
      <c r="K914" t="s">
        <v>1056</v>
      </c>
      <c r="L914" t="s">
        <v>98</v>
      </c>
      <c r="M914" t="s">
        <v>99</v>
      </c>
      <c r="N914" t="s">
        <v>93</v>
      </c>
    </row>
    <row r="915" spans="1:14" x14ac:dyDescent="0.25">
      <c r="A915" t="s">
        <v>1055</v>
      </c>
      <c r="B915">
        <v>6304</v>
      </c>
      <c r="C915">
        <v>766</v>
      </c>
      <c r="E915">
        <v>14</v>
      </c>
      <c r="F915" t="s">
        <v>45</v>
      </c>
      <c r="G915" t="s">
        <v>46</v>
      </c>
      <c r="H915" t="s">
        <v>40</v>
      </c>
      <c r="J915" s="1">
        <v>45044</v>
      </c>
      <c r="K915" t="s">
        <v>1057</v>
      </c>
      <c r="L915" t="s">
        <v>17</v>
      </c>
      <c r="M915" t="s">
        <v>34</v>
      </c>
      <c r="N915" t="s">
        <v>145</v>
      </c>
    </row>
    <row r="916" spans="1:14" x14ac:dyDescent="0.25">
      <c r="A916" t="s">
        <v>1055</v>
      </c>
      <c r="B916">
        <v>6304</v>
      </c>
      <c r="C916">
        <v>766</v>
      </c>
      <c r="E916">
        <v>14</v>
      </c>
      <c r="F916" t="s">
        <v>45</v>
      </c>
      <c r="G916" t="s">
        <v>46</v>
      </c>
      <c r="H916" t="s">
        <v>40</v>
      </c>
      <c r="J916" s="1">
        <v>45618</v>
      </c>
      <c r="K916" t="s">
        <v>1058</v>
      </c>
      <c r="L916" t="s">
        <v>42</v>
      </c>
      <c r="M916" t="s">
        <v>92</v>
      </c>
      <c r="N916" t="s">
        <v>255</v>
      </c>
    </row>
    <row r="917" spans="1:14" x14ac:dyDescent="0.25">
      <c r="A917" t="s">
        <v>1059</v>
      </c>
      <c r="B917">
        <v>9565</v>
      </c>
      <c r="C917">
        <v>1691</v>
      </c>
      <c r="E917">
        <v>3</v>
      </c>
      <c r="F917" t="s">
        <v>30</v>
      </c>
      <c r="G917" t="s">
        <v>64</v>
      </c>
      <c r="H917" t="s">
        <v>32</v>
      </c>
      <c r="J917" s="1">
        <v>45475</v>
      </c>
      <c r="K917" t="s">
        <v>1060</v>
      </c>
      <c r="L917" t="s">
        <v>21</v>
      </c>
      <c r="M917" t="s">
        <v>63</v>
      </c>
      <c r="N917" t="s">
        <v>215</v>
      </c>
    </row>
    <row r="918" spans="1:14" x14ac:dyDescent="0.25">
      <c r="A918" t="s">
        <v>1059</v>
      </c>
      <c r="B918">
        <v>8245</v>
      </c>
      <c r="C918">
        <v>324</v>
      </c>
      <c r="E918">
        <v>11</v>
      </c>
      <c r="F918" t="s">
        <v>30</v>
      </c>
      <c r="G918" t="s">
        <v>64</v>
      </c>
      <c r="H918" t="s">
        <v>40</v>
      </c>
      <c r="J918" s="1">
        <v>45475</v>
      </c>
      <c r="K918" t="s">
        <v>1060</v>
      </c>
      <c r="L918" t="s">
        <v>21</v>
      </c>
      <c r="M918" t="s">
        <v>63</v>
      </c>
      <c r="N918" t="s">
        <v>215</v>
      </c>
    </row>
    <row r="919" spans="1:14" x14ac:dyDescent="0.25">
      <c r="A919" t="s">
        <v>1061</v>
      </c>
      <c r="B919">
        <v>1592</v>
      </c>
      <c r="C919">
        <v>480</v>
      </c>
      <c r="E919">
        <v>13</v>
      </c>
      <c r="F919" t="s">
        <v>13</v>
      </c>
      <c r="G919" t="s">
        <v>39</v>
      </c>
      <c r="H919" t="s">
        <v>32</v>
      </c>
      <c r="J919" s="1">
        <v>44579</v>
      </c>
      <c r="K919" t="s">
        <v>1062</v>
      </c>
      <c r="L919" t="s">
        <v>98</v>
      </c>
      <c r="M919" t="s">
        <v>117</v>
      </c>
      <c r="N919" t="s">
        <v>87</v>
      </c>
    </row>
    <row r="920" spans="1:14" x14ac:dyDescent="0.25">
      <c r="A920" t="s">
        <v>1063</v>
      </c>
      <c r="B920">
        <v>8400</v>
      </c>
      <c r="C920">
        <v>267</v>
      </c>
      <c r="E920">
        <v>5</v>
      </c>
      <c r="F920" t="s">
        <v>13</v>
      </c>
      <c r="G920" t="s">
        <v>82</v>
      </c>
      <c r="H920" t="s">
        <v>32</v>
      </c>
      <c r="J920" s="1">
        <v>45573</v>
      </c>
      <c r="K920" t="s">
        <v>1064</v>
      </c>
      <c r="L920" t="s">
        <v>98</v>
      </c>
      <c r="M920" t="s">
        <v>99</v>
      </c>
      <c r="N920" t="s">
        <v>360</v>
      </c>
    </row>
    <row r="921" spans="1:14" x14ac:dyDescent="0.25">
      <c r="A921" t="s">
        <v>1063</v>
      </c>
      <c r="B921">
        <v>4963</v>
      </c>
      <c r="C921">
        <v>1254</v>
      </c>
      <c r="E921">
        <v>15</v>
      </c>
      <c r="F921" t="s">
        <v>30</v>
      </c>
      <c r="G921" t="s">
        <v>64</v>
      </c>
      <c r="H921" t="s">
        <v>40</v>
      </c>
      <c r="J921" s="1">
        <v>45573</v>
      </c>
      <c r="K921" t="s">
        <v>1064</v>
      </c>
      <c r="L921" t="s">
        <v>98</v>
      </c>
      <c r="M921" t="s">
        <v>99</v>
      </c>
      <c r="N921" t="s">
        <v>360</v>
      </c>
    </row>
    <row r="922" spans="1:14" x14ac:dyDescent="0.25">
      <c r="A922" t="s">
        <v>1065</v>
      </c>
      <c r="B922">
        <v>2472</v>
      </c>
      <c r="C922">
        <v>211</v>
      </c>
      <c r="E922">
        <v>5</v>
      </c>
      <c r="F922" t="s">
        <v>13</v>
      </c>
      <c r="G922" t="s">
        <v>28</v>
      </c>
      <c r="H922" t="s">
        <v>65</v>
      </c>
      <c r="J922" s="1">
        <v>44003</v>
      </c>
      <c r="K922" t="s">
        <v>1066</v>
      </c>
      <c r="L922" t="s">
        <v>42</v>
      </c>
      <c r="M922" t="s">
        <v>75</v>
      </c>
      <c r="N922" t="s">
        <v>313</v>
      </c>
    </row>
    <row r="923" spans="1:14" x14ac:dyDescent="0.25">
      <c r="A923" t="s">
        <v>1067</v>
      </c>
      <c r="B923">
        <v>9132</v>
      </c>
      <c r="C923">
        <v>3096</v>
      </c>
      <c r="E923">
        <v>14</v>
      </c>
      <c r="F923" t="s">
        <v>45</v>
      </c>
      <c r="G923" t="s">
        <v>49</v>
      </c>
      <c r="H923" t="s">
        <v>32</v>
      </c>
      <c r="J923" s="1">
        <v>45274</v>
      </c>
      <c r="K923" t="s">
        <v>1068</v>
      </c>
      <c r="L923" t="s">
        <v>17</v>
      </c>
      <c r="M923" t="s">
        <v>150</v>
      </c>
      <c r="N923" t="s">
        <v>102</v>
      </c>
    </row>
    <row r="924" spans="1:14" x14ac:dyDescent="0.25">
      <c r="A924" t="s">
        <v>1069</v>
      </c>
      <c r="B924">
        <v>8305</v>
      </c>
      <c r="C924">
        <v>1577</v>
      </c>
      <c r="E924">
        <v>6</v>
      </c>
      <c r="F924" t="s">
        <v>30</v>
      </c>
      <c r="G924" t="s">
        <v>78</v>
      </c>
      <c r="H924" t="s">
        <v>32</v>
      </c>
      <c r="J924" s="1">
        <v>44181</v>
      </c>
      <c r="K924" t="s">
        <v>1070</v>
      </c>
      <c r="L924" t="s">
        <v>25</v>
      </c>
      <c r="M924" t="s">
        <v>68</v>
      </c>
      <c r="N924" t="s">
        <v>287</v>
      </c>
    </row>
    <row r="925" spans="1:14" x14ac:dyDescent="0.25">
      <c r="A925" t="s">
        <v>1071</v>
      </c>
      <c r="B925">
        <v>1010</v>
      </c>
      <c r="C925">
        <v>58</v>
      </c>
      <c r="E925">
        <v>19</v>
      </c>
      <c r="F925" t="s">
        <v>13</v>
      </c>
      <c r="G925" t="s">
        <v>14</v>
      </c>
      <c r="H925" t="s">
        <v>65</v>
      </c>
      <c r="J925" s="1">
        <v>45731</v>
      </c>
      <c r="K925" t="s">
        <v>1072</v>
      </c>
      <c r="L925" t="s">
        <v>17</v>
      </c>
      <c r="M925" t="s">
        <v>150</v>
      </c>
      <c r="N925" t="s">
        <v>157</v>
      </c>
    </row>
    <row r="926" spans="1:14" x14ac:dyDescent="0.25">
      <c r="A926" t="s">
        <v>1073</v>
      </c>
      <c r="B926">
        <v>4544</v>
      </c>
      <c r="C926">
        <v>1726</v>
      </c>
      <c r="E926">
        <v>9</v>
      </c>
      <c r="F926" t="s">
        <v>13</v>
      </c>
      <c r="G926" t="s">
        <v>82</v>
      </c>
      <c r="H926" t="s">
        <v>40</v>
      </c>
      <c r="J926" s="1">
        <v>45525</v>
      </c>
      <c r="K926" t="s">
        <v>1074</v>
      </c>
      <c r="L926" t="s">
        <v>71</v>
      </c>
      <c r="M926" t="s">
        <v>72</v>
      </c>
      <c r="N926" t="s">
        <v>114</v>
      </c>
    </row>
    <row r="927" spans="1:14" x14ac:dyDescent="0.25">
      <c r="A927" t="s">
        <v>1073</v>
      </c>
      <c r="B927">
        <v>5900</v>
      </c>
      <c r="C927">
        <v>1738</v>
      </c>
      <c r="E927">
        <v>20</v>
      </c>
      <c r="F927" t="s">
        <v>13</v>
      </c>
      <c r="G927" t="s">
        <v>82</v>
      </c>
      <c r="H927" t="s">
        <v>15</v>
      </c>
      <c r="J927" s="1">
        <v>45525</v>
      </c>
      <c r="K927" t="s">
        <v>1074</v>
      </c>
      <c r="L927" t="s">
        <v>71</v>
      </c>
      <c r="M927" t="s">
        <v>72</v>
      </c>
      <c r="N927" t="s">
        <v>114</v>
      </c>
    </row>
    <row r="928" spans="1:14" x14ac:dyDescent="0.25">
      <c r="A928" t="s">
        <v>1075</v>
      </c>
      <c r="B928">
        <v>8861</v>
      </c>
      <c r="C928">
        <v>3381</v>
      </c>
      <c r="E928">
        <v>19</v>
      </c>
      <c r="F928" t="s">
        <v>30</v>
      </c>
      <c r="G928" t="s">
        <v>57</v>
      </c>
      <c r="H928" t="s">
        <v>47</v>
      </c>
      <c r="J928" s="1">
        <v>44343</v>
      </c>
      <c r="K928" t="s">
        <v>1076</v>
      </c>
      <c r="L928" t="s">
        <v>42</v>
      </c>
      <c r="M928" t="s">
        <v>75</v>
      </c>
      <c r="N928" t="s">
        <v>108</v>
      </c>
    </row>
    <row r="929" spans="1:14" x14ac:dyDescent="0.25">
      <c r="A929" t="s">
        <v>1077</v>
      </c>
      <c r="B929">
        <v>8158</v>
      </c>
      <c r="C929">
        <v>2052</v>
      </c>
      <c r="E929">
        <v>13</v>
      </c>
      <c r="F929" t="s">
        <v>13</v>
      </c>
      <c r="G929" t="s">
        <v>82</v>
      </c>
      <c r="H929" t="s">
        <v>32</v>
      </c>
      <c r="J929" s="1">
        <v>44095</v>
      </c>
      <c r="K929" t="s">
        <v>1078</v>
      </c>
      <c r="L929" t="s">
        <v>98</v>
      </c>
      <c r="M929" t="s">
        <v>107</v>
      </c>
      <c r="N929" t="s">
        <v>389</v>
      </c>
    </row>
    <row r="930" spans="1:14" x14ac:dyDescent="0.25">
      <c r="A930" t="s">
        <v>1079</v>
      </c>
      <c r="B930">
        <v>3411</v>
      </c>
      <c r="C930">
        <v>1704</v>
      </c>
      <c r="E930">
        <v>14</v>
      </c>
      <c r="F930" t="s">
        <v>30</v>
      </c>
      <c r="G930" t="s">
        <v>31</v>
      </c>
      <c r="H930" t="s">
        <v>15</v>
      </c>
      <c r="J930" s="1">
        <v>45668</v>
      </c>
      <c r="K930" t="s">
        <v>1080</v>
      </c>
      <c r="L930" t="s">
        <v>42</v>
      </c>
      <c r="M930" t="s">
        <v>43</v>
      </c>
      <c r="N930" t="s">
        <v>308</v>
      </c>
    </row>
    <row r="931" spans="1:14" x14ac:dyDescent="0.25">
      <c r="A931" t="s">
        <v>1081</v>
      </c>
      <c r="B931">
        <v>9406</v>
      </c>
      <c r="C931">
        <v>1137</v>
      </c>
      <c r="E931">
        <v>16</v>
      </c>
      <c r="F931" t="s">
        <v>30</v>
      </c>
      <c r="G931" t="s">
        <v>57</v>
      </c>
      <c r="H931" t="s">
        <v>15</v>
      </c>
      <c r="J931" s="1">
        <v>44489</v>
      </c>
      <c r="K931" t="s">
        <v>1082</v>
      </c>
      <c r="L931" t="s">
        <v>71</v>
      </c>
      <c r="M931" t="s">
        <v>138</v>
      </c>
      <c r="N931" t="s">
        <v>37</v>
      </c>
    </row>
    <row r="932" spans="1:14" x14ac:dyDescent="0.25">
      <c r="A932" t="s">
        <v>1081</v>
      </c>
      <c r="B932">
        <v>1156</v>
      </c>
      <c r="C932">
        <v>74</v>
      </c>
      <c r="E932">
        <v>15</v>
      </c>
      <c r="F932" t="s">
        <v>13</v>
      </c>
      <c r="G932" t="s">
        <v>28</v>
      </c>
      <c r="H932" t="s">
        <v>40</v>
      </c>
      <c r="J932" s="1">
        <v>44489</v>
      </c>
      <c r="K932" t="s">
        <v>1082</v>
      </c>
      <c r="L932" t="s">
        <v>71</v>
      </c>
      <c r="M932" t="s">
        <v>138</v>
      </c>
      <c r="N932" t="s">
        <v>37</v>
      </c>
    </row>
    <row r="933" spans="1:14" x14ac:dyDescent="0.25">
      <c r="A933" t="s">
        <v>1083</v>
      </c>
      <c r="B933">
        <v>5354</v>
      </c>
      <c r="C933">
        <v>743</v>
      </c>
      <c r="E933">
        <v>10</v>
      </c>
      <c r="F933" t="s">
        <v>45</v>
      </c>
      <c r="G933" t="s">
        <v>109</v>
      </c>
      <c r="H933" t="s">
        <v>15</v>
      </c>
      <c r="J933" s="1">
        <v>44488</v>
      </c>
      <c r="K933" t="s">
        <v>1084</v>
      </c>
      <c r="L933" t="s">
        <v>21</v>
      </c>
      <c r="M933" t="s">
        <v>63</v>
      </c>
      <c r="N933" t="s">
        <v>37</v>
      </c>
    </row>
    <row r="934" spans="1:14" x14ac:dyDescent="0.25">
      <c r="A934" t="s">
        <v>1085</v>
      </c>
      <c r="B934">
        <v>8780</v>
      </c>
      <c r="C934">
        <v>3430</v>
      </c>
      <c r="E934">
        <v>4</v>
      </c>
      <c r="F934" t="s">
        <v>13</v>
      </c>
      <c r="G934" t="s">
        <v>14</v>
      </c>
      <c r="H934" t="s">
        <v>47</v>
      </c>
      <c r="J934" s="1">
        <v>45480</v>
      </c>
      <c r="K934" t="s">
        <v>1086</v>
      </c>
      <c r="L934" t="s">
        <v>71</v>
      </c>
      <c r="M934" t="s">
        <v>86</v>
      </c>
      <c r="N934" t="s">
        <v>215</v>
      </c>
    </row>
    <row r="935" spans="1:14" x14ac:dyDescent="0.25">
      <c r="A935" t="s">
        <v>1085</v>
      </c>
      <c r="B935">
        <v>8780</v>
      </c>
      <c r="C935">
        <v>3430</v>
      </c>
      <c r="E935">
        <v>4</v>
      </c>
      <c r="F935" t="s">
        <v>13</v>
      </c>
      <c r="G935" t="s">
        <v>14</v>
      </c>
      <c r="H935" t="s">
        <v>47</v>
      </c>
      <c r="J935" s="1">
        <v>45132</v>
      </c>
      <c r="K935" t="s">
        <v>1087</v>
      </c>
      <c r="L935" t="s">
        <v>71</v>
      </c>
      <c r="M935" t="s">
        <v>86</v>
      </c>
      <c r="N935" t="s">
        <v>105</v>
      </c>
    </row>
    <row r="936" spans="1:14" x14ac:dyDescent="0.25">
      <c r="A936" t="s">
        <v>1088</v>
      </c>
      <c r="B936">
        <v>6783</v>
      </c>
      <c r="C936">
        <v>3306</v>
      </c>
      <c r="E936">
        <v>8</v>
      </c>
      <c r="F936" t="s">
        <v>45</v>
      </c>
      <c r="G936" t="s">
        <v>60</v>
      </c>
      <c r="H936" t="s">
        <v>32</v>
      </c>
      <c r="J936" s="1">
        <v>43937</v>
      </c>
      <c r="K936" t="s">
        <v>1089</v>
      </c>
      <c r="L936" t="s">
        <v>98</v>
      </c>
      <c r="M936" t="s">
        <v>99</v>
      </c>
      <c r="N936" t="s">
        <v>162</v>
      </c>
    </row>
    <row r="937" spans="1:14" x14ac:dyDescent="0.25">
      <c r="A937" t="s">
        <v>1090</v>
      </c>
      <c r="B937">
        <v>1778</v>
      </c>
      <c r="C937">
        <v>285</v>
      </c>
      <c r="E937">
        <v>4</v>
      </c>
      <c r="F937" t="s">
        <v>30</v>
      </c>
      <c r="G937" t="s">
        <v>31</v>
      </c>
      <c r="H937" t="s">
        <v>47</v>
      </c>
      <c r="J937" s="1">
        <v>44016</v>
      </c>
      <c r="K937" t="s">
        <v>1091</v>
      </c>
      <c r="L937" t="s">
        <v>25</v>
      </c>
      <c r="M937" t="s">
        <v>51</v>
      </c>
      <c r="N937" t="s">
        <v>462</v>
      </c>
    </row>
    <row r="938" spans="1:14" x14ac:dyDescent="0.25">
      <c r="A938" t="s">
        <v>1092</v>
      </c>
      <c r="B938">
        <v>9399</v>
      </c>
      <c r="C938">
        <v>1949</v>
      </c>
      <c r="E938">
        <v>12</v>
      </c>
      <c r="F938" t="s">
        <v>13</v>
      </c>
      <c r="G938" t="s">
        <v>28</v>
      </c>
      <c r="H938" t="s">
        <v>15</v>
      </c>
      <c r="J938" s="1">
        <v>44697</v>
      </c>
      <c r="K938" t="s">
        <v>1093</v>
      </c>
      <c r="L938" t="s">
        <v>25</v>
      </c>
      <c r="M938" t="s">
        <v>68</v>
      </c>
      <c r="N938" t="s">
        <v>180</v>
      </c>
    </row>
    <row r="939" spans="1:14" x14ac:dyDescent="0.25">
      <c r="A939" t="s">
        <v>1092</v>
      </c>
      <c r="B939">
        <v>7957</v>
      </c>
      <c r="C939">
        <v>965</v>
      </c>
      <c r="E939">
        <v>4</v>
      </c>
      <c r="F939" t="s">
        <v>45</v>
      </c>
      <c r="G939" t="s">
        <v>60</v>
      </c>
      <c r="H939" t="s">
        <v>47</v>
      </c>
      <c r="J939" s="1">
        <v>44697</v>
      </c>
      <c r="K939" t="s">
        <v>1093</v>
      </c>
      <c r="L939" t="s">
        <v>25</v>
      </c>
      <c r="M939" t="s">
        <v>68</v>
      </c>
      <c r="N939" t="s">
        <v>180</v>
      </c>
    </row>
    <row r="940" spans="1:14" x14ac:dyDescent="0.25">
      <c r="A940" t="s">
        <v>1094</v>
      </c>
      <c r="B940">
        <v>1638</v>
      </c>
      <c r="C940">
        <v>661</v>
      </c>
      <c r="E940">
        <v>13</v>
      </c>
      <c r="F940" t="s">
        <v>45</v>
      </c>
      <c r="G940" t="s">
        <v>49</v>
      </c>
      <c r="H940" t="s">
        <v>40</v>
      </c>
      <c r="J940" s="1">
        <v>45255</v>
      </c>
      <c r="K940" t="s">
        <v>1095</v>
      </c>
      <c r="L940" t="s">
        <v>21</v>
      </c>
      <c r="M940" t="s">
        <v>63</v>
      </c>
      <c r="N940" t="s">
        <v>52</v>
      </c>
    </row>
    <row r="941" spans="1:14" x14ac:dyDescent="0.25">
      <c r="A941" t="s">
        <v>1096</v>
      </c>
      <c r="B941">
        <v>1786</v>
      </c>
      <c r="C941">
        <v>224</v>
      </c>
      <c r="E941">
        <v>4</v>
      </c>
      <c r="F941" t="s">
        <v>45</v>
      </c>
      <c r="G941" t="s">
        <v>46</v>
      </c>
      <c r="H941" t="s">
        <v>65</v>
      </c>
      <c r="J941" s="1">
        <v>44425</v>
      </c>
      <c r="K941" t="s">
        <v>1097</v>
      </c>
      <c r="L941" t="s">
        <v>71</v>
      </c>
      <c r="M941" t="s">
        <v>72</v>
      </c>
      <c r="N941" t="s">
        <v>178</v>
      </c>
    </row>
    <row r="942" spans="1:14" x14ac:dyDescent="0.25">
      <c r="A942" t="s">
        <v>1098</v>
      </c>
      <c r="B942">
        <v>4751</v>
      </c>
      <c r="C942">
        <v>781</v>
      </c>
      <c r="E942">
        <v>9</v>
      </c>
      <c r="F942" t="s">
        <v>30</v>
      </c>
      <c r="G942" t="s">
        <v>64</v>
      </c>
      <c r="H942" t="s">
        <v>40</v>
      </c>
      <c r="J942" s="1">
        <v>45109</v>
      </c>
      <c r="K942" t="s">
        <v>1099</v>
      </c>
      <c r="L942" t="s">
        <v>25</v>
      </c>
      <c r="M942" t="s">
        <v>26</v>
      </c>
      <c r="N942" t="s">
        <v>105</v>
      </c>
    </row>
    <row r="943" spans="1:14" x14ac:dyDescent="0.25">
      <c r="A943" t="s">
        <v>1100</v>
      </c>
      <c r="B943">
        <v>8979</v>
      </c>
      <c r="C943">
        <v>4477</v>
      </c>
      <c r="E943">
        <v>4</v>
      </c>
      <c r="F943" t="s">
        <v>30</v>
      </c>
      <c r="G943" t="s">
        <v>64</v>
      </c>
      <c r="H943" t="s">
        <v>47</v>
      </c>
      <c r="J943" s="1">
        <v>44067</v>
      </c>
      <c r="K943" t="s">
        <v>1101</v>
      </c>
      <c r="L943" t="s">
        <v>21</v>
      </c>
      <c r="M943" t="s">
        <v>22</v>
      </c>
      <c r="N943" t="s">
        <v>185</v>
      </c>
    </row>
    <row r="944" spans="1:14" x14ac:dyDescent="0.25">
      <c r="A944" t="s">
        <v>1102</v>
      </c>
      <c r="B944">
        <v>2727</v>
      </c>
      <c r="C944">
        <v>663</v>
      </c>
      <c r="E944">
        <v>8</v>
      </c>
      <c r="F944" t="s">
        <v>13</v>
      </c>
      <c r="G944" t="s">
        <v>82</v>
      </c>
      <c r="H944" t="s">
        <v>47</v>
      </c>
      <c r="J944" s="1">
        <v>44872</v>
      </c>
      <c r="K944" t="s">
        <v>1103</v>
      </c>
      <c r="L944" t="s">
        <v>17</v>
      </c>
      <c r="M944" t="s">
        <v>18</v>
      </c>
      <c r="N944" t="s">
        <v>44</v>
      </c>
    </row>
    <row r="945" spans="1:14" x14ac:dyDescent="0.25">
      <c r="A945" t="s">
        <v>1104</v>
      </c>
      <c r="B945">
        <v>1093</v>
      </c>
      <c r="C945">
        <v>397</v>
      </c>
      <c r="E945">
        <v>17</v>
      </c>
      <c r="F945" t="s">
        <v>13</v>
      </c>
      <c r="G945" t="s">
        <v>28</v>
      </c>
      <c r="H945" t="s">
        <v>47</v>
      </c>
      <c r="J945" s="1">
        <v>45378</v>
      </c>
      <c r="K945" t="s">
        <v>1105</v>
      </c>
      <c r="L945" t="s">
        <v>21</v>
      </c>
      <c r="M945" t="s">
        <v>172</v>
      </c>
      <c r="N945" t="s">
        <v>338</v>
      </c>
    </row>
    <row r="946" spans="1:14" x14ac:dyDescent="0.25">
      <c r="A946" t="s">
        <v>1104</v>
      </c>
      <c r="B946">
        <v>1093</v>
      </c>
      <c r="C946">
        <v>397</v>
      </c>
      <c r="E946">
        <v>17</v>
      </c>
      <c r="F946" t="s">
        <v>13</v>
      </c>
      <c r="G946" t="s">
        <v>28</v>
      </c>
      <c r="H946" t="s">
        <v>47</v>
      </c>
      <c r="J946" s="1">
        <v>45536</v>
      </c>
      <c r="K946" t="s">
        <v>1106</v>
      </c>
      <c r="L946" t="s">
        <v>25</v>
      </c>
      <c r="M946" t="s">
        <v>26</v>
      </c>
      <c r="N946" t="s">
        <v>159</v>
      </c>
    </row>
    <row r="947" spans="1:14" x14ac:dyDescent="0.25">
      <c r="A947" t="s">
        <v>1104</v>
      </c>
      <c r="B947">
        <v>1093</v>
      </c>
      <c r="C947">
        <v>397</v>
      </c>
      <c r="E947">
        <v>17</v>
      </c>
      <c r="F947" t="s">
        <v>13</v>
      </c>
      <c r="G947" t="s">
        <v>28</v>
      </c>
      <c r="H947" t="s">
        <v>47</v>
      </c>
      <c r="J947" s="1">
        <v>44614</v>
      </c>
      <c r="K947" t="s">
        <v>1107</v>
      </c>
      <c r="L947" t="s">
        <v>98</v>
      </c>
      <c r="M947" t="s">
        <v>99</v>
      </c>
      <c r="N947" t="s">
        <v>137</v>
      </c>
    </row>
    <row r="948" spans="1:14" x14ac:dyDescent="0.25">
      <c r="A948" t="s">
        <v>1104</v>
      </c>
      <c r="B948">
        <v>2636</v>
      </c>
      <c r="C948">
        <v>88</v>
      </c>
      <c r="E948">
        <v>11</v>
      </c>
      <c r="F948" t="s">
        <v>30</v>
      </c>
      <c r="G948" t="s">
        <v>64</v>
      </c>
      <c r="H948" t="s">
        <v>32</v>
      </c>
      <c r="J948" s="1">
        <v>45378</v>
      </c>
      <c r="K948" t="s">
        <v>1105</v>
      </c>
      <c r="L948" t="s">
        <v>21</v>
      </c>
      <c r="M948" t="s">
        <v>172</v>
      </c>
      <c r="N948" t="s">
        <v>338</v>
      </c>
    </row>
    <row r="949" spans="1:14" x14ac:dyDescent="0.25">
      <c r="A949" t="s">
        <v>1104</v>
      </c>
      <c r="B949">
        <v>2636</v>
      </c>
      <c r="C949">
        <v>88</v>
      </c>
      <c r="E949">
        <v>11</v>
      </c>
      <c r="F949" t="s">
        <v>30</v>
      </c>
      <c r="G949" t="s">
        <v>64</v>
      </c>
      <c r="H949" t="s">
        <v>32</v>
      </c>
      <c r="J949" s="1">
        <v>45536</v>
      </c>
      <c r="K949" t="s">
        <v>1106</v>
      </c>
      <c r="L949" t="s">
        <v>25</v>
      </c>
      <c r="M949" t="s">
        <v>26</v>
      </c>
      <c r="N949" t="s">
        <v>159</v>
      </c>
    </row>
    <row r="950" spans="1:14" x14ac:dyDescent="0.25">
      <c r="A950" t="s">
        <v>1104</v>
      </c>
      <c r="B950">
        <v>2636</v>
      </c>
      <c r="C950">
        <v>88</v>
      </c>
      <c r="E950">
        <v>11</v>
      </c>
      <c r="F950" t="s">
        <v>30</v>
      </c>
      <c r="G950" t="s">
        <v>64</v>
      </c>
      <c r="H950" t="s">
        <v>32</v>
      </c>
      <c r="J950" s="1">
        <v>44614</v>
      </c>
      <c r="K950" t="s">
        <v>1107</v>
      </c>
      <c r="L950" t="s">
        <v>98</v>
      </c>
      <c r="M950" t="s">
        <v>99</v>
      </c>
      <c r="N950" t="s">
        <v>137</v>
      </c>
    </row>
    <row r="951" spans="1:14" x14ac:dyDescent="0.25">
      <c r="A951" t="s">
        <v>1108</v>
      </c>
      <c r="B951">
        <v>7344</v>
      </c>
      <c r="C951">
        <v>2251</v>
      </c>
      <c r="E951">
        <v>7</v>
      </c>
      <c r="F951" t="s">
        <v>13</v>
      </c>
      <c r="G951" t="s">
        <v>14</v>
      </c>
      <c r="H951" t="s">
        <v>32</v>
      </c>
      <c r="J951" s="1">
        <v>44603</v>
      </c>
      <c r="K951" t="s">
        <v>1109</v>
      </c>
      <c r="L951" t="s">
        <v>17</v>
      </c>
      <c r="M951" t="s">
        <v>18</v>
      </c>
      <c r="N951" t="s">
        <v>137</v>
      </c>
    </row>
    <row r="952" spans="1:14" x14ac:dyDescent="0.25">
      <c r="A952" t="s">
        <v>1108</v>
      </c>
      <c r="B952">
        <v>7306</v>
      </c>
      <c r="C952">
        <v>1547</v>
      </c>
      <c r="E952">
        <v>3</v>
      </c>
      <c r="F952" t="s">
        <v>30</v>
      </c>
      <c r="G952" t="s">
        <v>64</v>
      </c>
      <c r="H952" t="s">
        <v>65</v>
      </c>
      <c r="J952" s="1">
        <v>44603</v>
      </c>
      <c r="K952" t="s">
        <v>1109</v>
      </c>
      <c r="L952" t="s">
        <v>17</v>
      </c>
      <c r="M952" t="s">
        <v>18</v>
      </c>
      <c r="N952" t="s">
        <v>137</v>
      </c>
    </row>
    <row r="953" spans="1:14" x14ac:dyDescent="0.25">
      <c r="A953" t="s">
        <v>1108</v>
      </c>
      <c r="B953">
        <v>5832</v>
      </c>
      <c r="C953">
        <v>2588</v>
      </c>
      <c r="E953">
        <v>10</v>
      </c>
      <c r="F953" t="s">
        <v>13</v>
      </c>
      <c r="G953" t="s">
        <v>28</v>
      </c>
      <c r="H953" t="s">
        <v>65</v>
      </c>
      <c r="J953" s="1">
        <v>44603</v>
      </c>
      <c r="K953" t="s">
        <v>1109</v>
      </c>
      <c r="L953" t="s">
        <v>17</v>
      </c>
      <c r="M953" t="s">
        <v>18</v>
      </c>
      <c r="N953" t="s">
        <v>137</v>
      </c>
    </row>
    <row r="954" spans="1:14" x14ac:dyDescent="0.25">
      <c r="A954" t="s">
        <v>1110</v>
      </c>
      <c r="B954">
        <v>8572</v>
      </c>
      <c r="C954">
        <v>2041</v>
      </c>
      <c r="E954">
        <v>8</v>
      </c>
      <c r="F954" t="s">
        <v>45</v>
      </c>
      <c r="G954" t="s">
        <v>46</v>
      </c>
      <c r="H954" t="s">
        <v>40</v>
      </c>
      <c r="J954" s="1">
        <v>44343</v>
      </c>
      <c r="K954" t="s">
        <v>1111</v>
      </c>
      <c r="L954" t="s">
        <v>21</v>
      </c>
      <c r="M954" t="s">
        <v>63</v>
      </c>
      <c r="N954" t="s">
        <v>108</v>
      </c>
    </row>
    <row r="955" spans="1:14" x14ac:dyDescent="0.25">
      <c r="A955" t="s">
        <v>1110</v>
      </c>
      <c r="B955">
        <v>8572</v>
      </c>
      <c r="C955">
        <v>2041</v>
      </c>
      <c r="E955">
        <v>8</v>
      </c>
      <c r="F955" t="s">
        <v>45</v>
      </c>
      <c r="G955" t="s">
        <v>46</v>
      </c>
      <c r="H955" t="s">
        <v>40</v>
      </c>
      <c r="J955" s="1">
        <v>45112</v>
      </c>
      <c r="K955" t="s">
        <v>1112</v>
      </c>
      <c r="L955" t="s">
        <v>21</v>
      </c>
      <c r="M955" t="s">
        <v>63</v>
      </c>
      <c r="N955" t="s">
        <v>105</v>
      </c>
    </row>
    <row r="956" spans="1:14" x14ac:dyDescent="0.25">
      <c r="A956" t="s">
        <v>1110</v>
      </c>
      <c r="B956">
        <v>8572</v>
      </c>
      <c r="C956">
        <v>2041</v>
      </c>
      <c r="E956">
        <v>8</v>
      </c>
      <c r="F956" t="s">
        <v>45</v>
      </c>
      <c r="G956" t="s">
        <v>46</v>
      </c>
      <c r="H956" t="s">
        <v>40</v>
      </c>
      <c r="J956" s="1">
        <v>44131</v>
      </c>
      <c r="K956" t="s">
        <v>1113</v>
      </c>
      <c r="L956" t="s">
        <v>42</v>
      </c>
      <c r="M956" t="s">
        <v>75</v>
      </c>
      <c r="N956" t="s">
        <v>119</v>
      </c>
    </row>
    <row r="957" spans="1:14" x14ac:dyDescent="0.25">
      <c r="A957" t="s">
        <v>1110</v>
      </c>
      <c r="B957">
        <v>8059</v>
      </c>
      <c r="C957">
        <v>1834</v>
      </c>
      <c r="E957">
        <v>10</v>
      </c>
      <c r="F957" t="s">
        <v>13</v>
      </c>
      <c r="G957" t="s">
        <v>28</v>
      </c>
      <c r="H957" t="s">
        <v>47</v>
      </c>
      <c r="J957" s="1">
        <v>44343</v>
      </c>
      <c r="K957" t="s">
        <v>1111</v>
      </c>
      <c r="L957" t="s">
        <v>21</v>
      </c>
      <c r="M957" t="s">
        <v>63</v>
      </c>
      <c r="N957" t="s">
        <v>108</v>
      </c>
    </row>
    <row r="958" spans="1:14" x14ac:dyDescent="0.25">
      <c r="A958" t="s">
        <v>1110</v>
      </c>
      <c r="B958">
        <v>8059</v>
      </c>
      <c r="C958">
        <v>1834</v>
      </c>
      <c r="E958">
        <v>10</v>
      </c>
      <c r="F958" t="s">
        <v>13</v>
      </c>
      <c r="G958" t="s">
        <v>28</v>
      </c>
      <c r="H958" t="s">
        <v>47</v>
      </c>
      <c r="J958" s="1">
        <v>45112</v>
      </c>
      <c r="K958" t="s">
        <v>1112</v>
      </c>
      <c r="L958" t="s">
        <v>21</v>
      </c>
      <c r="M958" t="s">
        <v>63</v>
      </c>
      <c r="N958" t="s">
        <v>105</v>
      </c>
    </row>
    <row r="959" spans="1:14" x14ac:dyDescent="0.25">
      <c r="A959" t="s">
        <v>1110</v>
      </c>
      <c r="B959">
        <v>8059</v>
      </c>
      <c r="C959">
        <v>1834</v>
      </c>
      <c r="E959">
        <v>10</v>
      </c>
      <c r="F959" t="s">
        <v>13</v>
      </c>
      <c r="G959" t="s">
        <v>28</v>
      </c>
      <c r="H959" t="s">
        <v>47</v>
      </c>
      <c r="J959" s="1">
        <v>44131</v>
      </c>
      <c r="K959" t="s">
        <v>1113</v>
      </c>
      <c r="L959" t="s">
        <v>42</v>
      </c>
      <c r="M959" t="s">
        <v>75</v>
      </c>
      <c r="N959" t="s">
        <v>119</v>
      </c>
    </row>
    <row r="960" spans="1:14" x14ac:dyDescent="0.25">
      <c r="A960" t="s">
        <v>1114</v>
      </c>
      <c r="B960">
        <v>3661</v>
      </c>
      <c r="C960">
        <v>436</v>
      </c>
      <c r="E960">
        <v>13</v>
      </c>
      <c r="F960" t="s">
        <v>45</v>
      </c>
      <c r="G960" t="s">
        <v>60</v>
      </c>
      <c r="H960" t="s">
        <v>40</v>
      </c>
      <c r="J960" s="1">
        <v>44952</v>
      </c>
      <c r="K960" t="s">
        <v>1115</v>
      </c>
      <c r="L960" t="s">
        <v>71</v>
      </c>
      <c r="M960" t="s">
        <v>86</v>
      </c>
      <c r="N960" t="s">
        <v>333</v>
      </c>
    </row>
    <row r="961" spans="1:14" x14ac:dyDescent="0.25">
      <c r="A961" t="s">
        <v>1116</v>
      </c>
      <c r="B961">
        <v>2451</v>
      </c>
      <c r="C961">
        <v>342</v>
      </c>
      <c r="E961">
        <v>8</v>
      </c>
      <c r="F961" t="s">
        <v>30</v>
      </c>
      <c r="G961" t="s">
        <v>64</v>
      </c>
      <c r="H961" t="s">
        <v>40</v>
      </c>
      <c r="J961" s="1">
        <v>44445</v>
      </c>
      <c r="K961" t="s">
        <v>1117</v>
      </c>
      <c r="L961" t="s">
        <v>42</v>
      </c>
      <c r="M961" t="s">
        <v>43</v>
      </c>
      <c r="N961" t="s">
        <v>224</v>
      </c>
    </row>
    <row r="962" spans="1:14" x14ac:dyDescent="0.25">
      <c r="A962" t="s">
        <v>1116</v>
      </c>
      <c r="B962">
        <v>2451</v>
      </c>
      <c r="C962">
        <v>342</v>
      </c>
      <c r="E962">
        <v>8</v>
      </c>
      <c r="F962" t="s">
        <v>30</v>
      </c>
      <c r="G962" t="s">
        <v>64</v>
      </c>
      <c r="H962" t="s">
        <v>40</v>
      </c>
      <c r="J962" s="1">
        <v>44512</v>
      </c>
      <c r="K962" t="s">
        <v>1118</v>
      </c>
      <c r="L962" t="s">
        <v>98</v>
      </c>
      <c r="M962" t="s">
        <v>107</v>
      </c>
      <c r="N962" t="s">
        <v>175</v>
      </c>
    </row>
    <row r="963" spans="1:14" x14ac:dyDescent="0.25">
      <c r="A963" t="s">
        <v>1116</v>
      </c>
      <c r="B963">
        <v>2451</v>
      </c>
      <c r="C963">
        <v>342</v>
      </c>
      <c r="E963">
        <v>8</v>
      </c>
      <c r="F963" t="s">
        <v>30</v>
      </c>
      <c r="G963" t="s">
        <v>64</v>
      </c>
      <c r="H963" t="s">
        <v>40</v>
      </c>
      <c r="J963" s="1">
        <v>45503</v>
      </c>
      <c r="K963" t="s">
        <v>1119</v>
      </c>
      <c r="L963" t="s">
        <v>71</v>
      </c>
      <c r="M963" t="s">
        <v>138</v>
      </c>
      <c r="N963" t="s">
        <v>215</v>
      </c>
    </row>
    <row r="964" spans="1:14" x14ac:dyDescent="0.25">
      <c r="A964" t="s">
        <v>1120</v>
      </c>
      <c r="B964">
        <v>7067</v>
      </c>
      <c r="C964">
        <v>1943</v>
      </c>
      <c r="E964">
        <v>16</v>
      </c>
      <c r="F964" t="s">
        <v>45</v>
      </c>
      <c r="G964" t="s">
        <v>46</v>
      </c>
      <c r="H964" t="s">
        <v>47</v>
      </c>
      <c r="J964" s="1">
        <v>44635</v>
      </c>
      <c r="K964" t="s">
        <v>1121</v>
      </c>
      <c r="L964" t="s">
        <v>42</v>
      </c>
      <c r="M964" t="s">
        <v>92</v>
      </c>
      <c r="N964" t="s">
        <v>134</v>
      </c>
    </row>
    <row r="965" spans="1:14" x14ac:dyDescent="0.25">
      <c r="A965" t="s">
        <v>1122</v>
      </c>
      <c r="B965">
        <v>4307</v>
      </c>
      <c r="C965">
        <v>615</v>
      </c>
      <c r="E965">
        <v>3</v>
      </c>
      <c r="F965" t="s">
        <v>13</v>
      </c>
      <c r="G965" t="s">
        <v>14</v>
      </c>
      <c r="H965" t="s">
        <v>15</v>
      </c>
      <c r="J965" s="1">
        <v>45366</v>
      </c>
      <c r="K965" t="s">
        <v>1123</v>
      </c>
      <c r="L965" t="s">
        <v>25</v>
      </c>
      <c r="M965" t="s">
        <v>51</v>
      </c>
      <c r="N965" t="s">
        <v>338</v>
      </c>
    </row>
    <row r="966" spans="1:14" x14ac:dyDescent="0.25">
      <c r="A966" t="s">
        <v>1122</v>
      </c>
      <c r="B966">
        <v>4307</v>
      </c>
      <c r="C966">
        <v>615</v>
      </c>
      <c r="E966">
        <v>3</v>
      </c>
      <c r="F966" t="s">
        <v>13</v>
      </c>
      <c r="G966" t="s">
        <v>14</v>
      </c>
      <c r="H966" t="s">
        <v>15</v>
      </c>
      <c r="J966" s="1">
        <v>44145</v>
      </c>
      <c r="K966" t="s">
        <v>1124</v>
      </c>
      <c r="L966" t="s">
        <v>21</v>
      </c>
      <c r="M966" t="s">
        <v>63</v>
      </c>
      <c r="N966" t="s">
        <v>80</v>
      </c>
    </row>
    <row r="967" spans="1:14" x14ac:dyDescent="0.25">
      <c r="A967" t="s">
        <v>1122</v>
      </c>
      <c r="B967">
        <v>5694</v>
      </c>
      <c r="C967">
        <v>1134</v>
      </c>
      <c r="E967">
        <v>5</v>
      </c>
      <c r="F967" t="s">
        <v>45</v>
      </c>
      <c r="G967" t="s">
        <v>49</v>
      </c>
      <c r="H967" t="s">
        <v>40</v>
      </c>
      <c r="J967" s="1">
        <v>45366</v>
      </c>
      <c r="K967" t="s">
        <v>1123</v>
      </c>
      <c r="L967" t="s">
        <v>25</v>
      </c>
      <c r="M967" t="s">
        <v>51</v>
      </c>
      <c r="N967" t="s">
        <v>338</v>
      </c>
    </row>
    <row r="968" spans="1:14" x14ac:dyDescent="0.25">
      <c r="A968" t="s">
        <v>1122</v>
      </c>
      <c r="B968">
        <v>5694</v>
      </c>
      <c r="C968">
        <v>1134</v>
      </c>
      <c r="E968">
        <v>5</v>
      </c>
      <c r="F968" t="s">
        <v>45</v>
      </c>
      <c r="G968" t="s">
        <v>49</v>
      </c>
      <c r="H968" t="s">
        <v>40</v>
      </c>
      <c r="J968" s="1">
        <v>44145</v>
      </c>
      <c r="K968" t="s">
        <v>1124</v>
      </c>
      <c r="L968" t="s">
        <v>21</v>
      </c>
      <c r="M968" t="s">
        <v>63</v>
      </c>
      <c r="N968" t="s">
        <v>80</v>
      </c>
    </row>
    <row r="969" spans="1:14" x14ac:dyDescent="0.25">
      <c r="A969" t="s">
        <v>1125</v>
      </c>
      <c r="B969">
        <v>962</v>
      </c>
      <c r="C969">
        <v>298</v>
      </c>
      <c r="E969">
        <v>18</v>
      </c>
      <c r="F969" t="s">
        <v>30</v>
      </c>
      <c r="G969" t="s">
        <v>78</v>
      </c>
      <c r="H969" t="s">
        <v>47</v>
      </c>
      <c r="J969" s="1">
        <v>44765</v>
      </c>
      <c r="K969" t="s">
        <v>1126</v>
      </c>
      <c r="L969" t="s">
        <v>21</v>
      </c>
      <c r="M969" t="s">
        <v>63</v>
      </c>
      <c r="N969" t="s">
        <v>418</v>
      </c>
    </row>
    <row r="970" spans="1:14" x14ac:dyDescent="0.25">
      <c r="A970" t="s">
        <v>1127</v>
      </c>
      <c r="B970">
        <v>2995</v>
      </c>
      <c r="C970">
        <v>220</v>
      </c>
      <c r="E970">
        <v>14</v>
      </c>
      <c r="F970" t="s">
        <v>45</v>
      </c>
      <c r="G970" t="s">
        <v>109</v>
      </c>
      <c r="H970" t="s">
        <v>47</v>
      </c>
      <c r="J970" s="1">
        <v>45548</v>
      </c>
      <c r="K970" t="s">
        <v>1128</v>
      </c>
      <c r="L970" t="s">
        <v>25</v>
      </c>
      <c r="M970" t="s">
        <v>26</v>
      </c>
      <c r="N970" t="s">
        <v>159</v>
      </c>
    </row>
    <row r="971" spans="1:14" x14ac:dyDescent="0.25">
      <c r="A971" t="s">
        <v>1127</v>
      </c>
      <c r="B971">
        <v>2047</v>
      </c>
      <c r="C971">
        <v>914</v>
      </c>
      <c r="E971">
        <v>5</v>
      </c>
      <c r="F971" t="s">
        <v>30</v>
      </c>
      <c r="G971" t="s">
        <v>57</v>
      </c>
      <c r="H971" t="s">
        <v>32</v>
      </c>
      <c r="J971" s="1">
        <v>45548</v>
      </c>
      <c r="K971" t="s">
        <v>1128</v>
      </c>
      <c r="L971" t="s">
        <v>25</v>
      </c>
      <c r="M971" t="s">
        <v>26</v>
      </c>
      <c r="N971" t="s">
        <v>159</v>
      </c>
    </row>
    <row r="972" spans="1:14" x14ac:dyDescent="0.25">
      <c r="A972" t="s">
        <v>1129</v>
      </c>
      <c r="B972">
        <v>2078</v>
      </c>
      <c r="C972">
        <v>612</v>
      </c>
      <c r="E972">
        <v>6</v>
      </c>
      <c r="F972" t="s">
        <v>13</v>
      </c>
      <c r="G972" t="s">
        <v>39</v>
      </c>
      <c r="H972" t="s">
        <v>65</v>
      </c>
      <c r="J972" s="1">
        <v>44586</v>
      </c>
      <c r="K972" t="s">
        <v>1130</v>
      </c>
      <c r="L972" t="s">
        <v>71</v>
      </c>
      <c r="M972" t="s">
        <v>86</v>
      </c>
      <c r="N972" t="s">
        <v>87</v>
      </c>
    </row>
    <row r="973" spans="1:14" x14ac:dyDescent="0.25">
      <c r="A973" t="s">
        <v>1131</v>
      </c>
      <c r="B973">
        <v>2737</v>
      </c>
      <c r="C973">
        <v>1253</v>
      </c>
      <c r="E973">
        <v>3</v>
      </c>
      <c r="F973" t="s">
        <v>13</v>
      </c>
      <c r="G973" t="s">
        <v>28</v>
      </c>
      <c r="H973" t="s">
        <v>40</v>
      </c>
      <c r="J973" s="1">
        <v>44305</v>
      </c>
      <c r="K973" t="s">
        <v>1132</v>
      </c>
      <c r="L973" t="s">
        <v>25</v>
      </c>
      <c r="M973" t="s">
        <v>51</v>
      </c>
      <c r="N973" t="s">
        <v>139</v>
      </c>
    </row>
    <row r="974" spans="1:14" x14ac:dyDescent="0.25">
      <c r="A974" t="s">
        <v>1133</v>
      </c>
      <c r="B974">
        <v>8194</v>
      </c>
      <c r="C974">
        <v>2881</v>
      </c>
      <c r="E974">
        <v>6</v>
      </c>
      <c r="F974" t="s">
        <v>30</v>
      </c>
      <c r="G974" t="s">
        <v>64</v>
      </c>
      <c r="H974" t="s">
        <v>32</v>
      </c>
      <c r="J974" s="1">
        <v>44395</v>
      </c>
      <c r="K974" t="s">
        <v>1134</v>
      </c>
      <c r="L974" t="s">
        <v>71</v>
      </c>
      <c r="M974" t="s">
        <v>138</v>
      </c>
      <c r="N974" t="s">
        <v>27</v>
      </c>
    </row>
    <row r="975" spans="1:14" x14ac:dyDescent="0.25">
      <c r="A975" t="s">
        <v>1135</v>
      </c>
      <c r="B975">
        <v>9914</v>
      </c>
      <c r="C975">
        <v>3858</v>
      </c>
      <c r="E975">
        <v>16</v>
      </c>
      <c r="F975" t="s">
        <v>45</v>
      </c>
      <c r="G975" t="s">
        <v>60</v>
      </c>
      <c r="H975" t="s">
        <v>47</v>
      </c>
      <c r="J975" s="1">
        <v>44736</v>
      </c>
      <c r="K975" t="s">
        <v>1136</v>
      </c>
      <c r="L975" t="s">
        <v>25</v>
      </c>
      <c r="M975" t="s">
        <v>26</v>
      </c>
      <c r="N975" t="s">
        <v>165</v>
      </c>
    </row>
    <row r="976" spans="1:14" x14ac:dyDescent="0.25">
      <c r="A976" t="s">
        <v>1135</v>
      </c>
      <c r="B976">
        <v>9914</v>
      </c>
      <c r="C976">
        <v>3858</v>
      </c>
      <c r="E976">
        <v>16</v>
      </c>
      <c r="F976" t="s">
        <v>45</v>
      </c>
      <c r="G976" t="s">
        <v>60</v>
      </c>
      <c r="H976" t="s">
        <v>47</v>
      </c>
      <c r="J976" s="1">
        <v>45451</v>
      </c>
      <c r="K976" t="s">
        <v>1137</v>
      </c>
      <c r="L976" t="s">
        <v>25</v>
      </c>
      <c r="M976" t="s">
        <v>68</v>
      </c>
      <c r="N976" t="s">
        <v>262</v>
      </c>
    </row>
    <row r="977" spans="1:14" x14ac:dyDescent="0.25">
      <c r="A977" t="s">
        <v>1135</v>
      </c>
      <c r="B977">
        <v>5470</v>
      </c>
      <c r="C977">
        <v>292</v>
      </c>
      <c r="E977">
        <v>7</v>
      </c>
      <c r="F977" t="s">
        <v>30</v>
      </c>
      <c r="G977" t="s">
        <v>31</v>
      </c>
      <c r="H977" t="s">
        <v>32</v>
      </c>
      <c r="J977" s="1">
        <v>44736</v>
      </c>
      <c r="K977" t="s">
        <v>1136</v>
      </c>
      <c r="L977" t="s">
        <v>25</v>
      </c>
      <c r="M977" t="s">
        <v>26</v>
      </c>
      <c r="N977" t="s">
        <v>165</v>
      </c>
    </row>
    <row r="978" spans="1:14" x14ac:dyDescent="0.25">
      <c r="A978" t="s">
        <v>1135</v>
      </c>
      <c r="B978">
        <v>5470</v>
      </c>
      <c r="C978">
        <v>292</v>
      </c>
      <c r="E978">
        <v>7</v>
      </c>
      <c r="F978" t="s">
        <v>30</v>
      </c>
      <c r="G978" t="s">
        <v>31</v>
      </c>
      <c r="H978" t="s">
        <v>32</v>
      </c>
      <c r="J978" s="1">
        <v>45451</v>
      </c>
      <c r="K978" t="s">
        <v>1137</v>
      </c>
      <c r="L978" t="s">
        <v>25</v>
      </c>
      <c r="M978" t="s">
        <v>68</v>
      </c>
      <c r="N978" t="s">
        <v>262</v>
      </c>
    </row>
    <row r="979" spans="1:14" x14ac:dyDescent="0.25">
      <c r="A979" t="s">
        <v>1135</v>
      </c>
      <c r="B979">
        <v>1496</v>
      </c>
      <c r="C979">
        <v>662</v>
      </c>
      <c r="E979">
        <v>17</v>
      </c>
      <c r="F979" t="s">
        <v>45</v>
      </c>
      <c r="G979" t="s">
        <v>109</v>
      </c>
      <c r="H979" t="s">
        <v>15</v>
      </c>
      <c r="J979" s="1">
        <v>44736</v>
      </c>
      <c r="K979" t="s">
        <v>1136</v>
      </c>
      <c r="L979" t="s">
        <v>25</v>
      </c>
      <c r="M979" t="s">
        <v>26</v>
      </c>
      <c r="N979" t="s">
        <v>165</v>
      </c>
    </row>
    <row r="980" spans="1:14" x14ac:dyDescent="0.25">
      <c r="A980" t="s">
        <v>1135</v>
      </c>
      <c r="B980">
        <v>1496</v>
      </c>
      <c r="C980">
        <v>662</v>
      </c>
      <c r="E980">
        <v>17</v>
      </c>
      <c r="F980" t="s">
        <v>45</v>
      </c>
      <c r="G980" t="s">
        <v>109</v>
      </c>
      <c r="H980" t="s">
        <v>15</v>
      </c>
      <c r="J980" s="1">
        <v>45451</v>
      </c>
      <c r="K980" t="s">
        <v>1137</v>
      </c>
      <c r="L980" t="s">
        <v>25</v>
      </c>
      <c r="M980" t="s">
        <v>68</v>
      </c>
      <c r="N980" t="s">
        <v>262</v>
      </c>
    </row>
    <row r="981" spans="1:14" x14ac:dyDescent="0.25">
      <c r="A981" t="s">
        <v>1138</v>
      </c>
      <c r="B981">
        <v>3228</v>
      </c>
      <c r="C981">
        <v>476</v>
      </c>
      <c r="E981">
        <v>9</v>
      </c>
      <c r="F981" t="s">
        <v>30</v>
      </c>
      <c r="G981" t="s">
        <v>64</v>
      </c>
      <c r="H981" t="s">
        <v>65</v>
      </c>
      <c r="J981" s="1">
        <v>44833</v>
      </c>
      <c r="K981" t="s">
        <v>1139</v>
      </c>
      <c r="L981" t="s">
        <v>25</v>
      </c>
      <c r="M981" t="s">
        <v>51</v>
      </c>
      <c r="N981" t="s">
        <v>131</v>
      </c>
    </row>
    <row r="982" spans="1:14" x14ac:dyDescent="0.25">
      <c r="A982" t="s">
        <v>1140</v>
      </c>
      <c r="B982">
        <v>3918</v>
      </c>
      <c r="C982">
        <v>749</v>
      </c>
      <c r="E982">
        <v>8</v>
      </c>
      <c r="F982" t="s">
        <v>13</v>
      </c>
      <c r="G982" t="s">
        <v>39</v>
      </c>
      <c r="H982" t="s">
        <v>47</v>
      </c>
      <c r="J982" s="1">
        <v>45056</v>
      </c>
      <c r="K982" t="s">
        <v>1141</v>
      </c>
      <c r="L982" t="s">
        <v>42</v>
      </c>
      <c r="M982" t="s">
        <v>75</v>
      </c>
      <c r="N982" t="s">
        <v>127</v>
      </c>
    </row>
    <row r="983" spans="1:14" x14ac:dyDescent="0.25">
      <c r="A983" t="s">
        <v>1140</v>
      </c>
      <c r="B983">
        <v>3918</v>
      </c>
      <c r="C983">
        <v>749</v>
      </c>
      <c r="E983">
        <v>8</v>
      </c>
      <c r="F983" t="s">
        <v>13</v>
      </c>
      <c r="G983" t="s">
        <v>39</v>
      </c>
      <c r="H983" t="s">
        <v>47</v>
      </c>
      <c r="J983" s="1">
        <v>43953</v>
      </c>
      <c r="K983" t="s">
        <v>1142</v>
      </c>
      <c r="L983" t="s">
        <v>71</v>
      </c>
      <c r="M983" t="s">
        <v>138</v>
      </c>
      <c r="N983" t="s">
        <v>59</v>
      </c>
    </row>
    <row r="984" spans="1:14" x14ac:dyDescent="0.25">
      <c r="A984" t="s">
        <v>1143</v>
      </c>
      <c r="B984">
        <v>9921</v>
      </c>
      <c r="C984">
        <v>1451</v>
      </c>
      <c r="E984">
        <v>15</v>
      </c>
      <c r="F984" t="s">
        <v>45</v>
      </c>
      <c r="G984" t="s">
        <v>60</v>
      </c>
      <c r="H984" t="s">
        <v>40</v>
      </c>
      <c r="J984" s="1">
        <v>44298</v>
      </c>
      <c r="K984" t="s">
        <v>1144</v>
      </c>
      <c r="L984" t="s">
        <v>21</v>
      </c>
      <c r="M984" t="s">
        <v>22</v>
      </c>
      <c r="N984" t="s">
        <v>139</v>
      </c>
    </row>
    <row r="985" spans="1:14" x14ac:dyDescent="0.25">
      <c r="A985" t="s">
        <v>1145</v>
      </c>
      <c r="B985">
        <v>9694</v>
      </c>
      <c r="C985">
        <v>4361</v>
      </c>
      <c r="E985">
        <v>1</v>
      </c>
      <c r="F985" t="s">
        <v>45</v>
      </c>
      <c r="G985" t="s">
        <v>49</v>
      </c>
      <c r="H985" t="s">
        <v>40</v>
      </c>
      <c r="J985" s="1">
        <v>45234</v>
      </c>
      <c r="K985" t="s">
        <v>1146</v>
      </c>
      <c r="L985" t="s">
        <v>21</v>
      </c>
      <c r="M985" t="s">
        <v>63</v>
      </c>
      <c r="N985" t="s">
        <v>52</v>
      </c>
    </row>
    <row r="986" spans="1:14" x14ac:dyDescent="0.25">
      <c r="A986" t="s">
        <v>1147</v>
      </c>
      <c r="B986">
        <v>5028</v>
      </c>
      <c r="C986">
        <v>1553</v>
      </c>
      <c r="E986">
        <v>13</v>
      </c>
      <c r="F986" t="s">
        <v>30</v>
      </c>
      <c r="G986" t="s">
        <v>64</v>
      </c>
      <c r="H986" t="s">
        <v>40</v>
      </c>
      <c r="J986" s="1">
        <v>43955</v>
      </c>
      <c r="K986" t="s">
        <v>1148</v>
      </c>
      <c r="L986" t="s">
        <v>17</v>
      </c>
      <c r="M986" t="s">
        <v>150</v>
      </c>
      <c r="N986" t="s">
        <v>59</v>
      </c>
    </row>
    <row r="987" spans="1:14" x14ac:dyDescent="0.25">
      <c r="A987" t="s">
        <v>1149</v>
      </c>
      <c r="B987">
        <v>594</v>
      </c>
      <c r="C987">
        <v>67</v>
      </c>
      <c r="E987">
        <v>19</v>
      </c>
      <c r="F987" t="s">
        <v>30</v>
      </c>
      <c r="G987" t="s">
        <v>64</v>
      </c>
      <c r="H987" t="s">
        <v>32</v>
      </c>
      <c r="J987" s="1">
        <v>45179</v>
      </c>
      <c r="K987" t="s">
        <v>1150</v>
      </c>
      <c r="L987" t="s">
        <v>25</v>
      </c>
      <c r="M987" t="s">
        <v>26</v>
      </c>
      <c r="N987" t="s">
        <v>273</v>
      </c>
    </row>
    <row r="988" spans="1:14" x14ac:dyDescent="0.25">
      <c r="A988" t="s">
        <v>1149</v>
      </c>
      <c r="B988">
        <v>594</v>
      </c>
      <c r="C988">
        <v>67</v>
      </c>
      <c r="E988">
        <v>19</v>
      </c>
      <c r="F988" t="s">
        <v>30</v>
      </c>
      <c r="G988" t="s">
        <v>64</v>
      </c>
      <c r="H988" t="s">
        <v>32</v>
      </c>
      <c r="J988" s="1">
        <v>45296</v>
      </c>
      <c r="K988" t="s">
        <v>1151</v>
      </c>
      <c r="L988" t="s">
        <v>17</v>
      </c>
      <c r="M988" t="s">
        <v>18</v>
      </c>
      <c r="N988" t="s">
        <v>76</v>
      </c>
    </row>
    <row r="989" spans="1:14" x14ac:dyDescent="0.25">
      <c r="A989" t="s">
        <v>1149</v>
      </c>
      <c r="B989">
        <v>594</v>
      </c>
      <c r="C989">
        <v>67</v>
      </c>
      <c r="E989">
        <v>19</v>
      </c>
      <c r="F989" t="s">
        <v>30</v>
      </c>
      <c r="G989" t="s">
        <v>64</v>
      </c>
      <c r="H989" t="s">
        <v>32</v>
      </c>
      <c r="J989" s="1">
        <v>45420</v>
      </c>
      <c r="K989" t="s">
        <v>1152</v>
      </c>
      <c r="L989" t="s">
        <v>71</v>
      </c>
      <c r="M989" t="s">
        <v>86</v>
      </c>
      <c r="N989" t="s">
        <v>35</v>
      </c>
    </row>
    <row r="990" spans="1:14" x14ac:dyDescent="0.25">
      <c r="A990" t="s">
        <v>1153</v>
      </c>
      <c r="B990">
        <v>5954</v>
      </c>
      <c r="C990">
        <v>2618</v>
      </c>
      <c r="E990">
        <v>11</v>
      </c>
      <c r="F990" t="s">
        <v>45</v>
      </c>
      <c r="G990" t="s">
        <v>46</v>
      </c>
      <c r="H990" t="s">
        <v>65</v>
      </c>
      <c r="J990" s="1">
        <v>45381</v>
      </c>
      <c r="K990" t="s">
        <v>1154</v>
      </c>
      <c r="L990" t="s">
        <v>98</v>
      </c>
      <c r="M990" t="s">
        <v>107</v>
      </c>
      <c r="N990" t="s">
        <v>338</v>
      </c>
    </row>
    <row r="991" spans="1:14" x14ac:dyDescent="0.25">
      <c r="A991" t="s">
        <v>1155</v>
      </c>
      <c r="B991">
        <v>3518</v>
      </c>
      <c r="C991">
        <v>1051</v>
      </c>
      <c r="E991">
        <v>3</v>
      </c>
      <c r="F991" t="s">
        <v>45</v>
      </c>
      <c r="G991" t="s">
        <v>109</v>
      </c>
      <c r="H991" t="s">
        <v>15</v>
      </c>
      <c r="J991" s="1">
        <v>44084</v>
      </c>
      <c r="K991" t="s">
        <v>1156</v>
      </c>
      <c r="L991" t="s">
        <v>42</v>
      </c>
      <c r="M991" t="s">
        <v>92</v>
      </c>
      <c r="N991" t="s">
        <v>389</v>
      </c>
    </row>
    <row r="992" spans="1:14" x14ac:dyDescent="0.25">
      <c r="A992" t="s">
        <v>1155</v>
      </c>
      <c r="B992">
        <v>4157</v>
      </c>
      <c r="C992">
        <v>1874</v>
      </c>
      <c r="E992">
        <v>8</v>
      </c>
      <c r="F992" t="s">
        <v>13</v>
      </c>
      <c r="G992" t="s">
        <v>39</v>
      </c>
      <c r="H992" t="s">
        <v>40</v>
      </c>
      <c r="J992" s="1">
        <v>44084</v>
      </c>
      <c r="K992" t="s">
        <v>1156</v>
      </c>
      <c r="L992" t="s">
        <v>42</v>
      </c>
      <c r="M992" t="s">
        <v>92</v>
      </c>
      <c r="N992" t="s">
        <v>389</v>
      </c>
    </row>
    <row r="993" spans="1:14" x14ac:dyDescent="0.25">
      <c r="A993" t="s">
        <v>1157</v>
      </c>
      <c r="B993">
        <v>3747</v>
      </c>
      <c r="C993">
        <v>410</v>
      </c>
      <c r="E993">
        <v>5</v>
      </c>
      <c r="F993" t="s">
        <v>30</v>
      </c>
      <c r="G993" t="s">
        <v>57</v>
      </c>
      <c r="H993" t="s">
        <v>47</v>
      </c>
      <c r="J993" s="1">
        <v>44024</v>
      </c>
      <c r="K993" t="s">
        <v>1158</v>
      </c>
      <c r="L993" t="s">
        <v>21</v>
      </c>
      <c r="M993" t="s">
        <v>63</v>
      </c>
      <c r="N993" t="s">
        <v>462</v>
      </c>
    </row>
    <row r="994" spans="1:14" x14ac:dyDescent="0.25">
      <c r="A994" t="s">
        <v>1157</v>
      </c>
      <c r="B994">
        <v>3747</v>
      </c>
      <c r="C994">
        <v>410</v>
      </c>
      <c r="E994">
        <v>5</v>
      </c>
      <c r="F994" t="s">
        <v>30</v>
      </c>
      <c r="G994" t="s">
        <v>57</v>
      </c>
      <c r="H994" t="s">
        <v>47</v>
      </c>
      <c r="J994" s="1">
        <v>44903</v>
      </c>
      <c r="K994" t="s">
        <v>1159</v>
      </c>
      <c r="L994" t="s">
        <v>25</v>
      </c>
      <c r="M994" t="s">
        <v>26</v>
      </c>
      <c r="N994" t="s">
        <v>152</v>
      </c>
    </row>
    <row r="995" spans="1:14" x14ac:dyDescent="0.25">
      <c r="A995" t="s">
        <v>1157</v>
      </c>
      <c r="B995">
        <v>3747</v>
      </c>
      <c r="C995">
        <v>410</v>
      </c>
      <c r="E995">
        <v>5</v>
      </c>
      <c r="F995" t="s">
        <v>30</v>
      </c>
      <c r="G995" t="s">
        <v>57</v>
      </c>
      <c r="H995" t="s">
        <v>47</v>
      </c>
      <c r="J995" s="1">
        <v>45378</v>
      </c>
      <c r="K995" t="s">
        <v>1160</v>
      </c>
      <c r="L995" t="s">
        <v>98</v>
      </c>
      <c r="M995" t="s">
        <v>99</v>
      </c>
      <c r="N995" t="s">
        <v>338</v>
      </c>
    </row>
    <row r="996" spans="1:14" x14ac:dyDescent="0.25">
      <c r="A996" t="s">
        <v>1157</v>
      </c>
      <c r="B996">
        <v>3747</v>
      </c>
      <c r="C996">
        <v>410</v>
      </c>
      <c r="E996">
        <v>5</v>
      </c>
      <c r="F996" t="s">
        <v>30</v>
      </c>
      <c r="G996" t="s">
        <v>57</v>
      </c>
      <c r="H996" t="s">
        <v>47</v>
      </c>
      <c r="J996" s="1">
        <v>44974</v>
      </c>
      <c r="K996" t="s">
        <v>1161</v>
      </c>
      <c r="L996" t="s">
        <v>21</v>
      </c>
      <c r="M996" t="s">
        <v>22</v>
      </c>
      <c r="N996" t="s">
        <v>93</v>
      </c>
    </row>
    <row r="997" spans="1:14" x14ac:dyDescent="0.25">
      <c r="A997" t="s">
        <v>1157</v>
      </c>
      <c r="B997">
        <v>3747</v>
      </c>
      <c r="C997">
        <v>410</v>
      </c>
      <c r="E997">
        <v>5</v>
      </c>
      <c r="F997" t="s">
        <v>30</v>
      </c>
      <c r="G997" t="s">
        <v>57</v>
      </c>
      <c r="H997" t="s">
        <v>47</v>
      </c>
      <c r="J997" s="1">
        <v>44398</v>
      </c>
      <c r="K997" t="s">
        <v>1162</v>
      </c>
      <c r="L997" t="s">
        <v>42</v>
      </c>
      <c r="M997" t="s">
        <v>43</v>
      </c>
      <c r="N997" t="s">
        <v>27</v>
      </c>
    </row>
    <row r="998" spans="1:14" x14ac:dyDescent="0.25">
      <c r="A998" t="s">
        <v>1157</v>
      </c>
      <c r="B998">
        <v>3194</v>
      </c>
      <c r="C998">
        <v>534</v>
      </c>
      <c r="E998">
        <v>4</v>
      </c>
      <c r="F998" t="s">
        <v>30</v>
      </c>
      <c r="G998" t="s">
        <v>78</v>
      </c>
      <c r="H998" t="s">
        <v>15</v>
      </c>
      <c r="J998" s="1">
        <v>44024</v>
      </c>
      <c r="K998" t="s">
        <v>1158</v>
      </c>
      <c r="L998" t="s">
        <v>21</v>
      </c>
      <c r="M998" t="s">
        <v>63</v>
      </c>
      <c r="N998" t="s">
        <v>462</v>
      </c>
    </row>
    <row r="999" spans="1:14" x14ac:dyDescent="0.25">
      <c r="A999" t="s">
        <v>1157</v>
      </c>
      <c r="B999">
        <v>3194</v>
      </c>
      <c r="C999">
        <v>534</v>
      </c>
      <c r="E999">
        <v>4</v>
      </c>
      <c r="F999" t="s">
        <v>30</v>
      </c>
      <c r="G999" t="s">
        <v>78</v>
      </c>
      <c r="H999" t="s">
        <v>15</v>
      </c>
      <c r="J999" s="1">
        <v>44903</v>
      </c>
      <c r="K999" t="s">
        <v>1159</v>
      </c>
      <c r="L999" t="s">
        <v>25</v>
      </c>
      <c r="M999" t="s">
        <v>26</v>
      </c>
      <c r="N999" t="s">
        <v>152</v>
      </c>
    </row>
    <row r="1000" spans="1:14" x14ac:dyDescent="0.25">
      <c r="A1000" t="s">
        <v>1157</v>
      </c>
      <c r="B1000">
        <v>3194</v>
      </c>
      <c r="C1000">
        <v>534</v>
      </c>
      <c r="E1000">
        <v>4</v>
      </c>
      <c r="F1000" t="s">
        <v>30</v>
      </c>
      <c r="G1000" t="s">
        <v>78</v>
      </c>
      <c r="H1000" t="s">
        <v>15</v>
      </c>
      <c r="J1000" s="1">
        <v>45378</v>
      </c>
      <c r="K1000" t="s">
        <v>1160</v>
      </c>
      <c r="L1000" t="s">
        <v>98</v>
      </c>
      <c r="M1000" t="s">
        <v>99</v>
      </c>
      <c r="N1000" t="s">
        <v>338</v>
      </c>
    </row>
    <row r="1001" spans="1:14" x14ac:dyDescent="0.25">
      <c r="A1001" t="s">
        <v>1157</v>
      </c>
      <c r="B1001">
        <v>3194</v>
      </c>
      <c r="C1001">
        <v>534</v>
      </c>
      <c r="E1001">
        <v>4</v>
      </c>
      <c r="F1001" t="s">
        <v>30</v>
      </c>
      <c r="G1001" t="s">
        <v>78</v>
      </c>
      <c r="H1001" t="s">
        <v>15</v>
      </c>
      <c r="J1001" s="1">
        <v>44974</v>
      </c>
      <c r="K1001" t="s">
        <v>1161</v>
      </c>
      <c r="L1001" t="s">
        <v>21</v>
      </c>
      <c r="M1001" t="s">
        <v>22</v>
      </c>
      <c r="N1001" t="s">
        <v>93</v>
      </c>
    </row>
    <row r="1002" spans="1:14" x14ac:dyDescent="0.25">
      <c r="A1002" t="s">
        <v>1157</v>
      </c>
      <c r="B1002">
        <v>3194</v>
      </c>
      <c r="C1002">
        <v>534</v>
      </c>
      <c r="E1002">
        <v>4</v>
      </c>
      <c r="F1002" t="s">
        <v>30</v>
      </c>
      <c r="G1002" t="s">
        <v>78</v>
      </c>
      <c r="H1002" t="s">
        <v>15</v>
      </c>
      <c r="J1002" s="1">
        <v>44398</v>
      </c>
      <c r="K1002" t="s">
        <v>1162</v>
      </c>
      <c r="L1002" t="s">
        <v>42</v>
      </c>
      <c r="M1002" t="s">
        <v>43</v>
      </c>
      <c r="N1002" t="s">
        <v>27</v>
      </c>
    </row>
    <row r="1003" spans="1:14" x14ac:dyDescent="0.25">
      <c r="A1003" t="s">
        <v>1163</v>
      </c>
      <c r="B1003">
        <v>8548</v>
      </c>
      <c r="C1003">
        <v>2305</v>
      </c>
      <c r="E1003">
        <v>1</v>
      </c>
      <c r="F1003" t="s">
        <v>30</v>
      </c>
      <c r="G1003" t="s">
        <v>78</v>
      </c>
      <c r="H1003" t="s">
        <v>65</v>
      </c>
      <c r="J1003" s="1">
        <v>44864</v>
      </c>
      <c r="K1003" t="s">
        <v>1164</v>
      </c>
      <c r="L1003" t="s">
        <v>17</v>
      </c>
      <c r="M1003" t="s">
        <v>150</v>
      </c>
      <c r="N1003" t="s">
        <v>96</v>
      </c>
    </row>
    <row r="1004" spans="1:14" x14ac:dyDescent="0.25">
      <c r="A1004" t="s">
        <v>1165</v>
      </c>
      <c r="B1004">
        <v>6089</v>
      </c>
      <c r="C1004">
        <v>139</v>
      </c>
      <c r="E1004">
        <v>19</v>
      </c>
      <c r="F1004" t="s">
        <v>45</v>
      </c>
      <c r="G1004" t="s">
        <v>46</v>
      </c>
      <c r="H1004" t="s">
        <v>32</v>
      </c>
      <c r="J1004" s="1">
        <v>44196</v>
      </c>
      <c r="K1004" t="s">
        <v>1166</v>
      </c>
      <c r="L1004" t="s">
        <v>98</v>
      </c>
      <c r="M1004" t="s">
        <v>107</v>
      </c>
      <c r="N1004" t="s">
        <v>287</v>
      </c>
    </row>
    <row r="1005" spans="1:14" x14ac:dyDescent="0.25">
      <c r="A1005" t="s">
        <v>1165</v>
      </c>
      <c r="B1005">
        <v>6089</v>
      </c>
      <c r="C1005">
        <v>139</v>
      </c>
      <c r="E1005">
        <v>19</v>
      </c>
      <c r="F1005" t="s">
        <v>45</v>
      </c>
      <c r="G1005" t="s">
        <v>46</v>
      </c>
      <c r="H1005" t="s">
        <v>32</v>
      </c>
      <c r="J1005" s="1">
        <v>44666</v>
      </c>
      <c r="K1005" t="s">
        <v>1167</v>
      </c>
      <c r="L1005" t="s">
        <v>98</v>
      </c>
      <c r="M1005" t="s">
        <v>117</v>
      </c>
      <c r="N1005" t="s">
        <v>187</v>
      </c>
    </row>
    <row r="1006" spans="1:14" x14ac:dyDescent="0.25">
      <c r="A1006" t="s">
        <v>1165</v>
      </c>
      <c r="B1006">
        <v>6089</v>
      </c>
      <c r="C1006">
        <v>139</v>
      </c>
      <c r="E1006">
        <v>19</v>
      </c>
      <c r="F1006" t="s">
        <v>45</v>
      </c>
      <c r="G1006" t="s">
        <v>46</v>
      </c>
      <c r="H1006" t="s">
        <v>32</v>
      </c>
      <c r="J1006" s="1">
        <v>45021</v>
      </c>
      <c r="K1006" t="s">
        <v>1168</v>
      </c>
      <c r="L1006" t="s">
        <v>21</v>
      </c>
      <c r="M1006" t="s">
        <v>22</v>
      </c>
      <c r="N1006" t="s">
        <v>145</v>
      </c>
    </row>
    <row r="1007" spans="1:14" x14ac:dyDescent="0.25">
      <c r="A1007" t="s">
        <v>1165</v>
      </c>
      <c r="B1007">
        <v>2586</v>
      </c>
      <c r="C1007">
        <v>800</v>
      </c>
      <c r="E1007">
        <v>16</v>
      </c>
      <c r="F1007" t="s">
        <v>45</v>
      </c>
      <c r="G1007" t="s">
        <v>46</v>
      </c>
      <c r="H1007" t="s">
        <v>15</v>
      </c>
      <c r="J1007" s="1">
        <v>44196</v>
      </c>
      <c r="K1007" t="s">
        <v>1166</v>
      </c>
      <c r="L1007" t="s">
        <v>98</v>
      </c>
      <c r="M1007" t="s">
        <v>107</v>
      </c>
      <c r="N1007" t="s">
        <v>287</v>
      </c>
    </row>
    <row r="1008" spans="1:14" x14ac:dyDescent="0.25">
      <c r="A1008" t="s">
        <v>1165</v>
      </c>
      <c r="B1008">
        <v>2586</v>
      </c>
      <c r="C1008">
        <v>800</v>
      </c>
      <c r="E1008">
        <v>16</v>
      </c>
      <c r="F1008" t="s">
        <v>45</v>
      </c>
      <c r="G1008" t="s">
        <v>46</v>
      </c>
      <c r="H1008" t="s">
        <v>15</v>
      </c>
      <c r="J1008" s="1">
        <v>44666</v>
      </c>
      <c r="K1008" t="s">
        <v>1167</v>
      </c>
      <c r="L1008" t="s">
        <v>98</v>
      </c>
      <c r="M1008" t="s">
        <v>117</v>
      </c>
      <c r="N1008" t="s">
        <v>187</v>
      </c>
    </row>
    <row r="1009" spans="1:14" x14ac:dyDescent="0.25">
      <c r="A1009" t="s">
        <v>1165</v>
      </c>
      <c r="B1009">
        <v>2586</v>
      </c>
      <c r="C1009">
        <v>800</v>
      </c>
      <c r="E1009">
        <v>16</v>
      </c>
      <c r="F1009" t="s">
        <v>45</v>
      </c>
      <c r="G1009" t="s">
        <v>46</v>
      </c>
      <c r="H1009" t="s">
        <v>15</v>
      </c>
      <c r="J1009" s="1">
        <v>45021</v>
      </c>
      <c r="K1009" t="s">
        <v>1168</v>
      </c>
      <c r="L1009" t="s">
        <v>21</v>
      </c>
      <c r="M1009" t="s">
        <v>22</v>
      </c>
      <c r="N1009" t="s">
        <v>145</v>
      </c>
    </row>
    <row r="1010" spans="1:14" x14ac:dyDescent="0.25">
      <c r="A1010" t="s">
        <v>1165</v>
      </c>
      <c r="B1010">
        <v>3757</v>
      </c>
      <c r="C1010">
        <v>1626</v>
      </c>
      <c r="E1010">
        <v>9</v>
      </c>
      <c r="F1010" t="s">
        <v>30</v>
      </c>
      <c r="G1010" t="s">
        <v>64</v>
      </c>
      <c r="H1010" t="s">
        <v>15</v>
      </c>
      <c r="J1010" s="1">
        <v>44196</v>
      </c>
      <c r="K1010" t="s">
        <v>1166</v>
      </c>
      <c r="L1010" t="s">
        <v>98</v>
      </c>
      <c r="M1010" t="s">
        <v>107</v>
      </c>
      <c r="N1010" t="s">
        <v>287</v>
      </c>
    </row>
    <row r="1011" spans="1:14" x14ac:dyDescent="0.25">
      <c r="A1011" t="s">
        <v>1165</v>
      </c>
      <c r="B1011">
        <v>3757</v>
      </c>
      <c r="C1011">
        <v>1626</v>
      </c>
      <c r="E1011">
        <v>9</v>
      </c>
      <c r="F1011" t="s">
        <v>30</v>
      </c>
      <c r="G1011" t="s">
        <v>64</v>
      </c>
      <c r="H1011" t="s">
        <v>15</v>
      </c>
      <c r="J1011" s="1">
        <v>44666</v>
      </c>
      <c r="K1011" t="s">
        <v>1167</v>
      </c>
      <c r="L1011" t="s">
        <v>98</v>
      </c>
      <c r="M1011" t="s">
        <v>117</v>
      </c>
      <c r="N1011" t="s">
        <v>187</v>
      </c>
    </row>
    <row r="1012" spans="1:14" x14ac:dyDescent="0.25">
      <c r="A1012" t="s">
        <v>1165</v>
      </c>
      <c r="B1012">
        <v>3757</v>
      </c>
      <c r="C1012">
        <v>1626</v>
      </c>
      <c r="E1012">
        <v>9</v>
      </c>
      <c r="F1012" t="s">
        <v>30</v>
      </c>
      <c r="G1012" t="s">
        <v>64</v>
      </c>
      <c r="H1012" t="s">
        <v>15</v>
      </c>
      <c r="J1012" s="1">
        <v>45021</v>
      </c>
      <c r="K1012" t="s">
        <v>1168</v>
      </c>
      <c r="L1012" t="s">
        <v>21</v>
      </c>
      <c r="M1012" t="s">
        <v>22</v>
      </c>
      <c r="N1012" t="s">
        <v>145</v>
      </c>
    </row>
    <row r="1013" spans="1:14" x14ac:dyDescent="0.25">
      <c r="A1013" t="s">
        <v>1169</v>
      </c>
      <c r="B1013">
        <v>5193</v>
      </c>
      <c r="C1013">
        <v>2530</v>
      </c>
      <c r="E1013">
        <v>5</v>
      </c>
      <c r="F1013" t="s">
        <v>45</v>
      </c>
      <c r="G1013" t="s">
        <v>60</v>
      </c>
      <c r="H1013" t="s">
        <v>32</v>
      </c>
      <c r="J1013" s="1">
        <v>44498</v>
      </c>
      <c r="K1013" t="s">
        <v>1170</v>
      </c>
      <c r="L1013" t="s">
        <v>42</v>
      </c>
      <c r="M1013" t="s">
        <v>75</v>
      </c>
      <c r="N1013" t="s">
        <v>37</v>
      </c>
    </row>
    <row r="1014" spans="1:14" x14ac:dyDescent="0.25">
      <c r="A1014" t="s">
        <v>1169</v>
      </c>
      <c r="B1014">
        <v>5193</v>
      </c>
      <c r="C1014">
        <v>2530</v>
      </c>
      <c r="E1014">
        <v>5</v>
      </c>
      <c r="F1014" t="s">
        <v>45</v>
      </c>
      <c r="G1014" t="s">
        <v>60</v>
      </c>
      <c r="H1014" t="s">
        <v>32</v>
      </c>
      <c r="J1014" s="1">
        <v>45655</v>
      </c>
      <c r="K1014" t="s">
        <v>1171</v>
      </c>
      <c r="L1014" t="s">
        <v>17</v>
      </c>
      <c r="M1014" t="s">
        <v>18</v>
      </c>
      <c r="N1014" t="s">
        <v>23</v>
      </c>
    </row>
    <row r="1015" spans="1:14" x14ac:dyDescent="0.25">
      <c r="A1015" t="s">
        <v>1172</v>
      </c>
      <c r="B1015">
        <v>7493</v>
      </c>
      <c r="C1015">
        <v>96</v>
      </c>
      <c r="E1015">
        <v>3</v>
      </c>
      <c r="F1015" t="s">
        <v>13</v>
      </c>
      <c r="G1015" t="s">
        <v>14</v>
      </c>
      <c r="H1015" t="s">
        <v>15</v>
      </c>
      <c r="J1015" s="1">
        <v>44054</v>
      </c>
      <c r="K1015" t="s">
        <v>1173</v>
      </c>
      <c r="L1015" t="s">
        <v>98</v>
      </c>
      <c r="M1015" t="s">
        <v>117</v>
      </c>
      <c r="N1015" t="s">
        <v>185</v>
      </c>
    </row>
    <row r="1016" spans="1:14" x14ac:dyDescent="0.25">
      <c r="A1016" t="s">
        <v>1174</v>
      </c>
      <c r="B1016">
        <v>2062</v>
      </c>
      <c r="C1016">
        <v>848</v>
      </c>
      <c r="E1016">
        <v>6</v>
      </c>
      <c r="F1016" t="s">
        <v>30</v>
      </c>
      <c r="G1016" t="s">
        <v>57</v>
      </c>
      <c r="H1016" t="s">
        <v>47</v>
      </c>
      <c r="J1016" s="1">
        <v>45355</v>
      </c>
      <c r="K1016" t="s">
        <v>1175</v>
      </c>
      <c r="L1016" t="s">
        <v>17</v>
      </c>
      <c r="M1016" t="s">
        <v>150</v>
      </c>
      <c r="N1016" t="s">
        <v>338</v>
      </c>
    </row>
    <row r="1017" spans="1:14" x14ac:dyDescent="0.25">
      <c r="A1017" t="s">
        <v>1176</v>
      </c>
      <c r="B1017">
        <v>7163</v>
      </c>
      <c r="C1017">
        <v>1536</v>
      </c>
      <c r="E1017">
        <v>1</v>
      </c>
      <c r="F1017" t="s">
        <v>13</v>
      </c>
      <c r="G1017" t="s">
        <v>82</v>
      </c>
      <c r="H1017" t="s">
        <v>40</v>
      </c>
      <c r="J1017" s="1">
        <v>45216</v>
      </c>
      <c r="K1017" t="s">
        <v>1177</v>
      </c>
      <c r="L1017" t="s">
        <v>42</v>
      </c>
      <c r="M1017" t="s">
        <v>75</v>
      </c>
      <c r="N1017" t="s">
        <v>442</v>
      </c>
    </row>
    <row r="1018" spans="1:14" x14ac:dyDescent="0.25">
      <c r="A1018" t="s">
        <v>1178</v>
      </c>
      <c r="B1018">
        <v>4026</v>
      </c>
      <c r="C1018">
        <v>163</v>
      </c>
      <c r="E1018">
        <v>6</v>
      </c>
      <c r="F1018" t="s">
        <v>13</v>
      </c>
      <c r="G1018" t="s">
        <v>82</v>
      </c>
      <c r="H1018" t="s">
        <v>65</v>
      </c>
      <c r="J1018" s="1">
        <v>45135</v>
      </c>
      <c r="K1018" t="s">
        <v>1179</v>
      </c>
      <c r="L1018" t="s">
        <v>25</v>
      </c>
      <c r="M1018" t="s">
        <v>51</v>
      </c>
      <c r="N1018" t="s">
        <v>105</v>
      </c>
    </row>
    <row r="1019" spans="1:14" x14ac:dyDescent="0.25">
      <c r="A1019" t="s">
        <v>1180</v>
      </c>
      <c r="B1019">
        <v>1894</v>
      </c>
      <c r="C1019">
        <v>275</v>
      </c>
      <c r="E1019">
        <v>5</v>
      </c>
      <c r="F1019" t="s">
        <v>45</v>
      </c>
      <c r="G1019" t="s">
        <v>49</v>
      </c>
      <c r="H1019" t="s">
        <v>47</v>
      </c>
      <c r="J1019" s="1">
        <v>44527</v>
      </c>
      <c r="K1019" t="s">
        <v>1181</v>
      </c>
      <c r="L1019" t="s">
        <v>17</v>
      </c>
      <c r="M1019" t="s">
        <v>18</v>
      </c>
      <c r="N1019" t="s">
        <v>175</v>
      </c>
    </row>
    <row r="1020" spans="1:14" x14ac:dyDescent="0.25">
      <c r="A1020" t="s">
        <v>1180</v>
      </c>
      <c r="B1020">
        <v>7144</v>
      </c>
      <c r="C1020">
        <v>192</v>
      </c>
      <c r="E1020">
        <v>13</v>
      </c>
      <c r="F1020" t="s">
        <v>13</v>
      </c>
      <c r="G1020" t="s">
        <v>14</v>
      </c>
      <c r="H1020" t="s">
        <v>47</v>
      </c>
      <c r="J1020" s="1">
        <v>44527</v>
      </c>
      <c r="K1020" t="s">
        <v>1181</v>
      </c>
      <c r="L1020" t="s">
        <v>17</v>
      </c>
      <c r="M1020" t="s">
        <v>18</v>
      </c>
      <c r="N1020" t="s">
        <v>175</v>
      </c>
    </row>
    <row r="1021" spans="1:14" x14ac:dyDescent="0.25">
      <c r="A1021" t="s">
        <v>1182</v>
      </c>
      <c r="B1021">
        <v>3482</v>
      </c>
      <c r="C1021">
        <v>1554</v>
      </c>
      <c r="E1021">
        <v>15</v>
      </c>
      <c r="F1021" t="s">
        <v>13</v>
      </c>
      <c r="G1021" t="s">
        <v>39</v>
      </c>
      <c r="H1021" t="s">
        <v>32</v>
      </c>
      <c r="J1021" s="1">
        <v>44083</v>
      </c>
      <c r="K1021" t="s">
        <v>1183</v>
      </c>
      <c r="L1021" t="s">
        <v>98</v>
      </c>
      <c r="M1021" t="s">
        <v>99</v>
      </c>
      <c r="N1021" t="s">
        <v>389</v>
      </c>
    </row>
    <row r="1022" spans="1:14" x14ac:dyDescent="0.25">
      <c r="A1022" t="s">
        <v>1184</v>
      </c>
      <c r="B1022">
        <v>4172</v>
      </c>
      <c r="C1022">
        <v>235</v>
      </c>
      <c r="E1022">
        <v>5</v>
      </c>
      <c r="F1022" t="s">
        <v>30</v>
      </c>
      <c r="G1022" t="s">
        <v>64</v>
      </c>
      <c r="H1022" t="s">
        <v>40</v>
      </c>
      <c r="J1022" s="1">
        <v>44349</v>
      </c>
      <c r="K1022" t="s">
        <v>1185</v>
      </c>
      <c r="L1022" t="s">
        <v>98</v>
      </c>
      <c r="M1022" t="s">
        <v>117</v>
      </c>
      <c r="N1022" t="s">
        <v>125</v>
      </c>
    </row>
    <row r="1023" spans="1:14" x14ac:dyDescent="0.25">
      <c r="A1023" t="s">
        <v>1184</v>
      </c>
      <c r="B1023">
        <v>4172</v>
      </c>
      <c r="C1023">
        <v>235</v>
      </c>
      <c r="E1023">
        <v>5</v>
      </c>
      <c r="F1023" t="s">
        <v>30</v>
      </c>
      <c r="G1023" t="s">
        <v>64</v>
      </c>
      <c r="H1023" t="s">
        <v>40</v>
      </c>
      <c r="J1023" s="1">
        <v>44795</v>
      </c>
      <c r="K1023" t="s">
        <v>1186</v>
      </c>
      <c r="L1023" t="s">
        <v>17</v>
      </c>
      <c r="M1023" t="s">
        <v>34</v>
      </c>
      <c r="N1023" t="s">
        <v>209</v>
      </c>
    </row>
    <row r="1024" spans="1:14" x14ac:dyDescent="0.25">
      <c r="A1024" t="s">
        <v>1184</v>
      </c>
      <c r="B1024">
        <v>4172</v>
      </c>
      <c r="C1024">
        <v>235</v>
      </c>
      <c r="E1024">
        <v>5</v>
      </c>
      <c r="F1024" t="s">
        <v>30</v>
      </c>
      <c r="G1024" t="s">
        <v>64</v>
      </c>
      <c r="H1024" t="s">
        <v>40</v>
      </c>
      <c r="J1024" s="1">
        <v>45398</v>
      </c>
      <c r="K1024" t="s">
        <v>1187</v>
      </c>
      <c r="L1024" t="s">
        <v>21</v>
      </c>
      <c r="M1024" t="s">
        <v>63</v>
      </c>
      <c r="N1024" t="s">
        <v>235</v>
      </c>
    </row>
    <row r="1025" spans="1:14" x14ac:dyDescent="0.25">
      <c r="A1025" t="s">
        <v>1188</v>
      </c>
      <c r="B1025">
        <v>6265</v>
      </c>
      <c r="C1025">
        <v>155</v>
      </c>
      <c r="E1025">
        <v>8</v>
      </c>
      <c r="F1025" t="s">
        <v>45</v>
      </c>
      <c r="G1025" t="s">
        <v>60</v>
      </c>
      <c r="H1025" t="s">
        <v>65</v>
      </c>
      <c r="J1025" s="1">
        <v>44796</v>
      </c>
      <c r="K1025" t="s">
        <v>1189</v>
      </c>
      <c r="L1025" t="s">
        <v>98</v>
      </c>
      <c r="M1025" t="s">
        <v>107</v>
      </c>
      <c r="N1025" t="s">
        <v>209</v>
      </c>
    </row>
    <row r="1026" spans="1:14" x14ac:dyDescent="0.25">
      <c r="A1026" t="s">
        <v>1188</v>
      </c>
      <c r="B1026">
        <v>6265</v>
      </c>
      <c r="C1026">
        <v>155</v>
      </c>
      <c r="E1026">
        <v>8</v>
      </c>
      <c r="F1026" t="s">
        <v>45</v>
      </c>
      <c r="G1026" t="s">
        <v>60</v>
      </c>
      <c r="H1026" t="s">
        <v>65</v>
      </c>
      <c r="J1026" s="1">
        <v>44267</v>
      </c>
      <c r="K1026" t="s">
        <v>1190</v>
      </c>
      <c r="L1026" t="s">
        <v>98</v>
      </c>
      <c r="M1026" t="s">
        <v>117</v>
      </c>
      <c r="N1026" t="s">
        <v>167</v>
      </c>
    </row>
    <row r="1027" spans="1:14" x14ac:dyDescent="0.25">
      <c r="A1027" t="s">
        <v>1191</v>
      </c>
      <c r="B1027">
        <v>2931</v>
      </c>
      <c r="C1027">
        <v>212</v>
      </c>
      <c r="E1027">
        <v>7</v>
      </c>
      <c r="F1027" t="s">
        <v>13</v>
      </c>
      <c r="G1027" t="s">
        <v>14</v>
      </c>
      <c r="H1027" t="s">
        <v>47</v>
      </c>
      <c r="J1027" s="1">
        <v>45469</v>
      </c>
      <c r="K1027" t="s">
        <v>1192</v>
      </c>
      <c r="L1027" t="s">
        <v>21</v>
      </c>
      <c r="M1027" t="s">
        <v>172</v>
      </c>
      <c r="N1027" t="s">
        <v>262</v>
      </c>
    </row>
    <row r="1028" spans="1:14" x14ac:dyDescent="0.25">
      <c r="A1028" t="s">
        <v>1191</v>
      </c>
      <c r="B1028">
        <v>2931</v>
      </c>
      <c r="C1028">
        <v>212</v>
      </c>
      <c r="E1028">
        <v>7</v>
      </c>
      <c r="F1028" t="s">
        <v>13</v>
      </c>
      <c r="G1028" t="s">
        <v>14</v>
      </c>
      <c r="H1028" t="s">
        <v>47</v>
      </c>
      <c r="J1028" s="1">
        <v>45268</v>
      </c>
      <c r="K1028" t="s">
        <v>1193</v>
      </c>
      <c r="L1028" t="s">
        <v>17</v>
      </c>
      <c r="M1028" t="s">
        <v>150</v>
      </c>
      <c r="N1028" t="s">
        <v>102</v>
      </c>
    </row>
    <row r="1029" spans="1:14" x14ac:dyDescent="0.25">
      <c r="A1029" t="s">
        <v>1194</v>
      </c>
      <c r="B1029">
        <v>1146</v>
      </c>
      <c r="C1029">
        <v>188</v>
      </c>
      <c r="E1029">
        <v>9</v>
      </c>
      <c r="F1029" t="s">
        <v>45</v>
      </c>
      <c r="G1029" t="s">
        <v>49</v>
      </c>
      <c r="H1029" t="s">
        <v>32</v>
      </c>
      <c r="J1029" s="1">
        <v>45623</v>
      </c>
      <c r="K1029" t="s">
        <v>1195</v>
      </c>
      <c r="L1029" t="s">
        <v>17</v>
      </c>
      <c r="M1029" t="s">
        <v>150</v>
      </c>
      <c r="N1029" t="s">
        <v>255</v>
      </c>
    </row>
    <row r="1030" spans="1:14" x14ac:dyDescent="0.25">
      <c r="A1030" t="s">
        <v>1196</v>
      </c>
      <c r="B1030">
        <v>9215</v>
      </c>
      <c r="C1030">
        <v>767</v>
      </c>
      <c r="E1030">
        <v>13</v>
      </c>
      <c r="F1030" t="s">
        <v>13</v>
      </c>
      <c r="G1030" t="s">
        <v>28</v>
      </c>
      <c r="H1030" t="s">
        <v>65</v>
      </c>
      <c r="J1030" s="1">
        <v>44571</v>
      </c>
      <c r="K1030" t="s">
        <v>1197</v>
      </c>
      <c r="L1030" t="s">
        <v>17</v>
      </c>
      <c r="M1030" t="s">
        <v>150</v>
      </c>
      <c r="N1030" t="s">
        <v>87</v>
      </c>
    </row>
    <row r="1031" spans="1:14" x14ac:dyDescent="0.25">
      <c r="A1031" t="s">
        <v>1196</v>
      </c>
      <c r="B1031">
        <v>9215</v>
      </c>
      <c r="C1031">
        <v>767</v>
      </c>
      <c r="E1031">
        <v>13</v>
      </c>
      <c r="F1031" t="s">
        <v>13</v>
      </c>
      <c r="G1031" t="s">
        <v>28</v>
      </c>
      <c r="H1031" t="s">
        <v>65</v>
      </c>
      <c r="J1031" s="1">
        <v>44501</v>
      </c>
      <c r="K1031" t="s">
        <v>1198</v>
      </c>
      <c r="L1031" t="s">
        <v>42</v>
      </c>
      <c r="M1031" t="s">
        <v>92</v>
      </c>
      <c r="N1031" t="s">
        <v>175</v>
      </c>
    </row>
    <row r="1032" spans="1:14" x14ac:dyDescent="0.25">
      <c r="A1032" t="s">
        <v>1199</v>
      </c>
      <c r="B1032">
        <v>7895</v>
      </c>
      <c r="C1032">
        <v>1005</v>
      </c>
      <c r="E1032">
        <v>1</v>
      </c>
      <c r="F1032" t="s">
        <v>45</v>
      </c>
      <c r="G1032" t="s">
        <v>49</v>
      </c>
      <c r="H1032" t="s">
        <v>47</v>
      </c>
      <c r="J1032" s="1">
        <v>45227</v>
      </c>
      <c r="K1032" t="s">
        <v>1200</v>
      </c>
      <c r="L1032" t="s">
        <v>98</v>
      </c>
      <c r="M1032" t="s">
        <v>107</v>
      </c>
      <c r="N1032" t="s">
        <v>442</v>
      </c>
    </row>
    <row r="1033" spans="1:14" x14ac:dyDescent="0.25">
      <c r="A1033" t="s">
        <v>1199</v>
      </c>
      <c r="B1033">
        <v>7895</v>
      </c>
      <c r="C1033">
        <v>1005</v>
      </c>
      <c r="E1033">
        <v>1</v>
      </c>
      <c r="F1033" t="s">
        <v>45</v>
      </c>
      <c r="G1033" t="s">
        <v>49</v>
      </c>
      <c r="H1033" t="s">
        <v>47</v>
      </c>
      <c r="J1033" s="1">
        <v>45717</v>
      </c>
      <c r="K1033" t="s">
        <v>1201</v>
      </c>
      <c r="L1033" t="s">
        <v>42</v>
      </c>
      <c r="M1033" t="s">
        <v>75</v>
      </c>
      <c r="N1033" t="s">
        <v>157</v>
      </c>
    </row>
    <row r="1034" spans="1:14" x14ac:dyDescent="0.25">
      <c r="A1034" t="s">
        <v>1199</v>
      </c>
      <c r="B1034">
        <v>2740</v>
      </c>
      <c r="C1034">
        <v>558</v>
      </c>
      <c r="E1034">
        <v>8</v>
      </c>
      <c r="F1034" t="s">
        <v>30</v>
      </c>
      <c r="G1034" t="s">
        <v>31</v>
      </c>
      <c r="H1034" t="s">
        <v>15</v>
      </c>
      <c r="J1034" s="1">
        <v>45227</v>
      </c>
      <c r="K1034" t="s">
        <v>1200</v>
      </c>
      <c r="L1034" t="s">
        <v>98</v>
      </c>
      <c r="M1034" t="s">
        <v>107</v>
      </c>
      <c r="N1034" t="s">
        <v>442</v>
      </c>
    </row>
    <row r="1035" spans="1:14" x14ac:dyDescent="0.25">
      <c r="A1035" t="s">
        <v>1199</v>
      </c>
      <c r="B1035">
        <v>2740</v>
      </c>
      <c r="C1035">
        <v>558</v>
      </c>
      <c r="E1035">
        <v>8</v>
      </c>
      <c r="F1035" t="s">
        <v>30</v>
      </c>
      <c r="G1035" t="s">
        <v>31</v>
      </c>
      <c r="H1035" t="s">
        <v>15</v>
      </c>
      <c r="J1035" s="1">
        <v>45717</v>
      </c>
      <c r="K1035" t="s">
        <v>1201</v>
      </c>
      <c r="L1035" t="s">
        <v>42</v>
      </c>
      <c r="M1035" t="s">
        <v>75</v>
      </c>
      <c r="N1035" t="s">
        <v>157</v>
      </c>
    </row>
    <row r="1036" spans="1:14" x14ac:dyDescent="0.25">
      <c r="A1036" t="s">
        <v>1202</v>
      </c>
      <c r="B1036">
        <v>5338</v>
      </c>
      <c r="C1036">
        <v>1354</v>
      </c>
      <c r="E1036">
        <v>16</v>
      </c>
      <c r="F1036" t="s">
        <v>30</v>
      </c>
      <c r="G1036" t="s">
        <v>57</v>
      </c>
      <c r="H1036" t="s">
        <v>15</v>
      </c>
      <c r="J1036" s="1">
        <v>45505</v>
      </c>
      <c r="K1036" t="s">
        <v>1203</v>
      </c>
      <c r="L1036" t="s">
        <v>21</v>
      </c>
      <c r="M1036" t="s">
        <v>172</v>
      </c>
      <c r="N1036" t="s">
        <v>114</v>
      </c>
    </row>
    <row r="1037" spans="1:14" x14ac:dyDescent="0.25">
      <c r="A1037" t="s">
        <v>1202</v>
      </c>
      <c r="B1037">
        <v>5338</v>
      </c>
      <c r="C1037">
        <v>1354</v>
      </c>
      <c r="E1037">
        <v>16</v>
      </c>
      <c r="F1037" t="s">
        <v>30</v>
      </c>
      <c r="G1037" t="s">
        <v>57</v>
      </c>
      <c r="H1037" t="s">
        <v>15</v>
      </c>
      <c r="J1037" s="1">
        <v>45084</v>
      </c>
      <c r="K1037" t="s">
        <v>1204</v>
      </c>
      <c r="L1037" t="s">
        <v>25</v>
      </c>
      <c r="M1037" t="s">
        <v>26</v>
      </c>
      <c r="N1037" t="s">
        <v>19</v>
      </c>
    </row>
    <row r="1038" spans="1:14" x14ac:dyDescent="0.25">
      <c r="A1038" t="s">
        <v>1202</v>
      </c>
      <c r="B1038">
        <v>5338</v>
      </c>
      <c r="C1038">
        <v>1354</v>
      </c>
      <c r="E1038">
        <v>16</v>
      </c>
      <c r="F1038" t="s">
        <v>30</v>
      </c>
      <c r="G1038" t="s">
        <v>57</v>
      </c>
      <c r="H1038" t="s">
        <v>15</v>
      </c>
      <c r="J1038" s="1">
        <v>45586</v>
      </c>
      <c r="K1038" t="s">
        <v>1205</v>
      </c>
      <c r="L1038" t="s">
        <v>17</v>
      </c>
      <c r="M1038" t="s">
        <v>34</v>
      </c>
      <c r="N1038" t="s">
        <v>360</v>
      </c>
    </row>
    <row r="1039" spans="1:14" x14ac:dyDescent="0.25">
      <c r="A1039" t="s">
        <v>1202</v>
      </c>
      <c r="B1039">
        <v>5338</v>
      </c>
      <c r="C1039">
        <v>1354</v>
      </c>
      <c r="E1039">
        <v>16</v>
      </c>
      <c r="F1039" t="s">
        <v>30</v>
      </c>
      <c r="G1039" t="s">
        <v>57</v>
      </c>
      <c r="H1039" t="s">
        <v>15</v>
      </c>
      <c r="J1039" s="1">
        <v>44200</v>
      </c>
      <c r="K1039" t="s">
        <v>1206</v>
      </c>
      <c r="L1039" t="s">
        <v>25</v>
      </c>
      <c r="M1039" t="s">
        <v>26</v>
      </c>
      <c r="N1039" t="s">
        <v>276</v>
      </c>
    </row>
    <row r="1040" spans="1:14" x14ac:dyDescent="0.25">
      <c r="A1040" t="s">
        <v>1207</v>
      </c>
      <c r="B1040">
        <v>3095</v>
      </c>
      <c r="C1040">
        <v>941</v>
      </c>
      <c r="E1040">
        <v>2</v>
      </c>
      <c r="F1040" t="s">
        <v>30</v>
      </c>
      <c r="G1040" t="s">
        <v>31</v>
      </c>
      <c r="H1040" t="s">
        <v>40</v>
      </c>
      <c r="J1040" s="1">
        <v>44670</v>
      </c>
      <c r="K1040" t="s">
        <v>1208</v>
      </c>
      <c r="L1040" t="s">
        <v>98</v>
      </c>
      <c r="M1040" t="s">
        <v>117</v>
      </c>
      <c r="N1040" t="s">
        <v>187</v>
      </c>
    </row>
    <row r="1041" spans="1:14" x14ac:dyDescent="0.25">
      <c r="A1041" t="s">
        <v>1207</v>
      </c>
      <c r="B1041">
        <v>3095</v>
      </c>
      <c r="C1041">
        <v>941</v>
      </c>
      <c r="E1041">
        <v>2</v>
      </c>
      <c r="F1041" t="s">
        <v>30</v>
      </c>
      <c r="G1041" t="s">
        <v>31</v>
      </c>
      <c r="H1041" t="s">
        <v>40</v>
      </c>
      <c r="J1041" s="1">
        <v>44784</v>
      </c>
      <c r="K1041" t="s">
        <v>1209</v>
      </c>
      <c r="L1041" t="s">
        <v>71</v>
      </c>
      <c r="M1041" t="s">
        <v>86</v>
      </c>
      <c r="N1041" t="s">
        <v>209</v>
      </c>
    </row>
    <row r="1042" spans="1:14" x14ac:dyDescent="0.25">
      <c r="A1042" t="s">
        <v>1210</v>
      </c>
      <c r="B1042">
        <v>6017</v>
      </c>
      <c r="C1042">
        <v>2230</v>
      </c>
      <c r="E1042">
        <v>13</v>
      </c>
      <c r="F1042" t="s">
        <v>13</v>
      </c>
      <c r="G1042" t="s">
        <v>28</v>
      </c>
      <c r="H1042" t="s">
        <v>32</v>
      </c>
      <c r="J1042" s="1">
        <v>45142</v>
      </c>
      <c r="K1042" t="s">
        <v>1211</v>
      </c>
      <c r="L1042" t="s">
        <v>21</v>
      </c>
      <c r="M1042" t="s">
        <v>172</v>
      </c>
      <c r="N1042" t="s">
        <v>121</v>
      </c>
    </row>
    <row r="1043" spans="1:14" x14ac:dyDescent="0.25">
      <c r="A1043" t="s">
        <v>1212</v>
      </c>
      <c r="B1043">
        <v>4904</v>
      </c>
      <c r="C1043">
        <v>469</v>
      </c>
      <c r="E1043">
        <v>2</v>
      </c>
      <c r="F1043" t="s">
        <v>30</v>
      </c>
      <c r="G1043" t="s">
        <v>31</v>
      </c>
      <c r="H1043" t="s">
        <v>32</v>
      </c>
      <c r="J1043" s="1">
        <v>43946</v>
      </c>
      <c r="K1043" t="s">
        <v>1213</v>
      </c>
      <c r="L1043" t="s">
        <v>71</v>
      </c>
      <c r="M1043" t="s">
        <v>72</v>
      </c>
      <c r="N1043" t="s">
        <v>162</v>
      </c>
    </row>
    <row r="1044" spans="1:14" x14ac:dyDescent="0.25">
      <c r="A1044" t="s">
        <v>1212</v>
      </c>
      <c r="B1044">
        <v>3080</v>
      </c>
      <c r="C1044">
        <v>737</v>
      </c>
      <c r="E1044">
        <v>6</v>
      </c>
      <c r="F1044" t="s">
        <v>30</v>
      </c>
      <c r="G1044" t="s">
        <v>78</v>
      </c>
      <c r="H1044" t="s">
        <v>15</v>
      </c>
      <c r="J1044" s="1">
        <v>43946</v>
      </c>
      <c r="K1044" t="s">
        <v>1213</v>
      </c>
      <c r="L1044" t="s">
        <v>71</v>
      </c>
      <c r="M1044" t="s">
        <v>72</v>
      </c>
      <c r="N1044" t="s">
        <v>162</v>
      </c>
    </row>
    <row r="1045" spans="1:14" x14ac:dyDescent="0.25">
      <c r="A1045" t="s">
        <v>1214</v>
      </c>
      <c r="B1045">
        <v>1992</v>
      </c>
      <c r="C1045">
        <v>355</v>
      </c>
      <c r="E1045">
        <v>2</v>
      </c>
      <c r="F1045" t="s">
        <v>13</v>
      </c>
      <c r="G1045" t="s">
        <v>82</v>
      </c>
      <c r="H1045" t="s">
        <v>65</v>
      </c>
      <c r="J1045" s="1">
        <v>45640</v>
      </c>
      <c r="K1045" t="s">
        <v>1215</v>
      </c>
      <c r="L1045" t="s">
        <v>17</v>
      </c>
      <c r="M1045" t="s">
        <v>150</v>
      </c>
      <c r="N1045" t="s">
        <v>23</v>
      </c>
    </row>
    <row r="1046" spans="1:14" x14ac:dyDescent="0.25">
      <c r="A1046" t="s">
        <v>1216</v>
      </c>
      <c r="B1046">
        <v>5346</v>
      </c>
      <c r="C1046">
        <v>1246</v>
      </c>
      <c r="E1046">
        <v>17</v>
      </c>
      <c r="F1046" t="s">
        <v>45</v>
      </c>
      <c r="G1046" t="s">
        <v>60</v>
      </c>
      <c r="H1046" t="s">
        <v>40</v>
      </c>
      <c r="J1046" s="1">
        <v>44767</v>
      </c>
      <c r="K1046" t="s">
        <v>1217</v>
      </c>
      <c r="L1046" t="s">
        <v>17</v>
      </c>
      <c r="M1046" t="s">
        <v>34</v>
      </c>
      <c r="N1046" t="s">
        <v>418</v>
      </c>
    </row>
    <row r="1047" spans="1:14" x14ac:dyDescent="0.25">
      <c r="A1047" t="s">
        <v>1216</v>
      </c>
      <c r="B1047">
        <v>5346</v>
      </c>
      <c r="C1047">
        <v>1246</v>
      </c>
      <c r="E1047">
        <v>17</v>
      </c>
      <c r="F1047" t="s">
        <v>45</v>
      </c>
      <c r="G1047" t="s">
        <v>60</v>
      </c>
      <c r="H1047" t="s">
        <v>40</v>
      </c>
      <c r="J1047" s="1">
        <v>44688</v>
      </c>
      <c r="K1047" t="s">
        <v>1218</v>
      </c>
      <c r="L1047" t="s">
        <v>17</v>
      </c>
      <c r="M1047" t="s">
        <v>18</v>
      </c>
      <c r="N1047" t="s">
        <v>180</v>
      </c>
    </row>
    <row r="1048" spans="1:14" x14ac:dyDescent="0.25">
      <c r="A1048" t="s">
        <v>1219</v>
      </c>
      <c r="B1048">
        <v>8422</v>
      </c>
      <c r="C1048">
        <v>893</v>
      </c>
      <c r="E1048">
        <v>18</v>
      </c>
      <c r="F1048" t="s">
        <v>13</v>
      </c>
      <c r="G1048" t="s">
        <v>28</v>
      </c>
      <c r="H1048" t="s">
        <v>32</v>
      </c>
      <c r="J1048" s="1">
        <v>44784</v>
      </c>
      <c r="K1048" t="s">
        <v>1220</v>
      </c>
      <c r="L1048" t="s">
        <v>42</v>
      </c>
      <c r="M1048" t="s">
        <v>92</v>
      </c>
      <c r="N1048" t="s">
        <v>209</v>
      </c>
    </row>
    <row r="1049" spans="1:14" x14ac:dyDescent="0.25">
      <c r="A1049" t="s">
        <v>1219</v>
      </c>
      <c r="B1049">
        <v>8422</v>
      </c>
      <c r="C1049">
        <v>893</v>
      </c>
      <c r="E1049">
        <v>18</v>
      </c>
      <c r="F1049" t="s">
        <v>13</v>
      </c>
      <c r="G1049" t="s">
        <v>28</v>
      </c>
      <c r="H1049" t="s">
        <v>32</v>
      </c>
      <c r="J1049" s="1">
        <v>44785</v>
      </c>
      <c r="K1049" t="s">
        <v>1221</v>
      </c>
      <c r="L1049" t="s">
        <v>98</v>
      </c>
      <c r="M1049" t="s">
        <v>99</v>
      </c>
      <c r="N1049" t="s">
        <v>209</v>
      </c>
    </row>
    <row r="1050" spans="1:14" x14ac:dyDescent="0.25">
      <c r="A1050" t="s">
        <v>1219</v>
      </c>
      <c r="B1050">
        <v>6105</v>
      </c>
      <c r="C1050">
        <v>1447</v>
      </c>
      <c r="E1050">
        <v>8</v>
      </c>
      <c r="F1050" t="s">
        <v>45</v>
      </c>
      <c r="G1050" t="s">
        <v>109</v>
      </c>
      <c r="H1050" t="s">
        <v>47</v>
      </c>
      <c r="J1050" s="1">
        <v>44784</v>
      </c>
      <c r="K1050" t="s">
        <v>1220</v>
      </c>
      <c r="L1050" t="s">
        <v>42</v>
      </c>
      <c r="M1050" t="s">
        <v>92</v>
      </c>
      <c r="N1050" t="s">
        <v>209</v>
      </c>
    </row>
    <row r="1051" spans="1:14" x14ac:dyDescent="0.25">
      <c r="A1051" t="s">
        <v>1219</v>
      </c>
      <c r="B1051">
        <v>6105</v>
      </c>
      <c r="C1051">
        <v>1447</v>
      </c>
      <c r="E1051">
        <v>8</v>
      </c>
      <c r="F1051" t="s">
        <v>45</v>
      </c>
      <c r="G1051" t="s">
        <v>109</v>
      </c>
      <c r="H1051" t="s">
        <v>47</v>
      </c>
      <c r="J1051" s="1">
        <v>44785</v>
      </c>
      <c r="K1051" t="s">
        <v>1221</v>
      </c>
      <c r="L1051" t="s">
        <v>98</v>
      </c>
      <c r="M1051" t="s">
        <v>99</v>
      </c>
      <c r="N1051" t="s">
        <v>209</v>
      </c>
    </row>
    <row r="1052" spans="1:14" x14ac:dyDescent="0.25">
      <c r="A1052" t="s">
        <v>1222</v>
      </c>
      <c r="B1052">
        <v>670</v>
      </c>
      <c r="C1052">
        <v>85</v>
      </c>
      <c r="E1052">
        <v>9</v>
      </c>
      <c r="F1052" t="s">
        <v>30</v>
      </c>
      <c r="G1052" t="s">
        <v>31</v>
      </c>
      <c r="H1052" t="s">
        <v>40</v>
      </c>
      <c r="J1052" s="1">
        <v>45159</v>
      </c>
      <c r="K1052" t="s">
        <v>1223</v>
      </c>
      <c r="L1052" t="s">
        <v>71</v>
      </c>
      <c r="M1052" t="s">
        <v>138</v>
      </c>
      <c r="N1052" t="s">
        <v>121</v>
      </c>
    </row>
    <row r="1053" spans="1:14" x14ac:dyDescent="0.25">
      <c r="A1053" t="s">
        <v>1224</v>
      </c>
      <c r="B1053">
        <v>4057</v>
      </c>
      <c r="C1053">
        <v>1012</v>
      </c>
      <c r="E1053">
        <v>6</v>
      </c>
      <c r="F1053" t="s">
        <v>13</v>
      </c>
      <c r="G1053" t="s">
        <v>39</v>
      </c>
      <c r="H1053" t="s">
        <v>47</v>
      </c>
      <c r="J1053" s="1">
        <v>44816</v>
      </c>
      <c r="K1053" t="s">
        <v>1225</v>
      </c>
      <c r="L1053" t="s">
        <v>42</v>
      </c>
      <c r="M1053" t="s">
        <v>75</v>
      </c>
      <c r="N1053" t="s">
        <v>131</v>
      </c>
    </row>
    <row r="1054" spans="1:14" x14ac:dyDescent="0.25">
      <c r="A1054" t="s">
        <v>1226</v>
      </c>
      <c r="B1054">
        <v>8178</v>
      </c>
      <c r="C1054">
        <v>2462</v>
      </c>
      <c r="E1054">
        <v>10</v>
      </c>
      <c r="F1054" t="s">
        <v>30</v>
      </c>
      <c r="G1054" t="s">
        <v>31</v>
      </c>
      <c r="H1054" t="s">
        <v>15</v>
      </c>
      <c r="J1054" s="1">
        <v>45158</v>
      </c>
      <c r="K1054" t="s">
        <v>1227</v>
      </c>
      <c r="L1054" t="s">
        <v>42</v>
      </c>
      <c r="M1054" t="s">
        <v>43</v>
      </c>
      <c r="N1054" t="s">
        <v>121</v>
      </c>
    </row>
    <row r="1055" spans="1:14" x14ac:dyDescent="0.25">
      <c r="A1055" t="s">
        <v>1228</v>
      </c>
      <c r="B1055">
        <v>8752</v>
      </c>
      <c r="C1055">
        <v>1686</v>
      </c>
      <c r="E1055">
        <v>9</v>
      </c>
      <c r="F1055" t="s">
        <v>45</v>
      </c>
      <c r="G1055" t="s">
        <v>46</v>
      </c>
      <c r="H1055" t="s">
        <v>32</v>
      </c>
      <c r="J1055" s="1">
        <v>44192</v>
      </c>
      <c r="K1055" t="s">
        <v>1229</v>
      </c>
      <c r="L1055" t="s">
        <v>98</v>
      </c>
      <c r="M1055" t="s">
        <v>107</v>
      </c>
      <c r="N1055" t="s">
        <v>287</v>
      </c>
    </row>
    <row r="1056" spans="1:14" x14ac:dyDescent="0.25">
      <c r="A1056" t="s">
        <v>1228</v>
      </c>
      <c r="B1056">
        <v>8752</v>
      </c>
      <c r="C1056">
        <v>1686</v>
      </c>
      <c r="E1056">
        <v>9</v>
      </c>
      <c r="F1056" t="s">
        <v>45</v>
      </c>
      <c r="G1056" t="s">
        <v>46</v>
      </c>
      <c r="H1056" t="s">
        <v>32</v>
      </c>
      <c r="J1056" s="1">
        <v>45173</v>
      </c>
      <c r="K1056" t="s">
        <v>1230</v>
      </c>
      <c r="L1056" t="s">
        <v>21</v>
      </c>
      <c r="M1056" t="s">
        <v>172</v>
      </c>
      <c r="N1056" t="s">
        <v>273</v>
      </c>
    </row>
    <row r="1057" spans="1:14" x14ac:dyDescent="0.25">
      <c r="A1057" t="s">
        <v>1228</v>
      </c>
      <c r="B1057">
        <v>8752</v>
      </c>
      <c r="C1057">
        <v>1686</v>
      </c>
      <c r="E1057">
        <v>9</v>
      </c>
      <c r="F1057" t="s">
        <v>45</v>
      </c>
      <c r="G1057" t="s">
        <v>46</v>
      </c>
      <c r="H1057" t="s">
        <v>32</v>
      </c>
      <c r="J1057" s="1">
        <v>44569</v>
      </c>
      <c r="K1057" t="s">
        <v>1231</v>
      </c>
      <c r="L1057" t="s">
        <v>21</v>
      </c>
      <c r="M1057" t="s">
        <v>22</v>
      </c>
      <c r="N1057" t="s">
        <v>87</v>
      </c>
    </row>
    <row r="1058" spans="1:14" x14ac:dyDescent="0.25">
      <c r="A1058" t="s">
        <v>1232</v>
      </c>
      <c r="B1058">
        <v>8974</v>
      </c>
      <c r="C1058">
        <v>4441</v>
      </c>
      <c r="E1058">
        <v>16</v>
      </c>
      <c r="F1058" t="s">
        <v>13</v>
      </c>
      <c r="G1058" t="s">
        <v>28</v>
      </c>
      <c r="H1058" t="s">
        <v>40</v>
      </c>
      <c r="J1058" s="1">
        <v>45082</v>
      </c>
      <c r="K1058" t="s">
        <v>1233</v>
      </c>
      <c r="L1058" t="s">
        <v>25</v>
      </c>
      <c r="M1058" t="s">
        <v>51</v>
      </c>
      <c r="N1058" t="s">
        <v>19</v>
      </c>
    </row>
    <row r="1059" spans="1:14" x14ac:dyDescent="0.25">
      <c r="A1059" t="s">
        <v>1234</v>
      </c>
      <c r="B1059">
        <v>9090</v>
      </c>
      <c r="C1059">
        <v>3098</v>
      </c>
      <c r="E1059">
        <v>16</v>
      </c>
      <c r="F1059" t="s">
        <v>13</v>
      </c>
      <c r="G1059" t="s">
        <v>82</v>
      </c>
      <c r="H1059" t="s">
        <v>47</v>
      </c>
      <c r="J1059" s="1">
        <v>44287</v>
      </c>
      <c r="K1059" t="s">
        <v>1235</v>
      </c>
      <c r="L1059" t="s">
        <v>71</v>
      </c>
      <c r="M1059" t="s">
        <v>72</v>
      </c>
      <c r="N1059" t="s">
        <v>139</v>
      </c>
    </row>
    <row r="1060" spans="1:14" x14ac:dyDescent="0.25">
      <c r="A1060" t="s">
        <v>1234</v>
      </c>
      <c r="B1060">
        <v>9090</v>
      </c>
      <c r="C1060">
        <v>3098</v>
      </c>
      <c r="E1060">
        <v>16</v>
      </c>
      <c r="F1060" t="s">
        <v>13</v>
      </c>
      <c r="G1060" t="s">
        <v>82</v>
      </c>
      <c r="H1060" t="s">
        <v>47</v>
      </c>
      <c r="J1060" s="1">
        <v>45440</v>
      </c>
      <c r="K1060" t="s">
        <v>1236</v>
      </c>
      <c r="L1060" t="s">
        <v>21</v>
      </c>
      <c r="M1060" t="s">
        <v>63</v>
      </c>
      <c r="N1060" t="s">
        <v>35</v>
      </c>
    </row>
    <row r="1061" spans="1:14" x14ac:dyDescent="0.25">
      <c r="A1061" t="s">
        <v>1234</v>
      </c>
      <c r="B1061">
        <v>851</v>
      </c>
      <c r="C1061">
        <v>356</v>
      </c>
      <c r="E1061">
        <v>11</v>
      </c>
      <c r="F1061" t="s">
        <v>13</v>
      </c>
      <c r="G1061" t="s">
        <v>14</v>
      </c>
      <c r="H1061" t="s">
        <v>47</v>
      </c>
      <c r="J1061" s="1">
        <v>44287</v>
      </c>
      <c r="K1061" t="s">
        <v>1235</v>
      </c>
      <c r="L1061" t="s">
        <v>71</v>
      </c>
      <c r="M1061" t="s">
        <v>72</v>
      </c>
      <c r="N1061" t="s">
        <v>139</v>
      </c>
    </row>
    <row r="1062" spans="1:14" x14ac:dyDescent="0.25">
      <c r="A1062" t="s">
        <v>1234</v>
      </c>
      <c r="B1062">
        <v>851</v>
      </c>
      <c r="C1062">
        <v>356</v>
      </c>
      <c r="E1062">
        <v>11</v>
      </c>
      <c r="F1062" t="s">
        <v>13</v>
      </c>
      <c r="G1062" t="s">
        <v>14</v>
      </c>
      <c r="H1062" t="s">
        <v>47</v>
      </c>
      <c r="J1062" s="1">
        <v>45440</v>
      </c>
      <c r="K1062" t="s">
        <v>1236</v>
      </c>
      <c r="L1062" t="s">
        <v>21</v>
      </c>
      <c r="M1062" t="s">
        <v>63</v>
      </c>
      <c r="N1062" t="s">
        <v>35</v>
      </c>
    </row>
    <row r="1063" spans="1:14" x14ac:dyDescent="0.25">
      <c r="A1063" t="s">
        <v>1237</v>
      </c>
      <c r="B1063">
        <v>5427</v>
      </c>
      <c r="C1063">
        <v>728</v>
      </c>
      <c r="E1063">
        <v>3</v>
      </c>
      <c r="F1063" t="s">
        <v>13</v>
      </c>
      <c r="G1063" t="s">
        <v>82</v>
      </c>
      <c r="H1063" t="s">
        <v>15</v>
      </c>
      <c r="J1063" s="1">
        <v>44994</v>
      </c>
      <c r="K1063" t="s">
        <v>1238</v>
      </c>
      <c r="L1063" t="s">
        <v>17</v>
      </c>
      <c r="M1063" t="s">
        <v>18</v>
      </c>
      <c r="N1063" t="s">
        <v>245</v>
      </c>
    </row>
    <row r="1064" spans="1:14" x14ac:dyDescent="0.25">
      <c r="A1064" t="s">
        <v>1239</v>
      </c>
      <c r="B1064">
        <v>2695</v>
      </c>
      <c r="C1064">
        <v>914</v>
      </c>
      <c r="E1064">
        <v>15</v>
      </c>
      <c r="F1064" t="s">
        <v>45</v>
      </c>
      <c r="G1064" t="s">
        <v>109</v>
      </c>
      <c r="H1064" t="s">
        <v>32</v>
      </c>
      <c r="J1064" s="1">
        <v>44770</v>
      </c>
      <c r="K1064" t="s">
        <v>1240</v>
      </c>
      <c r="L1064" t="s">
        <v>21</v>
      </c>
      <c r="M1064" t="s">
        <v>172</v>
      </c>
      <c r="N1064" t="s">
        <v>418</v>
      </c>
    </row>
    <row r="1065" spans="1:14" x14ac:dyDescent="0.25">
      <c r="A1065" t="s">
        <v>1239</v>
      </c>
      <c r="B1065">
        <v>2695</v>
      </c>
      <c r="C1065">
        <v>914</v>
      </c>
      <c r="E1065">
        <v>15</v>
      </c>
      <c r="F1065" t="s">
        <v>45</v>
      </c>
      <c r="G1065" t="s">
        <v>109</v>
      </c>
      <c r="H1065" t="s">
        <v>32</v>
      </c>
      <c r="J1065" s="1">
        <v>44364</v>
      </c>
      <c r="K1065" t="s">
        <v>1241</v>
      </c>
      <c r="L1065" t="s">
        <v>42</v>
      </c>
      <c r="M1065" t="s">
        <v>43</v>
      </c>
      <c r="N1065" t="s">
        <v>125</v>
      </c>
    </row>
    <row r="1066" spans="1:14" x14ac:dyDescent="0.25">
      <c r="A1066" t="s">
        <v>1242</v>
      </c>
      <c r="B1066">
        <v>2386</v>
      </c>
      <c r="C1066">
        <v>999</v>
      </c>
      <c r="E1066">
        <v>3</v>
      </c>
      <c r="F1066" t="s">
        <v>30</v>
      </c>
      <c r="G1066" t="s">
        <v>31</v>
      </c>
      <c r="H1066" t="s">
        <v>65</v>
      </c>
      <c r="J1066" s="1">
        <v>45335</v>
      </c>
      <c r="K1066" t="s">
        <v>1243</v>
      </c>
      <c r="L1066" t="s">
        <v>17</v>
      </c>
      <c r="M1066" t="s">
        <v>18</v>
      </c>
      <c r="N1066" t="s">
        <v>218</v>
      </c>
    </row>
    <row r="1067" spans="1:14" x14ac:dyDescent="0.25">
      <c r="A1067" t="s">
        <v>1244</v>
      </c>
      <c r="B1067">
        <v>2284</v>
      </c>
      <c r="C1067">
        <v>149</v>
      </c>
      <c r="E1067">
        <v>20</v>
      </c>
      <c r="F1067" t="s">
        <v>30</v>
      </c>
      <c r="G1067" t="s">
        <v>31</v>
      </c>
      <c r="H1067" t="s">
        <v>32</v>
      </c>
      <c r="J1067" s="1">
        <v>44414</v>
      </c>
      <c r="K1067" t="s">
        <v>1245</v>
      </c>
      <c r="L1067" t="s">
        <v>25</v>
      </c>
      <c r="M1067" t="s">
        <v>68</v>
      </c>
      <c r="N1067" t="s">
        <v>178</v>
      </c>
    </row>
    <row r="1068" spans="1:14" x14ac:dyDescent="0.25">
      <c r="A1068" t="s">
        <v>1246</v>
      </c>
      <c r="B1068">
        <v>6034</v>
      </c>
      <c r="C1068">
        <v>608</v>
      </c>
      <c r="E1068">
        <v>8</v>
      </c>
      <c r="F1068" t="s">
        <v>13</v>
      </c>
      <c r="G1068" t="s">
        <v>82</v>
      </c>
      <c r="H1068" t="s">
        <v>40</v>
      </c>
      <c r="J1068" s="1">
        <v>44682</v>
      </c>
      <c r="K1068" t="s">
        <v>1247</v>
      </c>
      <c r="L1068" t="s">
        <v>71</v>
      </c>
      <c r="M1068" t="s">
        <v>138</v>
      </c>
      <c r="N1068" t="s">
        <v>180</v>
      </c>
    </row>
    <row r="1069" spans="1:14" x14ac:dyDescent="0.25">
      <c r="A1069" t="s">
        <v>1246</v>
      </c>
      <c r="B1069">
        <v>8956</v>
      </c>
      <c r="C1069">
        <v>3359</v>
      </c>
      <c r="E1069">
        <v>13</v>
      </c>
      <c r="F1069" t="s">
        <v>45</v>
      </c>
      <c r="G1069" t="s">
        <v>109</v>
      </c>
      <c r="H1069" t="s">
        <v>47</v>
      </c>
      <c r="J1069" s="1">
        <v>44682</v>
      </c>
      <c r="K1069" t="s">
        <v>1247</v>
      </c>
      <c r="L1069" t="s">
        <v>71</v>
      </c>
      <c r="M1069" t="s">
        <v>138</v>
      </c>
      <c r="N1069" t="s">
        <v>180</v>
      </c>
    </row>
    <row r="1070" spans="1:14" x14ac:dyDescent="0.25">
      <c r="A1070" t="s">
        <v>1248</v>
      </c>
      <c r="B1070">
        <v>7122</v>
      </c>
      <c r="C1070">
        <v>1982</v>
      </c>
      <c r="E1070">
        <v>7</v>
      </c>
      <c r="F1070" t="s">
        <v>30</v>
      </c>
      <c r="G1070" t="s">
        <v>57</v>
      </c>
      <c r="H1070" t="s">
        <v>40</v>
      </c>
      <c r="J1070" s="1">
        <v>45362</v>
      </c>
      <c r="K1070" t="s">
        <v>1249</v>
      </c>
      <c r="L1070" t="s">
        <v>21</v>
      </c>
      <c r="M1070" t="s">
        <v>172</v>
      </c>
      <c r="N1070" t="s">
        <v>338</v>
      </c>
    </row>
    <row r="1071" spans="1:14" x14ac:dyDescent="0.25">
      <c r="A1071" t="s">
        <v>1250</v>
      </c>
      <c r="B1071">
        <v>9775</v>
      </c>
      <c r="C1071">
        <v>4507</v>
      </c>
      <c r="E1071">
        <v>5</v>
      </c>
      <c r="F1071" t="s">
        <v>30</v>
      </c>
      <c r="G1071" t="s">
        <v>57</v>
      </c>
      <c r="H1071" t="s">
        <v>15</v>
      </c>
      <c r="J1071" s="1">
        <v>44018</v>
      </c>
      <c r="K1071" t="s">
        <v>1251</v>
      </c>
      <c r="L1071" t="s">
        <v>98</v>
      </c>
      <c r="M1071" t="s">
        <v>107</v>
      </c>
      <c r="N1071" t="s">
        <v>462</v>
      </c>
    </row>
    <row r="1072" spans="1:14" x14ac:dyDescent="0.25">
      <c r="A1072" t="s">
        <v>1252</v>
      </c>
      <c r="B1072">
        <v>3309</v>
      </c>
      <c r="C1072">
        <v>177</v>
      </c>
      <c r="E1072">
        <v>13</v>
      </c>
      <c r="F1072" t="s">
        <v>45</v>
      </c>
      <c r="G1072" t="s">
        <v>109</v>
      </c>
      <c r="H1072" t="s">
        <v>40</v>
      </c>
      <c r="J1072" s="1">
        <v>44182</v>
      </c>
      <c r="K1072" t="s">
        <v>1253</v>
      </c>
      <c r="L1072" t="s">
        <v>98</v>
      </c>
      <c r="M1072" t="s">
        <v>117</v>
      </c>
      <c r="N1072" t="s">
        <v>287</v>
      </c>
    </row>
    <row r="1073" spans="1:14" x14ac:dyDescent="0.25">
      <c r="A1073" t="s">
        <v>1254</v>
      </c>
      <c r="B1073">
        <v>4163</v>
      </c>
      <c r="C1073">
        <v>897</v>
      </c>
      <c r="E1073">
        <v>14</v>
      </c>
      <c r="F1073" t="s">
        <v>13</v>
      </c>
      <c r="G1073" t="s">
        <v>14</v>
      </c>
      <c r="H1073" t="s">
        <v>65</v>
      </c>
      <c r="J1073" s="1">
        <v>44803</v>
      </c>
      <c r="K1073" t="s">
        <v>1255</v>
      </c>
      <c r="L1073" t="s">
        <v>21</v>
      </c>
      <c r="M1073" t="s">
        <v>63</v>
      </c>
      <c r="N1073" t="s">
        <v>209</v>
      </c>
    </row>
    <row r="1074" spans="1:14" x14ac:dyDescent="0.25">
      <c r="A1074" t="s">
        <v>1254</v>
      </c>
      <c r="B1074">
        <v>4163</v>
      </c>
      <c r="C1074">
        <v>897</v>
      </c>
      <c r="E1074">
        <v>14</v>
      </c>
      <c r="F1074" t="s">
        <v>13</v>
      </c>
      <c r="G1074" t="s">
        <v>14</v>
      </c>
      <c r="H1074" t="s">
        <v>65</v>
      </c>
      <c r="J1074" s="1">
        <v>45715</v>
      </c>
      <c r="K1074" t="s">
        <v>1256</v>
      </c>
      <c r="L1074" t="s">
        <v>98</v>
      </c>
      <c r="M1074" t="s">
        <v>117</v>
      </c>
      <c r="N1074" t="s">
        <v>73</v>
      </c>
    </row>
    <row r="1075" spans="1:14" x14ac:dyDescent="0.25">
      <c r="A1075" t="s">
        <v>1254</v>
      </c>
      <c r="B1075">
        <v>4163</v>
      </c>
      <c r="C1075">
        <v>897</v>
      </c>
      <c r="E1075">
        <v>14</v>
      </c>
      <c r="F1075" t="s">
        <v>13</v>
      </c>
      <c r="G1075" t="s">
        <v>14</v>
      </c>
      <c r="H1075" t="s">
        <v>65</v>
      </c>
      <c r="J1075" s="1">
        <v>44352</v>
      </c>
      <c r="K1075" t="s">
        <v>1257</v>
      </c>
      <c r="L1075" t="s">
        <v>17</v>
      </c>
      <c r="M1075" t="s">
        <v>34</v>
      </c>
      <c r="N1075" t="s">
        <v>125</v>
      </c>
    </row>
    <row r="1076" spans="1:14" x14ac:dyDescent="0.25">
      <c r="A1076" t="s">
        <v>1258</v>
      </c>
      <c r="B1076">
        <v>5518</v>
      </c>
      <c r="C1076">
        <v>867</v>
      </c>
      <c r="E1076">
        <v>7</v>
      </c>
      <c r="F1076" t="s">
        <v>45</v>
      </c>
      <c r="G1076" t="s">
        <v>60</v>
      </c>
      <c r="H1076" t="s">
        <v>15</v>
      </c>
      <c r="J1076" s="1">
        <v>44917</v>
      </c>
      <c r="K1076" t="s">
        <v>1259</v>
      </c>
      <c r="L1076" t="s">
        <v>71</v>
      </c>
      <c r="M1076" t="s">
        <v>138</v>
      </c>
      <c r="N1076" t="s">
        <v>152</v>
      </c>
    </row>
    <row r="1077" spans="1:14" x14ac:dyDescent="0.25">
      <c r="A1077" t="s">
        <v>1260</v>
      </c>
      <c r="B1077">
        <v>7566</v>
      </c>
      <c r="C1077">
        <v>606</v>
      </c>
      <c r="E1077">
        <v>6</v>
      </c>
      <c r="F1077" t="s">
        <v>13</v>
      </c>
      <c r="G1077" t="s">
        <v>82</v>
      </c>
      <c r="H1077" t="s">
        <v>32</v>
      </c>
      <c r="J1077" s="1">
        <v>45682</v>
      </c>
      <c r="K1077" t="s">
        <v>1261</v>
      </c>
      <c r="L1077" t="s">
        <v>98</v>
      </c>
      <c r="M1077" t="s">
        <v>99</v>
      </c>
      <c r="N1077" t="s">
        <v>308</v>
      </c>
    </row>
    <row r="1078" spans="1:14" x14ac:dyDescent="0.25">
      <c r="A1078" t="s">
        <v>1260</v>
      </c>
      <c r="B1078">
        <v>7566</v>
      </c>
      <c r="C1078">
        <v>606</v>
      </c>
      <c r="E1078">
        <v>6</v>
      </c>
      <c r="F1078" t="s">
        <v>13</v>
      </c>
      <c r="G1078" t="s">
        <v>82</v>
      </c>
      <c r="H1078" t="s">
        <v>32</v>
      </c>
      <c r="J1078" s="1">
        <v>45702</v>
      </c>
      <c r="K1078" t="s">
        <v>1262</v>
      </c>
      <c r="L1078" t="s">
        <v>42</v>
      </c>
      <c r="M1078" t="s">
        <v>75</v>
      </c>
      <c r="N1078" t="s">
        <v>73</v>
      </c>
    </row>
    <row r="1079" spans="1:14" x14ac:dyDescent="0.25">
      <c r="A1079" t="s">
        <v>1263</v>
      </c>
      <c r="B1079">
        <v>762</v>
      </c>
      <c r="C1079">
        <v>92</v>
      </c>
      <c r="E1079">
        <v>11</v>
      </c>
      <c r="F1079" t="s">
        <v>13</v>
      </c>
      <c r="G1079" t="s">
        <v>28</v>
      </c>
      <c r="H1079" t="s">
        <v>65</v>
      </c>
      <c r="J1079" s="1">
        <v>44932</v>
      </c>
      <c r="K1079" t="s">
        <v>1264</v>
      </c>
      <c r="L1079" t="s">
        <v>21</v>
      </c>
      <c r="M1079" t="s">
        <v>63</v>
      </c>
      <c r="N1079" t="s">
        <v>333</v>
      </c>
    </row>
    <row r="1080" spans="1:14" x14ac:dyDescent="0.25">
      <c r="A1080" t="s">
        <v>1265</v>
      </c>
      <c r="B1080">
        <v>3316</v>
      </c>
      <c r="C1080">
        <v>126</v>
      </c>
      <c r="E1080">
        <v>6</v>
      </c>
      <c r="F1080" t="s">
        <v>13</v>
      </c>
      <c r="G1080" t="s">
        <v>39</v>
      </c>
      <c r="H1080" t="s">
        <v>65</v>
      </c>
      <c r="J1080" s="1">
        <v>44115</v>
      </c>
      <c r="K1080" t="s">
        <v>1266</v>
      </c>
      <c r="L1080" t="s">
        <v>98</v>
      </c>
      <c r="M1080" t="s">
        <v>107</v>
      </c>
      <c r="N1080" t="s">
        <v>119</v>
      </c>
    </row>
    <row r="1081" spans="1:14" x14ac:dyDescent="0.25">
      <c r="A1081" t="s">
        <v>1267</v>
      </c>
      <c r="B1081">
        <v>5994</v>
      </c>
      <c r="C1081">
        <v>2826</v>
      </c>
      <c r="E1081">
        <v>9</v>
      </c>
      <c r="F1081" t="s">
        <v>45</v>
      </c>
      <c r="G1081" t="s">
        <v>109</v>
      </c>
      <c r="H1081" t="s">
        <v>40</v>
      </c>
      <c r="J1081" s="1">
        <v>45070</v>
      </c>
      <c r="K1081" t="s">
        <v>1268</v>
      </c>
      <c r="L1081" t="s">
        <v>42</v>
      </c>
      <c r="M1081" t="s">
        <v>92</v>
      </c>
      <c r="N1081" t="s">
        <v>127</v>
      </c>
    </row>
    <row r="1082" spans="1:14" x14ac:dyDescent="0.25">
      <c r="A1082" t="s">
        <v>1267</v>
      </c>
      <c r="B1082">
        <v>5994</v>
      </c>
      <c r="C1082">
        <v>2826</v>
      </c>
      <c r="E1082">
        <v>9</v>
      </c>
      <c r="F1082" t="s">
        <v>45</v>
      </c>
      <c r="G1082" t="s">
        <v>109</v>
      </c>
      <c r="H1082" t="s">
        <v>40</v>
      </c>
      <c r="J1082" s="1">
        <v>45363</v>
      </c>
      <c r="K1082" t="s">
        <v>1269</v>
      </c>
      <c r="L1082" t="s">
        <v>42</v>
      </c>
      <c r="M1082" t="s">
        <v>43</v>
      </c>
      <c r="N1082" t="s">
        <v>338</v>
      </c>
    </row>
    <row r="1083" spans="1:14" x14ac:dyDescent="0.25">
      <c r="A1083" t="s">
        <v>1267</v>
      </c>
      <c r="B1083">
        <v>5994</v>
      </c>
      <c r="C1083">
        <v>2826</v>
      </c>
      <c r="E1083">
        <v>9</v>
      </c>
      <c r="F1083" t="s">
        <v>45</v>
      </c>
      <c r="G1083" t="s">
        <v>109</v>
      </c>
      <c r="H1083" t="s">
        <v>40</v>
      </c>
      <c r="J1083" s="1">
        <v>45368</v>
      </c>
      <c r="K1083" t="s">
        <v>1270</v>
      </c>
      <c r="L1083" t="s">
        <v>25</v>
      </c>
      <c r="M1083" t="s">
        <v>51</v>
      </c>
      <c r="N1083" t="s">
        <v>338</v>
      </c>
    </row>
    <row r="1084" spans="1:14" x14ac:dyDescent="0.25">
      <c r="A1084" t="s">
        <v>1271</v>
      </c>
      <c r="B1084">
        <v>3854</v>
      </c>
      <c r="C1084">
        <v>245</v>
      </c>
      <c r="E1084">
        <v>19</v>
      </c>
      <c r="F1084" t="s">
        <v>13</v>
      </c>
      <c r="G1084" t="s">
        <v>39</v>
      </c>
      <c r="H1084" t="s">
        <v>65</v>
      </c>
      <c r="J1084" s="1">
        <v>44698</v>
      </c>
      <c r="K1084" t="s">
        <v>1272</v>
      </c>
      <c r="L1084" t="s">
        <v>98</v>
      </c>
      <c r="M1084" t="s">
        <v>99</v>
      </c>
      <c r="N1084" t="s">
        <v>180</v>
      </c>
    </row>
    <row r="1085" spans="1:14" x14ac:dyDescent="0.25">
      <c r="A1085" t="s">
        <v>1273</v>
      </c>
      <c r="B1085">
        <v>7019</v>
      </c>
      <c r="C1085">
        <v>2677</v>
      </c>
      <c r="E1085">
        <v>15</v>
      </c>
      <c r="F1085" t="s">
        <v>30</v>
      </c>
      <c r="G1085" t="s">
        <v>57</v>
      </c>
      <c r="H1085" t="s">
        <v>15</v>
      </c>
      <c r="J1085" s="1">
        <v>44186</v>
      </c>
      <c r="K1085" t="s">
        <v>1274</v>
      </c>
      <c r="L1085" t="s">
        <v>17</v>
      </c>
      <c r="M1085" t="s">
        <v>18</v>
      </c>
      <c r="N1085" t="s">
        <v>287</v>
      </c>
    </row>
    <row r="1086" spans="1:14" x14ac:dyDescent="0.25">
      <c r="A1086" t="s">
        <v>1275</v>
      </c>
      <c r="B1086">
        <v>5954</v>
      </c>
      <c r="C1086">
        <v>2640</v>
      </c>
      <c r="E1086">
        <v>14</v>
      </c>
      <c r="F1086" t="s">
        <v>13</v>
      </c>
      <c r="G1086" t="s">
        <v>39</v>
      </c>
      <c r="H1086" t="s">
        <v>47</v>
      </c>
      <c r="J1086" s="1">
        <v>44432</v>
      </c>
      <c r="K1086" t="s">
        <v>1276</v>
      </c>
      <c r="L1086" t="s">
        <v>25</v>
      </c>
      <c r="M1086" t="s">
        <v>51</v>
      </c>
      <c r="N1086" t="s">
        <v>178</v>
      </c>
    </row>
    <row r="1087" spans="1:14" x14ac:dyDescent="0.25">
      <c r="A1087" t="s">
        <v>1275</v>
      </c>
      <c r="B1087">
        <v>5954</v>
      </c>
      <c r="C1087">
        <v>2640</v>
      </c>
      <c r="E1087">
        <v>14</v>
      </c>
      <c r="F1087" t="s">
        <v>13</v>
      </c>
      <c r="G1087" t="s">
        <v>39</v>
      </c>
      <c r="H1087" t="s">
        <v>47</v>
      </c>
      <c r="J1087" s="1">
        <v>44856</v>
      </c>
      <c r="K1087" t="s">
        <v>1277</v>
      </c>
      <c r="L1087" t="s">
        <v>71</v>
      </c>
      <c r="M1087" t="s">
        <v>72</v>
      </c>
      <c r="N1087" t="s">
        <v>96</v>
      </c>
    </row>
    <row r="1088" spans="1:14" x14ac:dyDescent="0.25">
      <c r="A1088" t="s">
        <v>1278</v>
      </c>
      <c r="B1088">
        <v>9752</v>
      </c>
      <c r="C1088">
        <v>3618</v>
      </c>
      <c r="E1088">
        <v>5</v>
      </c>
      <c r="F1088" t="s">
        <v>45</v>
      </c>
      <c r="G1088" t="s">
        <v>109</v>
      </c>
      <c r="H1088" t="s">
        <v>32</v>
      </c>
      <c r="J1088" s="1">
        <v>45343</v>
      </c>
      <c r="K1088" t="s">
        <v>1279</v>
      </c>
      <c r="L1088" t="s">
        <v>25</v>
      </c>
      <c r="M1088" t="s">
        <v>68</v>
      </c>
      <c r="N1088" t="s">
        <v>218</v>
      </c>
    </row>
    <row r="1089" spans="1:14" x14ac:dyDescent="0.25">
      <c r="A1089" t="s">
        <v>1278</v>
      </c>
      <c r="B1089">
        <v>9752</v>
      </c>
      <c r="C1089">
        <v>3618</v>
      </c>
      <c r="E1089">
        <v>5</v>
      </c>
      <c r="F1089" t="s">
        <v>45</v>
      </c>
      <c r="G1089" t="s">
        <v>109</v>
      </c>
      <c r="H1089" t="s">
        <v>32</v>
      </c>
      <c r="J1089" s="1">
        <v>44865</v>
      </c>
      <c r="K1089" t="s">
        <v>1280</v>
      </c>
      <c r="L1089" t="s">
        <v>21</v>
      </c>
      <c r="M1089" t="s">
        <v>172</v>
      </c>
      <c r="N1089" t="s">
        <v>96</v>
      </c>
    </row>
    <row r="1090" spans="1:14" x14ac:dyDescent="0.25">
      <c r="A1090" t="s">
        <v>1281</v>
      </c>
      <c r="B1090">
        <v>5335</v>
      </c>
      <c r="C1090">
        <v>322</v>
      </c>
      <c r="E1090">
        <v>15</v>
      </c>
      <c r="F1090" t="s">
        <v>13</v>
      </c>
      <c r="G1090" t="s">
        <v>14</v>
      </c>
      <c r="H1090" t="s">
        <v>65</v>
      </c>
      <c r="J1090" s="1">
        <v>44696</v>
      </c>
      <c r="K1090" t="s">
        <v>1282</v>
      </c>
      <c r="L1090" t="s">
        <v>25</v>
      </c>
      <c r="M1090" t="s">
        <v>51</v>
      </c>
      <c r="N1090" t="s">
        <v>180</v>
      </c>
    </row>
    <row r="1091" spans="1:14" x14ac:dyDescent="0.25">
      <c r="A1091" t="s">
        <v>1283</v>
      </c>
      <c r="B1091">
        <v>1454</v>
      </c>
      <c r="C1091">
        <v>80</v>
      </c>
      <c r="E1091">
        <v>20</v>
      </c>
      <c r="F1091" t="s">
        <v>13</v>
      </c>
      <c r="G1091" t="s">
        <v>14</v>
      </c>
      <c r="H1091" t="s">
        <v>47</v>
      </c>
      <c r="J1091" s="1">
        <v>44764</v>
      </c>
      <c r="K1091" t="s">
        <v>1284</v>
      </c>
      <c r="L1091" t="s">
        <v>25</v>
      </c>
      <c r="M1091" t="s">
        <v>68</v>
      </c>
      <c r="N1091" t="s">
        <v>418</v>
      </c>
    </row>
    <row r="1092" spans="1:14" x14ac:dyDescent="0.25">
      <c r="A1092" t="s">
        <v>1285</v>
      </c>
      <c r="B1092">
        <v>6724</v>
      </c>
      <c r="C1092">
        <v>1539</v>
      </c>
      <c r="E1092">
        <v>19</v>
      </c>
      <c r="F1092" t="s">
        <v>45</v>
      </c>
      <c r="G1092" t="s">
        <v>109</v>
      </c>
      <c r="H1092" t="s">
        <v>65</v>
      </c>
      <c r="J1092" s="1">
        <v>44543</v>
      </c>
      <c r="K1092" t="s">
        <v>1286</v>
      </c>
      <c r="L1092" t="s">
        <v>42</v>
      </c>
      <c r="M1092" t="s">
        <v>92</v>
      </c>
      <c r="N1092" t="s">
        <v>90</v>
      </c>
    </row>
    <row r="1093" spans="1:14" x14ac:dyDescent="0.25">
      <c r="A1093" t="s">
        <v>1285</v>
      </c>
      <c r="B1093">
        <v>6724</v>
      </c>
      <c r="C1093">
        <v>1539</v>
      </c>
      <c r="E1093">
        <v>19</v>
      </c>
      <c r="F1093" t="s">
        <v>45</v>
      </c>
      <c r="G1093" t="s">
        <v>109</v>
      </c>
      <c r="H1093" t="s">
        <v>65</v>
      </c>
      <c r="J1093" s="1">
        <v>44350</v>
      </c>
      <c r="K1093" t="s">
        <v>1287</v>
      </c>
      <c r="L1093" t="s">
        <v>71</v>
      </c>
      <c r="M1093" t="s">
        <v>72</v>
      </c>
      <c r="N1093" t="s">
        <v>125</v>
      </c>
    </row>
    <row r="1094" spans="1:14" x14ac:dyDescent="0.25">
      <c r="A1094" t="s">
        <v>1288</v>
      </c>
      <c r="B1094">
        <v>9874</v>
      </c>
      <c r="C1094">
        <v>3895</v>
      </c>
      <c r="E1094">
        <v>4</v>
      </c>
      <c r="F1094" t="s">
        <v>30</v>
      </c>
      <c r="G1094" t="s">
        <v>78</v>
      </c>
      <c r="H1094" t="s">
        <v>40</v>
      </c>
      <c r="J1094" s="1">
        <v>45712</v>
      </c>
      <c r="K1094" t="s">
        <v>1289</v>
      </c>
      <c r="L1094" t="s">
        <v>98</v>
      </c>
      <c r="M1094" t="s">
        <v>117</v>
      </c>
      <c r="N1094" t="s">
        <v>73</v>
      </c>
    </row>
    <row r="1095" spans="1:14" x14ac:dyDescent="0.25">
      <c r="A1095" t="s">
        <v>1290</v>
      </c>
      <c r="B1095">
        <v>4918</v>
      </c>
      <c r="C1095">
        <v>1485</v>
      </c>
      <c r="E1095">
        <v>7</v>
      </c>
      <c r="F1095" t="s">
        <v>13</v>
      </c>
      <c r="G1095" t="s">
        <v>82</v>
      </c>
      <c r="H1095" t="s">
        <v>15</v>
      </c>
      <c r="J1095" s="1">
        <v>44959</v>
      </c>
      <c r="K1095" t="s">
        <v>1291</v>
      </c>
      <c r="L1095" t="s">
        <v>17</v>
      </c>
      <c r="M1095" t="s">
        <v>150</v>
      </c>
      <c r="N1095" t="s">
        <v>93</v>
      </c>
    </row>
    <row r="1096" spans="1:14" x14ac:dyDescent="0.25">
      <c r="A1096" t="s">
        <v>1292</v>
      </c>
      <c r="B1096">
        <v>3189</v>
      </c>
      <c r="C1096">
        <v>1180</v>
      </c>
      <c r="E1096">
        <v>19</v>
      </c>
      <c r="F1096" t="s">
        <v>30</v>
      </c>
      <c r="G1096" t="s">
        <v>64</v>
      </c>
      <c r="H1096" t="s">
        <v>47</v>
      </c>
      <c r="J1096" s="1">
        <v>44561</v>
      </c>
      <c r="K1096" t="s">
        <v>1293</v>
      </c>
      <c r="L1096" t="s">
        <v>25</v>
      </c>
      <c r="M1096" t="s">
        <v>51</v>
      </c>
      <c r="N1096" t="s">
        <v>90</v>
      </c>
    </row>
    <row r="1097" spans="1:14" x14ac:dyDescent="0.25">
      <c r="A1097" t="s">
        <v>1294</v>
      </c>
      <c r="B1097">
        <v>2684</v>
      </c>
      <c r="C1097">
        <v>713</v>
      </c>
      <c r="E1097">
        <v>2</v>
      </c>
      <c r="F1097" t="s">
        <v>13</v>
      </c>
      <c r="G1097" t="s">
        <v>14</v>
      </c>
      <c r="H1097" t="s">
        <v>15</v>
      </c>
      <c r="J1097" s="1">
        <v>45458</v>
      </c>
      <c r="K1097" t="s">
        <v>1295</v>
      </c>
      <c r="L1097" t="s">
        <v>25</v>
      </c>
      <c r="M1097" t="s">
        <v>51</v>
      </c>
      <c r="N1097" t="s">
        <v>262</v>
      </c>
    </row>
    <row r="1098" spans="1:14" x14ac:dyDescent="0.25">
      <c r="A1098" t="s">
        <v>1294</v>
      </c>
      <c r="B1098">
        <v>2684</v>
      </c>
      <c r="C1098">
        <v>713</v>
      </c>
      <c r="E1098">
        <v>2</v>
      </c>
      <c r="F1098" t="s">
        <v>13</v>
      </c>
      <c r="G1098" t="s">
        <v>14</v>
      </c>
      <c r="H1098" t="s">
        <v>15</v>
      </c>
      <c r="J1098" s="1">
        <v>44717</v>
      </c>
      <c r="K1098" t="s">
        <v>1296</v>
      </c>
      <c r="L1098" t="s">
        <v>25</v>
      </c>
      <c r="M1098" t="s">
        <v>26</v>
      </c>
      <c r="N1098" t="s">
        <v>165</v>
      </c>
    </row>
    <row r="1099" spans="1:14" x14ac:dyDescent="0.25">
      <c r="A1099" t="s">
        <v>1294</v>
      </c>
      <c r="B1099">
        <v>2684</v>
      </c>
      <c r="C1099">
        <v>713</v>
      </c>
      <c r="E1099">
        <v>2</v>
      </c>
      <c r="F1099" t="s">
        <v>13</v>
      </c>
      <c r="G1099" t="s">
        <v>14</v>
      </c>
      <c r="H1099" t="s">
        <v>15</v>
      </c>
      <c r="J1099" s="1">
        <v>43962</v>
      </c>
      <c r="K1099" t="s">
        <v>1297</v>
      </c>
      <c r="L1099" t="s">
        <v>71</v>
      </c>
      <c r="M1099" t="s">
        <v>72</v>
      </c>
      <c r="N1099" t="s">
        <v>59</v>
      </c>
    </row>
    <row r="1100" spans="1:14" x14ac:dyDescent="0.25">
      <c r="A1100" t="s">
        <v>1298</v>
      </c>
      <c r="B1100">
        <v>7626</v>
      </c>
      <c r="C1100">
        <v>229</v>
      </c>
      <c r="E1100">
        <v>5</v>
      </c>
      <c r="F1100" t="s">
        <v>30</v>
      </c>
      <c r="G1100" t="s">
        <v>31</v>
      </c>
      <c r="H1100" t="s">
        <v>40</v>
      </c>
      <c r="J1100" s="1">
        <v>45333</v>
      </c>
      <c r="K1100" t="s">
        <v>1299</v>
      </c>
      <c r="L1100" t="s">
        <v>21</v>
      </c>
      <c r="M1100" t="s">
        <v>63</v>
      </c>
      <c r="N1100" t="s">
        <v>218</v>
      </c>
    </row>
    <row r="1101" spans="1:14" x14ac:dyDescent="0.25">
      <c r="A1101" t="s">
        <v>1298</v>
      </c>
      <c r="B1101">
        <v>7626</v>
      </c>
      <c r="C1101">
        <v>229</v>
      </c>
      <c r="E1101">
        <v>5</v>
      </c>
      <c r="F1101" t="s">
        <v>30</v>
      </c>
      <c r="G1101" t="s">
        <v>31</v>
      </c>
      <c r="H1101" t="s">
        <v>40</v>
      </c>
      <c r="J1101" s="1">
        <v>44160</v>
      </c>
      <c r="K1101" t="s">
        <v>1300</v>
      </c>
      <c r="L1101" t="s">
        <v>98</v>
      </c>
      <c r="M1101" t="s">
        <v>99</v>
      </c>
      <c r="N1101" t="s">
        <v>80</v>
      </c>
    </row>
    <row r="1102" spans="1:14" x14ac:dyDescent="0.25">
      <c r="A1102" t="s">
        <v>1301</v>
      </c>
      <c r="B1102">
        <v>6669</v>
      </c>
      <c r="C1102">
        <v>3063</v>
      </c>
      <c r="E1102">
        <v>19</v>
      </c>
      <c r="F1102" t="s">
        <v>13</v>
      </c>
      <c r="G1102" t="s">
        <v>28</v>
      </c>
      <c r="H1102" t="s">
        <v>15</v>
      </c>
      <c r="J1102" s="1">
        <v>45150</v>
      </c>
      <c r="K1102" t="s">
        <v>1302</v>
      </c>
      <c r="L1102" t="s">
        <v>98</v>
      </c>
      <c r="M1102" t="s">
        <v>107</v>
      </c>
      <c r="N1102" t="s">
        <v>121</v>
      </c>
    </row>
    <row r="1103" spans="1:14" x14ac:dyDescent="0.25">
      <c r="A1103" t="s">
        <v>1303</v>
      </c>
      <c r="B1103">
        <v>6123</v>
      </c>
      <c r="C1103">
        <v>1686</v>
      </c>
      <c r="E1103">
        <v>3</v>
      </c>
      <c r="F1103" t="s">
        <v>30</v>
      </c>
      <c r="G1103" t="s">
        <v>57</v>
      </c>
      <c r="H1103" t="s">
        <v>47</v>
      </c>
      <c r="J1103" s="1">
        <v>44687</v>
      </c>
      <c r="K1103" t="s">
        <v>1304</v>
      </c>
      <c r="L1103" t="s">
        <v>98</v>
      </c>
      <c r="M1103" t="s">
        <v>107</v>
      </c>
      <c r="N1103" t="s">
        <v>180</v>
      </c>
    </row>
    <row r="1104" spans="1:14" x14ac:dyDescent="0.25">
      <c r="A1104" t="s">
        <v>1305</v>
      </c>
      <c r="B1104">
        <v>3265</v>
      </c>
      <c r="C1104">
        <v>1390</v>
      </c>
      <c r="E1104">
        <v>16</v>
      </c>
      <c r="F1104" t="s">
        <v>30</v>
      </c>
      <c r="G1104" t="s">
        <v>64</v>
      </c>
      <c r="H1104" t="s">
        <v>47</v>
      </c>
      <c r="J1104" s="1">
        <v>45308</v>
      </c>
      <c r="K1104" t="s">
        <v>1306</v>
      </c>
      <c r="L1104" t="s">
        <v>42</v>
      </c>
      <c r="M1104" t="s">
        <v>43</v>
      </c>
      <c r="N1104" t="s">
        <v>76</v>
      </c>
    </row>
    <row r="1105" spans="1:14" x14ac:dyDescent="0.25">
      <c r="A1105" t="s">
        <v>1307</v>
      </c>
      <c r="B1105">
        <v>8104</v>
      </c>
      <c r="C1105">
        <v>1039</v>
      </c>
      <c r="E1105">
        <v>6</v>
      </c>
      <c r="F1105" t="s">
        <v>30</v>
      </c>
      <c r="G1105" t="s">
        <v>57</v>
      </c>
      <c r="H1105" t="s">
        <v>65</v>
      </c>
      <c r="J1105" s="1">
        <v>44524</v>
      </c>
      <c r="K1105" t="s">
        <v>1308</v>
      </c>
      <c r="L1105" t="s">
        <v>17</v>
      </c>
      <c r="M1105" t="s">
        <v>34</v>
      </c>
      <c r="N1105" t="s">
        <v>175</v>
      </c>
    </row>
    <row r="1106" spans="1:14" x14ac:dyDescent="0.25">
      <c r="A1106" t="s">
        <v>1307</v>
      </c>
      <c r="B1106">
        <v>8104</v>
      </c>
      <c r="C1106">
        <v>1039</v>
      </c>
      <c r="E1106">
        <v>6</v>
      </c>
      <c r="F1106" t="s">
        <v>30</v>
      </c>
      <c r="G1106" t="s">
        <v>57</v>
      </c>
      <c r="H1106" t="s">
        <v>65</v>
      </c>
      <c r="J1106" s="1">
        <v>44475</v>
      </c>
      <c r="K1106" t="s">
        <v>1309</v>
      </c>
      <c r="L1106" t="s">
        <v>17</v>
      </c>
      <c r="M1106" t="s">
        <v>18</v>
      </c>
      <c r="N1106" t="s">
        <v>37</v>
      </c>
    </row>
    <row r="1107" spans="1:14" x14ac:dyDescent="0.25">
      <c r="A1107" t="s">
        <v>1307</v>
      </c>
      <c r="B1107">
        <v>8104</v>
      </c>
      <c r="C1107">
        <v>1039</v>
      </c>
      <c r="E1107">
        <v>6</v>
      </c>
      <c r="F1107" t="s">
        <v>30</v>
      </c>
      <c r="G1107" t="s">
        <v>57</v>
      </c>
      <c r="H1107" t="s">
        <v>65</v>
      </c>
      <c r="J1107" s="1">
        <v>45684</v>
      </c>
      <c r="K1107" t="s">
        <v>1310</v>
      </c>
      <c r="L1107" t="s">
        <v>42</v>
      </c>
      <c r="M1107" t="s">
        <v>92</v>
      </c>
      <c r="N1107" t="s">
        <v>308</v>
      </c>
    </row>
    <row r="1108" spans="1:14" x14ac:dyDescent="0.25">
      <c r="A1108" t="s">
        <v>1311</v>
      </c>
      <c r="B1108">
        <v>847</v>
      </c>
      <c r="C1108">
        <v>355</v>
      </c>
      <c r="E1108">
        <v>17</v>
      </c>
      <c r="F1108" t="s">
        <v>45</v>
      </c>
      <c r="G1108" t="s">
        <v>46</v>
      </c>
      <c r="H1108" t="s">
        <v>65</v>
      </c>
      <c r="J1108" s="1">
        <v>44704</v>
      </c>
      <c r="K1108" t="s">
        <v>1312</v>
      </c>
      <c r="L1108" t="s">
        <v>25</v>
      </c>
      <c r="M1108" t="s">
        <v>26</v>
      </c>
      <c r="N1108" t="s">
        <v>180</v>
      </c>
    </row>
    <row r="1109" spans="1:14" x14ac:dyDescent="0.25">
      <c r="A1109" t="s">
        <v>1311</v>
      </c>
      <c r="B1109">
        <v>847</v>
      </c>
      <c r="C1109">
        <v>355</v>
      </c>
      <c r="E1109">
        <v>17</v>
      </c>
      <c r="F1109" t="s">
        <v>45</v>
      </c>
      <c r="G1109" t="s">
        <v>46</v>
      </c>
      <c r="H1109" t="s">
        <v>65</v>
      </c>
      <c r="J1109" s="1">
        <v>45258</v>
      </c>
      <c r="K1109" t="s">
        <v>1313</v>
      </c>
      <c r="L1109" t="s">
        <v>71</v>
      </c>
      <c r="M1109" t="s">
        <v>86</v>
      </c>
      <c r="N1109" t="s">
        <v>52</v>
      </c>
    </row>
    <row r="1110" spans="1:14" x14ac:dyDescent="0.25">
      <c r="A1110" t="s">
        <v>1311</v>
      </c>
      <c r="B1110">
        <v>847</v>
      </c>
      <c r="C1110">
        <v>355</v>
      </c>
      <c r="E1110">
        <v>17</v>
      </c>
      <c r="F1110" t="s">
        <v>45</v>
      </c>
      <c r="G1110" t="s">
        <v>46</v>
      </c>
      <c r="H1110" t="s">
        <v>65</v>
      </c>
      <c r="J1110" s="1">
        <v>44944</v>
      </c>
      <c r="K1110" t="s">
        <v>1314</v>
      </c>
      <c r="L1110" t="s">
        <v>42</v>
      </c>
      <c r="M1110" t="s">
        <v>92</v>
      </c>
      <c r="N1110" t="s">
        <v>333</v>
      </c>
    </row>
    <row r="1111" spans="1:14" x14ac:dyDescent="0.25">
      <c r="A1111" t="s">
        <v>1315</v>
      </c>
      <c r="B1111">
        <v>3129</v>
      </c>
      <c r="C1111">
        <v>55</v>
      </c>
      <c r="E1111">
        <v>9</v>
      </c>
      <c r="F1111" t="s">
        <v>45</v>
      </c>
      <c r="G1111" t="s">
        <v>109</v>
      </c>
      <c r="H1111" t="s">
        <v>32</v>
      </c>
      <c r="J1111" s="1">
        <v>44445</v>
      </c>
      <c r="K1111" t="s">
        <v>1316</v>
      </c>
      <c r="L1111" t="s">
        <v>21</v>
      </c>
      <c r="M1111" t="s">
        <v>172</v>
      </c>
      <c r="N1111" t="s">
        <v>224</v>
      </c>
    </row>
    <row r="1112" spans="1:14" x14ac:dyDescent="0.25">
      <c r="A1112" t="s">
        <v>1315</v>
      </c>
      <c r="B1112">
        <v>7821</v>
      </c>
      <c r="C1112">
        <v>3821</v>
      </c>
      <c r="E1112">
        <v>13</v>
      </c>
      <c r="F1112" t="s">
        <v>13</v>
      </c>
      <c r="G1112" t="s">
        <v>39</v>
      </c>
      <c r="H1112" t="s">
        <v>40</v>
      </c>
      <c r="J1112" s="1">
        <v>44445</v>
      </c>
      <c r="K1112" t="s">
        <v>1316</v>
      </c>
      <c r="L1112" t="s">
        <v>21</v>
      </c>
      <c r="M1112" t="s">
        <v>172</v>
      </c>
      <c r="N1112" t="s">
        <v>224</v>
      </c>
    </row>
    <row r="1113" spans="1:14" x14ac:dyDescent="0.25">
      <c r="A1113" t="s">
        <v>1317</v>
      </c>
      <c r="B1113">
        <v>9498</v>
      </c>
      <c r="C1113">
        <v>256</v>
      </c>
      <c r="E1113">
        <v>12</v>
      </c>
      <c r="F1113" t="s">
        <v>13</v>
      </c>
      <c r="G1113" t="s">
        <v>82</v>
      </c>
      <c r="H1113" t="s">
        <v>65</v>
      </c>
      <c r="J1113" s="1">
        <v>44249</v>
      </c>
      <c r="K1113" t="s">
        <v>1318</v>
      </c>
      <c r="L1113" t="s">
        <v>21</v>
      </c>
      <c r="M1113" t="s">
        <v>172</v>
      </c>
      <c r="N1113" t="s">
        <v>292</v>
      </c>
    </row>
    <row r="1114" spans="1:14" x14ac:dyDescent="0.25">
      <c r="A1114" t="s">
        <v>1317</v>
      </c>
      <c r="B1114">
        <v>9498</v>
      </c>
      <c r="C1114">
        <v>256</v>
      </c>
      <c r="E1114">
        <v>12</v>
      </c>
      <c r="F1114" t="s">
        <v>13</v>
      </c>
      <c r="G1114" t="s">
        <v>82</v>
      </c>
      <c r="H1114" t="s">
        <v>65</v>
      </c>
      <c r="J1114" s="1">
        <v>44475</v>
      </c>
      <c r="K1114" t="s">
        <v>1319</v>
      </c>
      <c r="L1114" t="s">
        <v>25</v>
      </c>
      <c r="M1114" t="s">
        <v>51</v>
      </c>
      <c r="N1114" t="s">
        <v>37</v>
      </c>
    </row>
    <row r="1115" spans="1:14" x14ac:dyDescent="0.25">
      <c r="A1115" t="s">
        <v>1320</v>
      </c>
      <c r="B1115">
        <v>5461</v>
      </c>
      <c r="C1115">
        <v>1214</v>
      </c>
      <c r="E1115">
        <v>7</v>
      </c>
      <c r="F1115" t="s">
        <v>45</v>
      </c>
      <c r="G1115" t="s">
        <v>60</v>
      </c>
      <c r="H1115" t="s">
        <v>47</v>
      </c>
      <c r="J1115" s="1">
        <v>43989</v>
      </c>
      <c r="K1115" t="s">
        <v>1321</v>
      </c>
      <c r="L1115" t="s">
        <v>25</v>
      </c>
      <c r="M1115" t="s">
        <v>68</v>
      </c>
      <c r="N1115" t="s">
        <v>313</v>
      </c>
    </row>
    <row r="1116" spans="1:14" x14ac:dyDescent="0.25">
      <c r="A1116" t="s">
        <v>1322</v>
      </c>
      <c r="B1116">
        <v>3084</v>
      </c>
      <c r="C1116">
        <v>611</v>
      </c>
      <c r="E1116">
        <v>19</v>
      </c>
      <c r="F1116" t="s">
        <v>45</v>
      </c>
      <c r="G1116" t="s">
        <v>109</v>
      </c>
      <c r="H1116" t="s">
        <v>15</v>
      </c>
      <c r="J1116" s="1">
        <v>45433</v>
      </c>
      <c r="K1116" t="s">
        <v>1323</v>
      </c>
      <c r="L1116" t="s">
        <v>71</v>
      </c>
      <c r="M1116" t="s">
        <v>72</v>
      </c>
      <c r="N1116" t="s">
        <v>35</v>
      </c>
    </row>
    <row r="1117" spans="1:14" x14ac:dyDescent="0.25">
      <c r="A1117" t="s">
        <v>1324</v>
      </c>
      <c r="B1117">
        <v>6087</v>
      </c>
      <c r="C1117">
        <v>3043</v>
      </c>
      <c r="E1117">
        <v>1</v>
      </c>
      <c r="F1117" t="s">
        <v>45</v>
      </c>
      <c r="G1117" t="s">
        <v>60</v>
      </c>
      <c r="H1117" t="s">
        <v>65</v>
      </c>
      <c r="J1117" s="1">
        <v>44048</v>
      </c>
      <c r="K1117" t="s">
        <v>1325</v>
      </c>
      <c r="L1117" t="s">
        <v>25</v>
      </c>
      <c r="M1117" t="s">
        <v>26</v>
      </c>
      <c r="N1117" t="s">
        <v>185</v>
      </c>
    </row>
    <row r="1118" spans="1:14" x14ac:dyDescent="0.25">
      <c r="A1118" t="s">
        <v>1326</v>
      </c>
      <c r="B1118">
        <v>611</v>
      </c>
      <c r="C1118">
        <v>300</v>
      </c>
      <c r="E1118">
        <v>3</v>
      </c>
      <c r="F1118" t="s">
        <v>45</v>
      </c>
      <c r="G1118" t="s">
        <v>109</v>
      </c>
      <c r="H1118" t="s">
        <v>47</v>
      </c>
      <c r="J1118" s="1">
        <v>44119</v>
      </c>
      <c r="K1118" t="s">
        <v>1327</v>
      </c>
      <c r="L1118" t="s">
        <v>21</v>
      </c>
      <c r="M1118" t="s">
        <v>172</v>
      </c>
      <c r="N1118" t="s">
        <v>119</v>
      </c>
    </row>
    <row r="1119" spans="1:14" x14ac:dyDescent="0.25">
      <c r="A1119" t="s">
        <v>1328</v>
      </c>
      <c r="B1119">
        <v>9909</v>
      </c>
      <c r="C1119">
        <v>2999</v>
      </c>
      <c r="E1119">
        <v>18</v>
      </c>
      <c r="F1119" t="s">
        <v>30</v>
      </c>
      <c r="G1119" t="s">
        <v>57</v>
      </c>
      <c r="H1119" t="s">
        <v>65</v>
      </c>
      <c r="J1119" s="1">
        <v>44331</v>
      </c>
      <c r="K1119" t="s">
        <v>1329</v>
      </c>
      <c r="L1119" t="s">
        <v>98</v>
      </c>
      <c r="M1119" t="s">
        <v>117</v>
      </c>
      <c r="N1119" t="s">
        <v>108</v>
      </c>
    </row>
    <row r="1120" spans="1:14" x14ac:dyDescent="0.25">
      <c r="A1120" t="s">
        <v>1328</v>
      </c>
      <c r="B1120">
        <v>9909</v>
      </c>
      <c r="C1120">
        <v>2999</v>
      </c>
      <c r="E1120">
        <v>18</v>
      </c>
      <c r="F1120" t="s">
        <v>30</v>
      </c>
      <c r="G1120" t="s">
        <v>57</v>
      </c>
      <c r="H1120" t="s">
        <v>65</v>
      </c>
      <c r="J1120" s="1">
        <v>44574</v>
      </c>
      <c r="K1120" t="s">
        <v>1330</v>
      </c>
      <c r="L1120" t="s">
        <v>71</v>
      </c>
      <c r="M1120" t="s">
        <v>86</v>
      </c>
      <c r="N1120" t="s">
        <v>87</v>
      </c>
    </row>
    <row r="1121" spans="1:14" x14ac:dyDescent="0.25">
      <c r="A1121" t="s">
        <v>1331</v>
      </c>
      <c r="B1121">
        <v>6485</v>
      </c>
      <c r="C1121">
        <v>3178</v>
      </c>
      <c r="E1121">
        <v>18</v>
      </c>
      <c r="F1121" t="s">
        <v>45</v>
      </c>
      <c r="G1121" t="s">
        <v>60</v>
      </c>
      <c r="H1121" t="s">
        <v>15</v>
      </c>
      <c r="J1121" s="1">
        <v>45125</v>
      </c>
      <c r="K1121" t="s">
        <v>1332</v>
      </c>
      <c r="L1121" t="s">
        <v>98</v>
      </c>
      <c r="M1121" t="s">
        <v>99</v>
      </c>
      <c r="N1121" t="s">
        <v>105</v>
      </c>
    </row>
    <row r="1122" spans="1:14" x14ac:dyDescent="0.25">
      <c r="A1122" t="s">
        <v>1333</v>
      </c>
      <c r="B1122">
        <v>7259</v>
      </c>
      <c r="C1122">
        <v>1969</v>
      </c>
      <c r="E1122">
        <v>10</v>
      </c>
      <c r="F1122" t="s">
        <v>13</v>
      </c>
      <c r="G1122" t="s">
        <v>39</v>
      </c>
      <c r="H1122" t="s">
        <v>47</v>
      </c>
      <c r="J1122" s="1">
        <v>44903</v>
      </c>
      <c r="K1122" t="s">
        <v>1334</v>
      </c>
      <c r="L1122" t="s">
        <v>21</v>
      </c>
      <c r="M1122" t="s">
        <v>63</v>
      </c>
      <c r="N1122" t="s">
        <v>152</v>
      </c>
    </row>
    <row r="1123" spans="1:14" x14ac:dyDescent="0.25">
      <c r="A1123" t="s">
        <v>1335</v>
      </c>
      <c r="B1123">
        <v>3333</v>
      </c>
      <c r="C1123">
        <v>700</v>
      </c>
      <c r="E1123">
        <v>18</v>
      </c>
      <c r="F1123" t="s">
        <v>13</v>
      </c>
      <c r="G1123" t="s">
        <v>28</v>
      </c>
      <c r="H1123" t="s">
        <v>65</v>
      </c>
      <c r="J1123" s="1">
        <v>45033</v>
      </c>
      <c r="K1123" t="s">
        <v>1336</v>
      </c>
      <c r="L1123" t="s">
        <v>17</v>
      </c>
      <c r="M1123" t="s">
        <v>18</v>
      </c>
      <c r="N1123" t="s">
        <v>145</v>
      </c>
    </row>
    <row r="1124" spans="1:14" x14ac:dyDescent="0.25">
      <c r="A1124" t="s">
        <v>1337</v>
      </c>
      <c r="B1124">
        <v>7786</v>
      </c>
      <c r="C1124">
        <v>1202</v>
      </c>
      <c r="E1124">
        <v>4</v>
      </c>
      <c r="F1124" t="s">
        <v>45</v>
      </c>
      <c r="G1124" t="s">
        <v>60</v>
      </c>
      <c r="H1124" t="s">
        <v>40</v>
      </c>
      <c r="J1124" s="1">
        <v>44005</v>
      </c>
      <c r="K1124" t="s">
        <v>1338</v>
      </c>
      <c r="L1124" t="s">
        <v>21</v>
      </c>
      <c r="M1124" t="s">
        <v>172</v>
      </c>
      <c r="N1124" t="s">
        <v>313</v>
      </c>
    </row>
    <row r="1125" spans="1:14" x14ac:dyDescent="0.25">
      <c r="A1125" t="s">
        <v>1339</v>
      </c>
      <c r="B1125">
        <v>7644</v>
      </c>
      <c r="C1125">
        <v>2428</v>
      </c>
      <c r="E1125">
        <v>6</v>
      </c>
      <c r="F1125" t="s">
        <v>13</v>
      </c>
      <c r="G1125" t="s">
        <v>82</v>
      </c>
      <c r="H1125" t="s">
        <v>32</v>
      </c>
      <c r="J1125" s="1">
        <v>44581</v>
      </c>
      <c r="K1125" t="s">
        <v>1340</v>
      </c>
      <c r="L1125" t="s">
        <v>21</v>
      </c>
      <c r="M1125" t="s">
        <v>63</v>
      </c>
      <c r="N1125" t="s">
        <v>87</v>
      </c>
    </row>
    <row r="1126" spans="1:14" x14ac:dyDescent="0.25">
      <c r="A1126" t="s">
        <v>1341</v>
      </c>
      <c r="B1126">
        <v>1476</v>
      </c>
      <c r="C1126">
        <v>247</v>
      </c>
      <c r="E1126">
        <v>5</v>
      </c>
      <c r="F1126" t="s">
        <v>45</v>
      </c>
      <c r="G1126" t="s">
        <v>109</v>
      </c>
      <c r="H1126" t="s">
        <v>65</v>
      </c>
      <c r="J1126" s="1">
        <v>45248</v>
      </c>
      <c r="K1126" t="s">
        <v>1342</v>
      </c>
      <c r="L1126" t="s">
        <v>42</v>
      </c>
      <c r="M1126" t="s">
        <v>43</v>
      </c>
      <c r="N1126" t="s">
        <v>52</v>
      </c>
    </row>
    <row r="1127" spans="1:14" x14ac:dyDescent="0.25">
      <c r="A1127" t="s">
        <v>1341</v>
      </c>
      <c r="B1127">
        <v>1476</v>
      </c>
      <c r="C1127">
        <v>247</v>
      </c>
      <c r="E1127">
        <v>5</v>
      </c>
      <c r="F1127" t="s">
        <v>45</v>
      </c>
      <c r="G1127" t="s">
        <v>109</v>
      </c>
      <c r="H1127" t="s">
        <v>65</v>
      </c>
      <c r="J1127" s="1">
        <v>44580</v>
      </c>
      <c r="K1127" t="s">
        <v>1343</v>
      </c>
      <c r="L1127" t="s">
        <v>42</v>
      </c>
      <c r="M1127" t="s">
        <v>75</v>
      </c>
      <c r="N1127" t="s">
        <v>87</v>
      </c>
    </row>
    <row r="1128" spans="1:14" x14ac:dyDescent="0.25">
      <c r="A1128" t="s">
        <v>1344</v>
      </c>
      <c r="B1128">
        <v>3445</v>
      </c>
      <c r="C1128">
        <v>1405</v>
      </c>
      <c r="E1128">
        <v>16</v>
      </c>
      <c r="F1128" t="s">
        <v>45</v>
      </c>
      <c r="G1128" t="s">
        <v>60</v>
      </c>
      <c r="H1128" t="s">
        <v>40</v>
      </c>
      <c r="J1128" s="1">
        <v>44095</v>
      </c>
      <c r="K1128" t="s">
        <v>1345</v>
      </c>
      <c r="L1128" t="s">
        <v>42</v>
      </c>
      <c r="M1128" t="s">
        <v>92</v>
      </c>
      <c r="N1128" t="s">
        <v>389</v>
      </c>
    </row>
    <row r="1129" spans="1:14" x14ac:dyDescent="0.25">
      <c r="A1129" t="s">
        <v>1344</v>
      </c>
      <c r="B1129">
        <v>9837</v>
      </c>
      <c r="C1129">
        <v>384</v>
      </c>
      <c r="E1129">
        <v>1</v>
      </c>
      <c r="F1129" t="s">
        <v>13</v>
      </c>
      <c r="G1129" t="s">
        <v>39</v>
      </c>
      <c r="H1129" t="s">
        <v>15</v>
      </c>
      <c r="J1129" s="1">
        <v>44095</v>
      </c>
      <c r="K1129" t="s">
        <v>1345</v>
      </c>
      <c r="L1129" t="s">
        <v>42</v>
      </c>
      <c r="M1129" t="s">
        <v>92</v>
      </c>
      <c r="N1129" t="s">
        <v>389</v>
      </c>
    </row>
    <row r="1130" spans="1:14" x14ac:dyDescent="0.25">
      <c r="A1130" t="s">
        <v>1346</v>
      </c>
      <c r="B1130">
        <v>1314</v>
      </c>
      <c r="C1130">
        <v>457</v>
      </c>
      <c r="E1130">
        <v>8</v>
      </c>
      <c r="F1130" t="s">
        <v>45</v>
      </c>
      <c r="G1130" t="s">
        <v>60</v>
      </c>
      <c r="H1130" t="s">
        <v>40</v>
      </c>
      <c r="J1130" s="1">
        <v>44358</v>
      </c>
      <c r="K1130" t="s">
        <v>1347</v>
      </c>
      <c r="L1130" t="s">
        <v>42</v>
      </c>
      <c r="M1130" t="s">
        <v>75</v>
      </c>
      <c r="N1130" t="s">
        <v>125</v>
      </c>
    </row>
    <row r="1131" spans="1:14" x14ac:dyDescent="0.25">
      <c r="A1131" t="s">
        <v>1348</v>
      </c>
      <c r="B1131">
        <v>5951</v>
      </c>
      <c r="C1131">
        <v>936</v>
      </c>
      <c r="E1131">
        <v>6</v>
      </c>
      <c r="F1131" t="s">
        <v>13</v>
      </c>
      <c r="G1131" t="s">
        <v>39</v>
      </c>
      <c r="H1131" t="s">
        <v>32</v>
      </c>
      <c r="J1131" s="1">
        <v>45511</v>
      </c>
      <c r="K1131" t="s">
        <v>1349</v>
      </c>
      <c r="L1131" t="s">
        <v>71</v>
      </c>
      <c r="M1131" t="s">
        <v>72</v>
      </c>
      <c r="N1131" t="s">
        <v>114</v>
      </c>
    </row>
    <row r="1132" spans="1:14" x14ac:dyDescent="0.25">
      <c r="A1132" t="s">
        <v>1348</v>
      </c>
      <c r="B1132">
        <v>5951</v>
      </c>
      <c r="C1132">
        <v>936</v>
      </c>
      <c r="E1132">
        <v>6</v>
      </c>
      <c r="F1132" t="s">
        <v>13</v>
      </c>
      <c r="G1132" t="s">
        <v>39</v>
      </c>
      <c r="H1132" t="s">
        <v>32</v>
      </c>
      <c r="J1132" s="1">
        <v>44768</v>
      </c>
      <c r="K1132" t="s">
        <v>1350</v>
      </c>
      <c r="L1132" t="s">
        <v>98</v>
      </c>
      <c r="M1132" t="s">
        <v>99</v>
      </c>
      <c r="N1132" t="s">
        <v>418</v>
      </c>
    </row>
    <row r="1133" spans="1:14" x14ac:dyDescent="0.25">
      <c r="A1133" t="s">
        <v>1351</v>
      </c>
      <c r="B1133">
        <v>992</v>
      </c>
      <c r="C1133">
        <v>177</v>
      </c>
      <c r="E1133">
        <v>6</v>
      </c>
      <c r="F1133" t="s">
        <v>13</v>
      </c>
      <c r="G1133" t="s">
        <v>82</v>
      </c>
      <c r="H1133" t="s">
        <v>15</v>
      </c>
      <c r="J1133" s="1">
        <v>45304</v>
      </c>
      <c r="K1133" t="s">
        <v>1352</v>
      </c>
      <c r="L1133" t="s">
        <v>42</v>
      </c>
      <c r="M1133" t="s">
        <v>43</v>
      </c>
      <c r="N1133" t="s">
        <v>76</v>
      </c>
    </row>
    <row r="1134" spans="1:14" x14ac:dyDescent="0.25">
      <c r="A1134" t="s">
        <v>1351</v>
      </c>
      <c r="B1134">
        <v>4699</v>
      </c>
      <c r="C1134">
        <v>625</v>
      </c>
      <c r="E1134">
        <v>18</v>
      </c>
      <c r="F1134" t="s">
        <v>30</v>
      </c>
      <c r="G1134" t="s">
        <v>57</v>
      </c>
      <c r="H1134" t="s">
        <v>40</v>
      </c>
      <c r="J1134" s="1">
        <v>45304</v>
      </c>
      <c r="K1134" t="s">
        <v>1352</v>
      </c>
      <c r="L1134" t="s">
        <v>42</v>
      </c>
      <c r="M1134" t="s">
        <v>43</v>
      </c>
      <c r="N1134" t="s">
        <v>76</v>
      </c>
    </row>
    <row r="1135" spans="1:14" x14ac:dyDescent="0.25">
      <c r="A1135" t="s">
        <v>1353</v>
      </c>
      <c r="B1135">
        <v>5557</v>
      </c>
      <c r="C1135">
        <v>2114</v>
      </c>
      <c r="E1135">
        <v>17</v>
      </c>
      <c r="F1135" t="s">
        <v>13</v>
      </c>
      <c r="G1135" t="s">
        <v>39</v>
      </c>
      <c r="H1135" t="s">
        <v>40</v>
      </c>
      <c r="J1135" s="1">
        <v>44344</v>
      </c>
      <c r="K1135" t="s">
        <v>1354</v>
      </c>
      <c r="L1135" t="s">
        <v>98</v>
      </c>
      <c r="M1135" t="s">
        <v>117</v>
      </c>
      <c r="N1135" t="s">
        <v>108</v>
      </c>
    </row>
    <row r="1136" spans="1:14" x14ac:dyDescent="0.25">
      <c r="A1136" t="s">
        <v>1355</v>
      </c>
      <c r="B1136">
        <v>3436</v>
      </c>
      <c r="C1136">
        <v>933</v>
      </c>
      <c r="E1136">
        <v>3</v>
      </c>
      <c r="F1136" t="s">
        <v>13</v>
      </c>
      <c r="G1136" t="s">
        <v>14</v>
      </c>
      <c r="H1136" t="s">
        <v>47</v>
      </c>
      <c r="J1136" s="1">
        <v>44360</v>
      </c>
      <c r="K1136" t="s">
        <v>1356</v>
      </c>
      <c r="L1136" t="s">
        <v>71</v>
      </c>
      <c r="M1136" t="s">
        <v>72</v>
      </c>
      <c r="N1136" t="s">
        <v>125</v>
      </c>
    </row>
    <row r="1137" spans="1:14" x14ac:dyDescent="0.25">
      <c r="A1137" t="s">
        <v>1357</v>
      </c>
      <c r="B1137">
        <v>9840</v>
      </c>
      <c r="C1137">
        <v>3870</v>
      </c>
      <c r="E1137">
        <v>11</v>
      </c>
      <c r="F1137" t="s">
        <v>13</v>
      </c>
      <c r="G1137" t="s">
        <v>28</v>
      </c>
      <c r="H1137" t="s">
        <v>32</v>
      </c>
      <c r="J1137" s="1">
        <v>45041</v>
      </c>
      <c r="K1137" t="s">
        <v>1358</v>
      </c>
      <c r="L1137" t="s">
        <v>71</v>
      </c>
      <c r="M1137" t="s">
        <v>86</v>
      </c>
      <c r="N1137" t="s">
        <v>145</v>
      </c>
    </row>
    <row r="1138" spans="1:14" x14ac:dyDescent="0.25">
      <c r="A1138" t="s">
        <v>1359</v>
      </c>
      <c r="B1138">
        <v>7620</v>
      </c>
      <c r="C1138">
        <v>125</v>
      </c>
      <c r="E1138">
        <v>4</v>
      </c>
      <c r="F1138" t="s">
        <v>30</v>
      </c>
      <c r="G1138" t="s">
        <v>64</v>
      </c>
      <c r="H1138" t="s">
        <v>40</v>
      </c>
      <c r="J1138" s="1">
        <v>44382</v>
      </c>
      <c r="K1138" t="s">
        <v>1360</v>
      </c>
      <c r="L1138" t="s">
        <v>42</v>
      </c>
      <c r="M1138" t="s">
        <v>92</v>
      </c>
      <c r="N1138" t="s">
        <v>27</v>
      </c>
    </row>
    <row r="1139" spans="1:14" x14ac:dyDescent="0.25">
      <c r="A1139" t="s">
        <v>1359</v>
      </c>
      <c r="B1139">
        <v>7620</v>
      </c>
      <c r="C1139">
        <v>125</v>
      </c>
      <c r="E1139">
        <v>4</v>
      </c>
      <c r="F1139" t="s">
        <v>30</v>
      </c>
      <c r="G1139" t="s">
        <v>64</v>
      </c>
      <c r="H1139" t="s">
        <v>40</v>
      </c>
      <c r="J1139" s="1">
        <v>45577</v>
      </c>
      <c r="K1139" t="s">
        <v>1361</v>
      </c>
      <c r="L1139" t="s">
        <v>42</v>
      </c>
      <c r="M1139" t="s">
        <v>92</v>
      </c>
      <c r="N1139" t="s">
        <v>360</v>
      </c>
    </row>
    <row r="1140" spans="1:14" x14ac:dyDescent="0.25">
      <c r="A1140" t="s">
        <v>1362</v>
      </c>
      <c r="B1140">
        <v>4314</v>
      </c>
      <c r="C1140">
        <v>1591</v>
      </c>
      <c r="E1140">
        <v>5</v>
      </c>
      <c r="F1140" t="s">
        <v>45</v>
      </c>
      <c r="G1140" t="s">
        <v>46</v>
      </c>
      <c r="H1140" t="s">
        <v>32</v>
      </c>
      <c r="J1140" s="1">
        <v>44473</v>
      </c>
      <c r="K1140" t="s">
        <v>1363</v>
      </c>
      <c r="L1140" t="s">
        <v>25</v>
      </c>
      <c r="M1140" t="s">
        <v>26</v>
      </c>
      <c r="N1140" t="s">
        <v>37</v>
      </c>
    </row>
    <row r="1141" spans="1:14" x14ac:dyDescent="0.25">
      <c r="A1141" t="s">
        <v>1364</v>
      </c>
      <c r="B1141">
        <v>8851</v>
      </c>
      <c r="C1141">
        <v>999</v>
      </c>
      <c r="E1141">
        <v>12</v>
      </c>
      <c r="F1141" t="s">
        <v>13</v>
      </c>
      <c r="G1141" t="s">
        <v>39</v>
      </c>
      <c r="H1141" t="s">
        <v>15</v>
      </c>
      <c r="J1141" s="1">
        <v>45329</v>
      </c>
      <c r="K1141" t="s">
        <v>1365</v>
      </c>
      <c r="L1141" t="s">
        <v>98</v>
      </c>
      <c r="M1141" t="s">
        <v>107</v>
      </c>
      <c r="N1141" t="s">
        <v>218</v>
      </c>
    </row>
    <row r="1142" spans="1:14" x14ac:dyDescent="0.25">
      <c r="A1142" t="s">
        <v>1366</v>
      </c>
      <c r="B1142">
        <v>544</v>
      </c>
      <c r="C1142">
        <v>272</v>
      </c>
      <c r="E1142">
        <v>2</v>
      </c>
      <c r="F1142" t="s">
        <v>13</v>
      </c>
      <c r="G1142" t="s">
        <v>39</v>
      </c>
      <c r="H1142" t="s">
        <v>32</v>
      </c>
      <c r="J1142" s="1">
        <v>44260</v>
      </c>
      <c r="K1142" t="s">
        <v>1367</v>
      </c>
      <c r="L1142" t="s">
        <v>71</v>
      </c>
      <c r="M1142" t="s">
        <v>138</v>
      </c>
      <c r="N1142" t="s">
        <v>167</v>
      </c>
    </row>
    <row r="1143" spans="1:14" x14ac:dyDescent="0.25">
      <c r="A1143" t="s">
        <v>1366</v>
      </c>
      <c r="B1143">
        <v>544</v>
      </c>
      <c r="C1143">
        <v>272</v>
      </c>
      <c r="E1143">
        <v>2</v>
      </c>
      <c r="F1143" t="s">
        <v>13</v>
      </c>
      <c r="G1143" t="s">
        <v>39</v>
      </c>
      <c r="H1143" t="s">
        <v>32</v>
      </c>
      <c r="J1143" s="1">
        <v>45102</v>
      </c>
      <c r="K1143" t="s">
        <v>1368</v>
      </c>
      <c r="L1143" t="s">
        <v>25</v>
      </c>
      <c r="M1143" t="s">
        <v>26</v>
      </c>
      <c r="N1143" t="s">
        <v>19</v>
      </c>
    </row>
    <row r="1144" spans="1:14" x14ac:dyDescent="0.25">
      <c r="A1144" t="s">
        <v>1369</v>
      </c>
      <c r="B1144">
        <v>537</v>
      </c>
      <c r="C1144">
        <v>142</v>
      </c>
      <c r="E1144">
        <v>20</v>
      </c>
      <c r="F1144" t="s">
        <v>30</v>
      </c>
      <c r="G1144" t="s">
        <v>57</v>
      </c>
      <c r="H1144" t="s">
        <v>40</v>
      </c>
      <c r="J1144" s="1">
        <v>44410</v>
      </c>
      <c r="K1144" t="s">
        <v>1370</v>
      </c>
      <c r="L1144" t="s">
        <v>21</v>
      </c>
      <c r="M1144" t="s">
        <v>172</v>
      </c>
      <c r="N1144" t="s">
        <v>178</v>
      </c>
    </row>
    <row r="1145" spans="1:14" x14ac:dyDescent="0.25">
      <c r="A1145" t="s">
        <v>1371</v>
      </c>
      <c r="B1145">
        <v>5944</v>
      </c>
      <c r="C1145">
        <v>2661</v>
      </c>
      <c r="E1145">
        <v>7</v>
      </c>
      <c r="F1145" t="s">
        <v>13</v>
      </c>
      <c r="G1145" t="s">
        <v>39</v>
      </c>
      <c r="H1145" t="s">
        <v>40</v>
      </c>
      <c r="J1145" s="1">
        <v>44637</v>
      </c>
      <c r="K1145" t="s">
        <v>1372</v>
      </c>
      <c r="L1145" t="s">
        <v>71</v>
      </c>
      <c r="M1145" t="s">
        <v>86</v>
      </c>
      <c r="N1145" t="s">
        <v>134</v>
      </c>
    </row>
    <row r="1146" spans="1:14" x14ac:dyDescent="0.25">
      <c r="A1146" t="s">
        <v>1373</v>
      </c>
      <c r="B1146">
        <v>2258</v>
      </c>
      <c r="C1146">
        <v>135</v>
      </c>
      <c r="E1146">
        <v>18</v>
      </c>
      <c r="F1146" t="s">
        <v>13</v>
      </c>
      <c r="G1146" t="s">
        <v>28</v>
      </c>
      <c r="H1146" t="s">
        <v>47</v>
      </c>
      <c r="J1146" s="1">
        <v>45329</v>
      </c>
      <c r="K1146" t="s">
        <v>1374</v>
      </c>
      <c r="L1146" t="s">
        <v>17</v>
      </c>
      <c r="M1146" t="s">
        <v>18</v>
      </c>
      <c r="N1146" t="s">
        <v>218</v>
      </c>
    </row>
    <row r="1147" spans="1:14" x14ac:dyDescent="0.25">
      <c r="A1147" t="s">
        <v>1373</v>
      </c>
      <c r="B1147">
        <v>2258</v>
      </c>
      <c r="C1147">
        <v>135</v>
      </c>
      <c r="E1147">
        <v>18</v>
      </c>
      <c r="F1147" t="s">
        <v>13</v>
      </c>
      <c r="G1147" t="s">
        <v>28</v>
      </c>
      <c r="H1147" t="s">
        <v>47</v>
      </c>
      <c r="J1147" s="1">
        <v>44792</v>
      </c>
      <c r="K1147" t="s">
        <v>1375</v>
      </c>
      <c r="L1147" t="s">
        <v>42</v>
      </c>
      <c r="M1147" t="s">
        <v>75</v>
      </c>
      <c r="N1147" t="s">
        <v>209</v>
      </c>
    </row>
    <row r="1148" spans="1:14" x14ac:dyDescent="0.25">
      <c r="A1148" t="s">
        <v>1376</v>
      </c>
      <c r="B1148">
        <v>9609</v>
      </c>
      <c r="C1148">
        <v>4339</v>
      </c>
      <c r="E1148">
        <v>3</v>
      </c>
      <c r="F1148" t="s">
        <v>45</v>
      </c>
      <c r="G1148" t="s">
        <v>60</v>
      </c>
      <c r="H1148" t="s">
        <v>32</v>
      </c>
      <c r="J1148" s="1">
        <v>45554</v>
      </c>
      <c r="K1148" t="s">
        <v>1377</v>
      </c>
      <c r="L1148" t="s">
        <v>71</v>
      </c>
      <c r="M1148" t="s">
        <v>138</v>
      </c>
      <c r="N1148" t="s">
        <v>159</v>
      </c>
    </row>
    <row r="1149" spans="1:14" x14ac:dyDescent="0.25">
      <c r="A1149" t="s">
        <v>1376</v>
      </c>
      <c r="B1149">
        <v>9609</v>
      </c>
      <c r="C1149">
        <v>4339</v>
      </c>
      <c r="E1149">
        <v>3</v>
      </c>
      <c r="F1149" t="s">
        <v>45</v>
      </c>
      <c r="G1149" t="s">
        <v>60</v>
      </c>
      <c r="H1149" t="s">
        <v>32</v>
      </c>
      <c r="J1149" s="1">
        <v>43926</v>
      </c>
      <c r="K1149" t="s">
        <v>1378</v>
      </c>
      <c r="L1149" t="s">
        <v>98</v>
      </c>
      <c r="M1149" t="s">
        <v>107</v>
      </c>
      <c r="N1149" t="s">
        <v>162</v>
      </c>
    </row>
    <row r="1150" spans="1:14" x14ac:dyDescent="0.25">
      <c r="A1150" t="s">
        <v>1379</v>
      </c>
      <c r="B1150">
        <v>9952</v>
      </c>
      <c r="C1150">
        <v>3301</v>
      </c>
      <c r="E1150">
        <v>15</v>
      </c>
      <c r="F1150" t="s">
        <v>13</v>
      </c>
      <c r="G1150" t="s">
        <v>14</v>
      </c>
      <c r="H1150" t="s">
        <v>32</v>
      </c>
      <c r="J1150" s="1">
        <v>44995</v>
      </c>
      <c r="K1150" t="s">
        <v>1380</v>
      </c>
      <c r="L1150" t="s">
        <v>71</v>
      </c>
      <c r="M1150" t="s">
        <v>72</v>
      </c>
      <c r="N1150" t="s">
        <v>245</v>
      </c>
    </row>
    <row r="1151" spans="1:14" x14ac:dyDescent="0.25">
      <c r="A1151" t="s">
        <v>1381</v>
      </c>
      <c r="B1151">
        <v>9873</v>
      </c>
      <c r="C1151">
        <v>4585</v>
      </c>
      <c r="E1151">
        <v>7</v>
      </c>
      <c r="F1151" t="s">
        <v>30</v>
      </c>
      <c r="G1151" t="s">
        <v>64</v>
      </c>
      <c r="H1151" t="s">
        <v>47</v>
      </c>
      <c r="J1151" s="1">
        <v>44053</v>
      </c>
      <c r="K1151" t="s">
        <v>1382</v>
      </c>
      <c r="L1151" t="s">
        <v>98</v>
      </c>
      <c r="M1151" t="s">
        <v>99</v>
      </c>
      <c r="N1151" t="s">
        <v>185</v>
      </c>
    </row>
    <row r="1152" spans="1:14" x14ac:dyDescent="0.25">
      <c r="A1152" t="s">
        <v>1383</v>
      </c>
      <c r="B1152">
        <v>3560</v>
      </c>
      <c r="C1152">
        <v>1335</v>
      </c>
      <c r="E1152">
        <v>15</v>
      </c>
      <c r="F1152" t="s">
        <v>13</v>
      </c>
      <c r="G1152" t="s">
        <v>14</v>
      </c>
      <c r="H1152" t="s">
        <v>65</v>
      </c>
      <c r="J1152" s="1">
        <v>43950</v>
      </c>
      <c r="K1152" t="s">
        <v>1384</v>
      </c>
      <c r="L1152" t="s">
        <v>25</v>
      </c>
      <c r="M1152" t="s">
        <v>51</v>
      </c>
      <c r="N1152" t="s">
        <v>162</v>
      </c>
    </row>
    <row r="1153" spans="1:14" x14ac:dyDescent="0.25">
      <c r="A1153" t="s">
        <v>1383</v>
      </c>
      <c r="B1153">
        <v>3560</v>
      </c>
      <c r="C1153">
        <v>1335</v>
      </c>
      <c r="E1153">
        <v>15</v>
      </c>
      <c r="F1153" t="s">
        <v>13</v>
      </c>
      <c r="G1153" t="s">
        <v>14</v>
      </c>
      <c r="H1153" t="s">
        <v>65</v>
      </c>
      <c r="J1153" s="1">
        <v>45001</v>
      </c>
      <c r="K1153" t="s">
        <v>1385</v>
      </c>
      <c r="L1153" t="s">
        <v>21</v>
      </c>
      <c r="M1153" t="s">
        <v>63</v>
      </c>
      <c r="N1153" t="s">
        <v>245</v>
      </c>
    </row>
    <row r="1154" spans="1:14" x14ac:dyDescent="0.25">
      <c r="A1154" t="s">
        <v>1386</v>
      </c>
      <c r="B1154">
        <v>6528</v>
      </c>
      <c r="C1154">
        <v>76</v>
      </c>
      <c r="E1154">
        <v>9</v>
      </c>
      <c r="F1154" t="s">
        <v>13</v>
      </c>
      <c r="G1154" t="s">
        <v>82</v>
      </c>
      <c r="H1154" t="s">
        <v>32</v>
      </c>
      <c r="J1154" s="1">
        <v>43955</v>
      </c>
      <c r="K1154" t="s">
        <v>1387</v>
      </c>
      <c r="L1154" t="s">
        <v>25</v>
      </c>
      <c r="M1154" t="s">
        <v>26</v>
      </c>
      <c r="N1154" t="s">
        <v>59</v>
      </c>
    </row>
    <row r="1155" spans="1:14" x14ac:dyDescent="0.25">
      <c r="A1155" t="s">
        <v>1386</v>
      </c>
      <c r="B1155">
        <v>8930</v>
      </c>
      <c r="C1155">
        <v>3374</v>
      </c>
      <c r="E1155">
        <v>12</v>
      </c>
      <c r="F1155" t="s">
        <v>45</v>
      </c>
      <c r="G1155" t="s">
        <v>60</v>
      </c>
      <c r="H1155" t="s">
        <v>32</v>
      </c>
      <c r="J1155" s="1">
        <v>43955</v>
      </c>
      <c r="K1155" t="s">
        <v>1387</v>
      </c>
      <c r="L1155" t="s">
        <v>25</v>
      </c>
      <c r="M1155" t="s">
        <v>26</v>
      </c>
      <c r="N1155" t="s">
        <v>59</v>
      </c>
    </row>
    <row r="1156" spans="1:14" x14ac:dyDescent="0.25">
      <c r="A1156" t="s">
        <v>1388</v>
      </c>
      <c r="B1156">
        <v>4521</v>
      </c>
      <c r="C1156">
        <v>1778</v>
      </c>
      <c r="E1156">
        <v>9</v>
      </c>
      <c r="F1156" t="s">
        <v>30</v>
      </c>
      <c r="G1156" t="s">
        <v>64</v>
      </c>
      <c r="H1156" t="s">
        <v>32</v>
      </c>
      <c r="J1156" s="1">
        <v>45580</v>
      </c>
      <c r="K1156" t="s">
        <v>1389</v>
      </c>
      <c r="L1156" t="s">
        <v>17</v>
      </c>
      <c r="M1156" t="s">
        <v>150</v>
      </c>
      <c r="N1156" t="s">
        <v>360</v>
      </c>
    </row>
    <row r="1157" spans="1:14" x14ac:dyDescent="0.25">
      <c r="A1157" t="s">
        <v>1390</v>
      </c>
      <c r="B1157">
        <v>7091</v>
      </c>
      <c r="C1157">
        <v>2317</v>
      </c>
      <c r="E1157">
        <v>10</v>
      </c>
      <c r="F1157" t="s">
        <v>45</v>
      </c>
      <c r="G1157" t="s">
        <v>60</v>
      </c>
      <c r="H1157" t="s">
        <v>47</v>
      </c>
      <c r="J1157" s="1">
        <v>44721</v>
      </c>
      <c r="K1157" t="s">
        <v>1391</v>
      </c>
      <c r="L1157" t="s">
        <v>42</v>
      </c>
      <c r="M1157" t="s">
        <v>75</v>
      </c>
      <c r="N1157" t="s">
        <v>165</v>
      </c>
    </row>
    <row r="1158" spans="1:14" x14ac:dyDescent="0.25">
      <c r="A1158" t="s">
        <v>1392</v>
      </c>
      <c r="B1158">
        <v>2101</v>
      </c>
      <c r="C1158">
        <v>287</v>
      </c>
      <c r="E1158">
        <v>8</v>
      </c>
      <c r="F1158" t="s">
        <v>30</v>
      </c>
      <c r="G1158" t="s">
        <v>31</v>
      </c>
      <c r="H1158" t="s">
        <v>65</v>
      </c>
      <c r="J1158" s="1">
        <v>44016</v>
      </c>
      <c r="K1158" t="s">
        <v>703</v>
      </c>
      <c r="L1158" t="s">
        <v>98</v>
      </c>
      <c r="M1158" t="s">
        <v>117</v>
      </c>
      <c r="N1158" t="s">
        <v>462</v>
      </c>
    </row>
    <row r="1159" spans="1:14" x14ac:dyDescent="0.25">
      <c r="A1159" t="s">
        <v>1392</v>
      </c>
      <c r="B1159">
        <v>2101</v>
      </c>
      <c r="C1159">
        <v>287</v>
      </c>
      <c r="E1159">
        <v>8</v>
      </c>
      <c r="F1159" t="s">
        <v>30</v>
      </c>
      <c r="G1159" t="s">
        <v>31</v>
      </c>
      <c r="H1159" t="s">
        <v>65</v>
      </c>
      <c r="J1159" s="1">
        <v>45025</v>
      </c>
      <c r="K1159" t="s">
        <v>1393</v>
      </c>
      <c r="L1159" t="s">
        <v>21</v>
      </c>
      <c r="M1159" t="s">
        <v>22</v>
      </c>
      <c r="N1159" t="s">
        <v>145</v>
      </c>
    </row>
    <row r="1160" spans="1:14" x14ac:dyDescent="0.25">
      <c r="A1160" t="s">
        <v>1394</v>
      </c>
      <c r="B1160">
        <v>8644</v>
      </c>
      <c r="C1160">
        <v>1968</v>
      </c>
      <c r="E1160">
        <v>9</v>
      </c>
      <c r="F1160" t="s">
        <v>30</v>
      </c>
      <c r="G1160" t="s">
        <v>64</v>
      </c>
      <c r="H1160" t="s">
        <v>32</v>
      </c>
      <c r="J1160" s="1">
        <v>45254</v>
      </c>
      <c r="K1160" t="s">
        <v>1395</v>
      </c>
      <c r="L1160" t="s">
        <v>21</v>
      </c>
      <c r="M1160" t="s">
        <v>22</v>
      </c>
      <c r="N1160" t="s">
        <v>52</v>
      </c>
    </row>
    <row r="1161" spans="1:14" x14ac:dyDescent="0.25">
      <c r="A1161" t="s">
        <v>1396</v>
      </c>
      <c r="B1161">
        <v>6672</v>
      </c>
      <c r="C1161">
        <v>3319</v>
      </c>
      <c r="E1161">
        <v>4</v>
      </c>
      <c r="F1161" t="s">
        <v>45</v>
      </c>
      <c r="G1161" t="s">
        <v>46</v>
      </c>
      <c r="H1161" t="s">
        <v>15</v>
      </c>
      <c r="J1161" s="1">
        <v>45259</v>
      </c>
      <c r="K1161" t="s">
        <v>1397</v>
      </c>
      <c r="L1161" t="s">
        <v>71</v>
      </c>
      <c r="M1161" t="s">
        <v>72</v>
      </c>
      <c r="N1161" t="s">
        <v>52</v>
      </c>
    </row>
    <row r="1162" spans="1:14" x14ac:dyDescent="0.25">
      <c r="A1162" t="s">
        <v>1396</v>
      </c>
      <c r="B1162">
        <v>6672</v>
      </c>
      <c r="C1162">
        <v>3319</v>
      </c>
      <c r="E1162">
        <v>4</v>
      </c>
      <c r="F1162" t="s">
        <v>45</v>
      </c>
      <c r="G1162" t="s">
        <v>46</v>
      </c>
      <c r="H1162" t="s">
        <v>15</v>
      </c>
      <c r="J1162" s="1">
        <v>45432</v>
      </c>
      <c r="K1162" t="s">
        <v>1398</v>
      </c>
      <c r="L1162" t="s">
        <v>42</v>
      </c>
      <c r="M1162" t="s">
        <v>75</v>
      </c>
      <c r="N1162" t="s">
        <v>35</v>
      </c>
    </row>
    <row r="1163" spans="1:14" x14ac:dyDescent="0.25">
      <c r="A1163" t="s">
        <v>1399</v>
      </c>
      <c r="B1163">
        <v>4699</v>
      </c>
      <c r="C1163">
        <v>103</v>
      </c>
      <c r="E1163">
        <v>12</v>
      </c>
      <c r="F1163" t="s">
        <v>30</v>
      </c>
      <c r="G1163" t="s">
        <v>78</v>
      </c>
      <c r="H1163" t="s">
        <v>15</v>
      </c>
      <c r="J1163" s="1">
        <v>45433</v>
      </c>
      <c r="K1163" t="s">
        <v>1400</v>
      </c>
      <c r="L1163" t="s">
        <v>98</v>
      </c>
      <c r="M1163" t="s">
        <v>107</v>
      </c>
      <c r="N1163" t="s">
        <v>35</v>
      </c>
    </row>
    <row r="1164" spans="1:14" x14ac:dyDescent="0.25">
      <c r="A1164" t="s">
        <v>1401</v>
      </c>
      <c r="B1164">
        <v>4897</v>
      </c>
      <c r="C1164">
        <v>1001</v>
      </c>
      <c r="E1164">
        <v>14</v>
      </c>
      <c r="F1164" t="s">
        <v>45</v>
      </c>
      <c r="G1164" t="s">
        <v>60</v>
      </c>
      <c r="H1164" t="s">
        <v>32</v>
      </c>
      <c r="J1164" s="1">
        <v>44537</v>
      </c>
      <c r="K1164" t="s">
        <v>1402</v>
      </c>
      <c r="L1164" t="s">
        <v>71</v>
      </c>
      <c r="M1164" t="s">
        <v>138</v>
      </c>
      <c r="N1164" t="s">
        <v>90</v>
      </c>
    </row>
    <row r="1165" spans="1:14" x14ac:dyDescent="0.25">
      <c r="A1165" t="s">
        <v>1401</v>
      </c>
      <c r="B1165">
        <v>4897</v>
      </c>
      <c r="C1165">
        <v>1001</v>
      </c>
      <c r="E1165">
        <v>14</v>
      </c>
      <c r="F1165" t="s">
        <v>45</v>
      </c>
      <c r="G1165" t="s">
        <v>60</v>
      </c>
      <c r="H1165" t="s">
        <v>32</v>
      </c>
      <c r="J1165" s="1">
        <v>45663</v>
      </c>
      <c r="K1165" t="s">
        <v>1403</v>
      </c>
      <c r="L1165" t="s">
        <v>98</v>
      </c>
      <c r="M1165" t="s">
        <v>107</v>
      </c>
      <c r="N1165" t="s">
        <v>308</v>
      </c>
    </row>
    <row r="1166" spans="1:14" x14ac:dyDescent="0.25">
      <c r="A1166" t="s">
        <v>1404</v>
      </c>
      <c r="B1166">
        <v>5460</v>
      </c>
      <c r="C1166">
        <v>2088</v>
      </c>
      <c r="E1166">
        <v>14</v>
      </c>
      <c r="F1166" t="s">
        <v>45</v>
      </c>
      <c r="G1166" t="s">
        <v>46</v>
      </c>
      <c r="H1166" t="s">
        <v>32</v>
      </c>
      <c r="J1166" s="1">
        <v>44755</v>
      </c>
      <c r="K1166" t="s">
        <v>1405</v>
      </c>
      <c r="L1166" t="s">
        <v>25</v>
      </c>
      <c r="M1166" t="s">
        <v>26</v>
      </c>
      <c r="N1166" t="s">
        <v>418</v>
      </c>
    </row>
    <row r="1167" spans="1:14" x14ac:dyDescent="0.25">
      <c r="A1167" t="s">
        <v>1404</v>
      </c>
      <c r="B1167">
        <v>5460</v>
      </c>
      <c r="C1167">
        <v>2088</v>
      </c>
      <c r="E1167">
        <v>14</v>
      </c>
      <c r="F1167" t="s">
        <v>45</v>
      </c>
      <c r="G1167" t="s">
        <v>46</v>
      </c>
      <c r="H1167" t="s">
        <v>32</v>
      </c>
      <c r="J1167" s="1">
        <v>43940</v>
      </c>
      <c r="K1167" t="s">
        <v>1406</v>
      </c>
      <c r="L1167" t="s">
        <v>98</v>
      </c>
      <c r="M1167" t="s">
        <v>107</v>
      </c>
      <c r="N1167" t="s">
        <v>162</v>
      </c>
    </row>
    <row r="1168" spans="1:14" x14ac:dyDescent="0.25">
      <c r="A1168" t="s">
        <v>1407</v>
      </c>
      <c r="B1168">
        <v>9272</v>
      </c>
      <c r="C1168">
        <v>1771</v>
      </c>
      <c r="E1168">
        <v>19</v>
      </c>
      <c r="F1168" t="s">
        <v>30</v>
      </c>
      <c r="G1168" t="s">
        <v>57</v>
      </c>
      <c r="H1168" t="s">
        <v>15</v>
      </c>
      <c r="J1168" s="1">
        <v>45610</v>
      </c>
      <c r="K1168" t="s">
        <v>1408</v>
      </c>
      <c r="L1168" t="s">
        <v>21</v>
      </c>
      <c r="M1168" t="s">
        <v>63</v>
      </c>
      <c r="N1168" t="s">
        <v>255</v>
      </c>
    </row>
    <row r="1169" spans="1:14" x14ac:dyDescent="0.25">
      <c r="A1169" t="s">
        <v>1407</v>
      </c>
      <c r="B1169">
        <v>9272</v>
      </c>
      <c r="C1169">
        <v>1771</v>
      </c>
      <c r="E1169">
        <v>19</v>
      </c>
      <c r="F1169" t="s">
        <v>30</v>
      </c>
      <c r="G1169" t="s">
        <v>57</v>
      </c>
      <c r="H1169" t="s">
        <v>15</v>
      </c>
      <c r="J1169" s="1">
        <v>43939</v>
      </c>
      <c r="K1169" t="s">
        <v>1409</v>
      </c>
      <c r="L1169" t="s">
        <v>71</v>
      </c>
      <c r="M1169" t="s">
        <v>72</v>
      </c>
      <c r="N1169" t="s">
        <v>162</v>
      </c>
    </row>
    <row r="1170" spans="1:14" x14ac:dyDescent="0.25">
      <c r="A1170" t="s">
        <v>1410</v>
      </c>
      <c r="B1170">
        <v>7870</v>
      </c>
      <c r="C1170">
        <v>1057</v>
      </c>
      <c r="E1170">
        <v>15</v>
      </c>
      <c r="F1170" t="s">
        <v>30</v>
      </c>
      <c r="G1170" t="s">
        <v>31</v>
      </c>
      <c r="H1170" t="s">
        <v>47</v>
      </c>
      <c r="J1170" s="1">
        <v>45217</v>
      </c>
      <c r="K1170" t="s">
        <v>1411</v>
      </c>
      <c r="L1170" t="s">
        <v>71</v>
      </c>
      <c r="M1170" t="s">
        <v>138</v>
      </c>
      <c r="N1170" t="s">
        <v>442</v>
      </c>
    </row>
    <row r="1171" spans="1:14" x14ac:dyDescent="0.25">
      <c r="A1171" t="s">
        <v>1410</v>
      </c>
      <c r="B1171">
        <v>7870</v>
      </c>
      <c r="C1171">
        <v>1057</v>
      </c>
      <c r="E1171">
        <v>15</v>
      </c>
      <c r="F1171" t="s">
        <v>30</v>
      </c>
      <c r="G1171" t="s">
        <v>31</v>
      </c>
      <c r="H1171" t="s">
        <v>47</v>
      </c>
      <c r="J1171" s="1">
        <v>44276</v>
      </c>
      <c r="K1171" t="s">
        <v>1412</v>
      </c>
      <c r="L1171" t="s">
        <v>98</v>
      </c>
      <c r="M1171" t="s">
        <v>117</v>
      </c>
      <c r="N1171" t="s">
        <v>167</v>
      </c>
    </row>
    <row r="1172" spans="1:14" x14ac:dyDescent="0.25">
      <c r="A1172" t="s">
        <v>1413</v>
      </c>
      <c r="B1172">
        <v>7992</v>
      </c>
      <c r="C1172">
        <v>893</v>
      </c>
      <c r="E1172">
        <v>12</v>
      </c>
      <c r="F1172" t="s">
        <v>13</v>
      </c>
      <c r="G1172" t="s">
        <v>39</v>
      </c>
      <c r="H1172" t="s">
        <v>47</v>
      </c>
      <c r="J1172" s="1">
        <v>45548</v>
      </c>
      <c r="K1172" t="s">
        <v>1414</v>
      </c>
      <c r="L1172" t="s">
        <v>98</v>
      </c>
      <c r="M1172" t="s">
        <v>117</v>
      </c>
      <c r="N1172" t="s">
        <v>159</v>
      </c>
    </row>
    <row r="1173" spans="1:14" x14ac:dyDescent="0.25">
      <c r="A1173" t="s">
        <v>1413</v>
      </c>
      <c r="B1173">
        <v>7992</v>
      </c>
      <c r="C1173">
        <v>893</v>
      </c>
      <c r="E1173">
        <v>12</v>
      </c>
      <c r="F1173" t="s">
        <v>13</v>
      </c>
      <c r="G1173" t="s">
        <v>39</v>
      </c>
      <c r="H1173" t="s">
        <v>47</v>
      </c>
      <c r="J1173" s="1">
        <v>45050</v>
      </c>
      <c r="K1173" t="s">
        <v>1415</v>
      </c>
      <c r="L1173" t="s">
        <v>25</v>
      </c>
      <c r="M1173" t="s">
        <v>51</v>
      </c>
      <c r="N1173" t="s">
        <v>127</v>
      </c>
    </row>
    <row r="1174" spans="1:14" x14ac:dyDescent="0.25">
      <c r="A1174" t="s">
        <v>1413</v>
      </c>
      <c r="B1174">
        <v>7992</v>
      </c>
      <c r="C1174">
        <v>893</v>
      </c>
      <c r="E1174">
        <v>12</v>
      </c>
      <c r="F1174" t="s">
        <v>13</v>
      </c>
      <c r="G1174" t="s">
        <v>39</v>
      </c>
      <c r="H1174" t="s">
        <v>47</v>
      </c>
      <c r="J1174" s="1">
        <v>45077</v>
      </c>
      <c r="K1174" t="s">
        <v>1416</v>
      </c>
      <c r="L1174" t="s">
        <v>21</v>
      </c>
      <c r="M1174" t="s">
        <v>22</v>
      </c>
      <c r="N1174" t="s">
        <v>127</v>
      </c>
    </row>
    <row r="1175" spans="1:14" x14ac:dyDescent="0.25">
      <c r="A1175" t="s">
        <v>1417</v>
      </c>
      <c r="B1175">
        <v>6499</v>
      </c>
      <c r="C1175">
        <v>2189</v>
      </c>
      <c r="E1175">
        <v>18</v>
      </c>
      <c r="F1175" t="s">
        <v>13</v>
      </c>
      <c r="G1175" t="s">
        <v>14</v>
      </c>
      <c r="H1175" t="s">
        <v>40</v>
      </c>
      <c r="J1175" s="1">
        <v>45458</v>
      </c>
      <c r="K1175" t="s">
        <v>1418</v>
      </c>
      <c r="L1175" t="s">
        <v>25</v>
      </c>
      <c r="M1175" t="s">
        <v>51</v>
      </c>
      <c r="N1175" t="s">
        <v>262</v>
      </c>
    </row>
    <row r="1176" spans="1:14" x14ac:dyDescent="0.25">
      <c r="A1176" t="s">
        <v>1417</v>
      </c>
      <c r="B1176">
        <v>6499</v>
      </c>
      <c r="C1176">
        <v>2189</v>
      </c>
      <c r="E1176">
        <v>18</v>
      </c>
      <c r="F1176" t="s">
        <v>13</v>
      </c>
      <c r="G1176" t="s">
        <v>14</v>
      </c>
      <c r="H1176" t="s">
        <v>40</v>
      </c>
      <c r="J1176" s="1">
        <v>44289</v>
      </c>
      <c r="K1176" t="s">
        <v>1419</v>
      </c>
      <c r="L1176" t="s">
        <v>17</v>
      </c>
      <c r="M1176" t="s">
        <v>34</v>
      </c>
      <c r="N1176" t="s">
        <v>139</v>
      </c>
    </row>
    <row r="1177" spans="1:14" x14ac:dyDescent="0.25">
      <c r="A1177" t="s">
        <v>1420</v>
      </c>
      <c r="B1177">
        <v>8848</v>
      </c>
      <c r="C1177">
        <v>2090</v>
      </c>
      <c r="E1177">
        <v>9</v>
      </c>
      <c r="F1177" t="s">
        <v>30</v>
      </c>
      <c r="G1177" t="s">
        <v>31</v>
      </c>
      <c r="H1177" t="s">
        <v>32</v>
      </c>
      <c r="J1177" s="1">
        <v>45671</v>
      </c>
      <c r="K1177" t="s">
        <v>1421</v>
      </c>
      <c r="L1177" t="s">
        <v>42</v>
      </c>
      <c r="M1177" t="s">
        <v>75</v>
      </c>
      <c r="N1177" t="s">
        <v>308</v>
      </c>
    </row>
    <row r="1178" spans="1:14" x14ac:dyDescent="0.25">
      <c r="A1178" t="s">
        <v>1422</v>
      </c>
      <c r="B1178">
        <v>8044</v>
      </c>
      <c r="C1178">
        <v>3634</v>
      </c>
      <c r="E1178">
        <v>3</v>
      </c>
      <c r="F1178" t="s">
        <v>30</v>
      </c>
      <c r="G1178" t="s">
        <v>57</v>
      </c>
      <c r="H1178" t="s">
        <v>65</v>
      </c>
      <c r="J1178" s="1">
        <v>44189</v>
      </c>
      <c r="K1178" t="s">
        <v>1423</v>
      </c>
      <c r="L1178" t="s">
        <v>17</v>
      </c>
      <c r="M1178" t="s">
        <v>34</v>
      </c>
      <c r="N1178" t="s">
        <v>287</v>
      </c>
    </row>
    <row r="1179" spans="1:14" x14ac:dyDescent="0.25">
      <c r="A1179" t="s">
        <v>1422</v>
      </c>
      <c r="B1179">
        <v>8044</v>
      </c>
      <c r="C1179">
        <v>3634</v>
      </c>
      <c r="E1179">
        <v>3</v>
      </c>
      <c r="F1179" t="s">
        <v>30</v>
      </c>
      <c r="G1179" t="s">
        <v>57</v>
      </c>
      <c r="H1179" t="s">
        <v>65</v>
      </c>
      <c r="J1179" s="1">
        <v>44841</v>
      </c>
      <c r="K1179" t="s">
        <v>1424</v>
      </c>
      <c r="L1179" t="s">
        <v>42</v>
      </c>
      <c r="M1179" t="s">
        <v>75</v>
      </c>
      <c r="N1179" t="s">
        <v>96</v>
      </c>
    </row>
    <row r="1180" spans="1:14" x14ac:dyDescent="0.25">
      <c r="A1180" t="s">
        <v>1425</v>
      </c>
      <c r="B1180">
        <v>7417</v>
      </c>
      <c r="C1180">
        <v>1334</v>
      </c>
      <c r="E1180">
        <v>16</v>
      </c>
      <c r="F1180" t="s">
        <v>45</v>
      </c>
      <c r="G1180" t="s">
        <v>109</v>
      </c>
      <c r="H1180" t="s">
        <v>65</v>
      </c>
      <c r="J1180" s="1">
        <v>44474</v>
      </c>
      <c r="K1180" t="s">
        <v>1426</v>
      </c>
      <c r="L1180" t="s">
        <v>17</v>
      </c>
      <c r="M1180" t="s">
        <v>150</v>
      </c>
      <c r="N1180" t="s">
        <v>37</v>
      </c>
    </row>
    <row r="1181" spans="1:14" x14ac:dyDescent="0.25">
      <c r="A1181" t="s">
        <v>1427</v>
      </c>
      <c r="B1181">
        <v>3451</v>
      </c>
      <c r="C1181">
        <v>658</v>
      </c>
      <c r="E1181">
        <v>3</v>
      </c>
      <c r="F1181" t="s">
        <v>30</v>
      </c>
      <c r="G1181" t="s">
        <v>57</v>
      </c>
      <c r="H1181" t="s">
        <v>15</v>
      </c>
      <c r="J1181" s="1">
        <v>45654</v>
      </c>
      <c r="K1181" t="s">
        <v>1428</v>
      </c>
      <c r="L1181" t="s">
        <v>21</v>
      </c>
      <c r="M1181" t="s">
        <v>22</v>
      </c>
      <c r="N1181" t="s">
        <v>23</v>
      </c>
    </row>
    <row r="1182" spans="1:14" x14ac:dyDescent="0.25">
      <c r="A1182" t="s">
        <v>1429</v>
      </c>
      <c r="B1182">
        <v>8531</v>
      </c>
      <c r="C1182">
        <v>2555</v>
      </c>
      <c r="E1182">
        <v>4</v>
      </c>
      <c r="F1182" t="s">
        <v>13</v>
      </c>
      <c r="G1182" t="s">
        <v>39</v>
      </c>
      <c r="H1182" t="s">
        <v>40</v>
      </c>
      <c r="J1182" s="1">
        <v>44695</v>
      </c>
      <c r="K1182" t="s">
        <v>1430</v>
      </c>
      <c r="L1182" t="s">
        <v>71</v>
      </c>
      <c r="M1182" t="s">
        <v>86</v>
      </c>
      <c r="N1182" t="s">
        <v>180</v>
      </c>
    </row>
    <row r="1183" spans="1:14" x14ac:dyDescent="0.25">
      <c r="A1183" t="s">
        <v>1431</v>
      </c>
      <c r="B1183">
        <v>6646</v>
      </c>
      <c r="C1183">
        <v>848</v>
      </c>
      <c r="E1183">
        <v>15</v>
      </c>
      <c r="F1183" t="s">
        <v>45</v>
      </c>
      <c r="G1183" t="s">
        <v>60</v>
      </c>
      <c r="H1183" t="s">
        <v>32</v>
      </c>
      <c r="J1183" s="1">
        <v>45157</v>
      </c>
      <c r="K1183" t="s">
        <v>1432</v>
      </c>
      <c r="L1183" t="s">
        <v>25</v>
      </c>
      <c r="M1183" t="s">
        <v>51</v>
      </c>
      <c r="N1183" t="s">
        <v>121</v>
      </c>
    </row>
    <row r="1184" spans="1:14" x14ac:dyDescent="0.25">
      <c r="A1184" t="s">
        <v>1431</v>
      </c>
      <c r="B1184">
        <v>6646</v>
      </c>
      <c r="C1184">
        <v>848</v>
      </c>
      <c r="E1184">
        <v>15</v>
      </c>
      <c r="F1184" t="s">
        <v>45</v>
      </c>
      <c r="G1184" t="s">
        <v>60</v>
      </c>
      <c r="H1184" t="s">
        <v>32</v>
      </c>
      <c r="J1184" s="1">
        <v>45121</v>
      </c>
      <c r="K1184" t="s">
        <v>1433</v>
      </c>
      <c r="L1184" t="s">
        <v>25</v>
      </c>
      <c r="M1184" t="s">
        <v>26</v>
      </c>
      <c r="N1184" t="s">
        <v>105</v>
      </c>
    </row>
    <row r="1185" spans="1:14" x14ac:dyDescent="0.25">
      <c r="A1185" t="s">
        <v>1434</v>
      </c>
      <c r="B1185">
        <v>2553</v>
      </c>
      <c r="C1185">
        <v>907</v>
      </c>
      <c r="E1185">
        <v>6</v>
      </c>
      <c r="F1185" t="s">
        <v>13</v>
      </c>
      <c r="G1185" t="s">
        <v>39</v>
      </c>
      <c r="H1185" t="s">
        <v>47</v>
      </c>
      <c r="J1185" s="1">
        <v>45099</v>
      </c>
      <c r="K1185" t="s">
        <v>1435</v>
      </c>
      <c r="L1185" t="s">
        <v>71</v>
      </c>
      <c r="M1185" t="s">
        <v>72</v>
      </c>
      <c r="N1185" t="s">
        <v>19</v>
      </c>
    </row>
    <row r="1186" spans="1:14" x14ac:dyDescent="0.25">
      <c r="A1186" t="s">
        <v>1436</v>
      </c>
      <c r="B1186">
        <v>8490</v>
      </c>
      <c r="C1186">
        <v>3485</v>
      </c>
      <c r="E1186">
        <v>3</v>
      </c>
      <c r="F1186" t="s">
        <v>13</v>
      </c>
      <c r="G1186" t="s">
        <v>82</v>
      </c>
      <c r="H1186" t="s">
        <v>47</v>
      </c>
      <c r="J1186" s="1">
        <v>45006</v>
      </c>
      <c r="K1186" t="s">
        <v>1437</v>
      </c>
      <c r="L1186" t="s">
        <v>25</v>
      </c>
      <c r="M1186" t="s">
        <v>51</v>
      </c>
      <c r="N1186" t="s">
        <v>245</v>
      </c>
    </row>
    <row r="1187" spans="1:14" x14ac:dyDescent="0.25">
      <c r="A1187" t="s">
        <v>1438</v>
      </c>
      <c r="B1187">
        <v>2689</v>
      </c>
      <c r="C1187">
        <v>1330</v>
      </c>
      <c r="E1187">
        <v>3</v>
      </c>
      <c r="F1187" t="s">
        <v>45</v>
      </c>
      <c r="G1187" t="s">
        <v>46</v>
      </c>
      <c r="H1187" t="s">
        <v>15</v>
      </c>
      <c r="J1187" s="1">
        <v>44178</v>
      </c>
      <c r="K1187" t="s">
        <v>1439</v>
      </c>
      <c r="L1187" t="s">
        <v>42</v>
      </c>
      <c r="M1187" t="s">
        <v>43</v>
      </c>
      <c r="N1187" t="s">
        <v>287</v>
      </c>
    </row>
    <row r="1188" spans="1:14" x14ac:dyDescent="0.25">
      <c r="A1188" t="s">
        <v>1438</v>
      </c>
      <c r="B1188">
        <v>2689</v>
      </c>
      <c r="C1188">
        <v>1330</v>
      </c>
      <c r="E1188">
        <v>3</v>
      </c>
      <c r="F1188" t="s">
        <v>45</v>
      </c>
      <c r="G1188" t="s">
        <v>46</v>
      </c>
      <c r="H1188" t="s">
        <v>15</v>
      </c>
      <c r="J1188" s="1">
        <v>45441</v>
      </c>
      <c r="K1188" t="s">
        <v>1440</v>
      </c>
      <c r="L1188" t="s">
        <v>17</v>
      </c>
      <c r="M1188" t="s">
        <v>18</v>
      </c>
      <c r="N1188" t="s">
        <v>35</v>
      </c>
    </row>
    <row r="1189" spans="1:14" x14ac:dyDescent="0.25">
      <c r="A1189" t="s">
        <v>1441</v>
      </c>
      <c r="B1189">
        <v>815</v>
      </c>
      <c r="C1189">
        <v>54</v>
      </c>
      <c r="E1189">
        <v>14</v>
      </c>
      <c r="F1189" t="s">
        <v>45</v>
      </c>
      <c r="G1189" t="s">
        <v>46</v>
      </c>
      <c r="H1189" t="s">
        <v>32</v>
      </c>
      <c r="J1189" s="1">
        <v>44341</v>
      </c>
      <c r="K1189" t="s">
        <v>1442</v>
      </c>
      <c r="L1189" t="s">
        <v>42</v>
      </c>
      <c r="M1189" t="s">
        <v>92</v>
      </c>
      <c r="N1189" t="s">
        <v>108</v>
      </c>
    </row>
    <row r="1190" spans="1:14" x14ac:dyDescent="0.25">
      <c r="A1190" t="s">
        <v>1443</v>
      </c>
      <c r="B1190">
        <v>5024</v>
      </c>
      <c r="C1190">
        <v>379</v>
      </c>
      <c r="E1190">
        <v>2</v>
      </c>
      <c r="F1190" t="s">
        <v>30</v>
      </c>
      <c r="G1190" t="s">
        <v>64</v>
      </c>
      <c r="H1190" t="s">
        <v>15</v>
      </c>
      <c r="J1190" s="1">
        <v>45384</v>
      </c>
      <c r="K1190" t="s">
        <v>1444</v>
      </c>
      <c r="L1190" t="s">
        <v>71</v>
      </c>
      <c r="M1190" t="s">
        <v>72</v>
      </c>
      <c r="N1190" t="s">
        <v>235</v>
      </c>
    </row>
    <row r="1191" spans="1:14" x14ac:dyDescent="0.25">
      <c r="A1191" t="s">
        <v>1443</v>
      </c>
      <c r="B1191">
        <v>5024</v>
      </c>
      <c r="C1191">
        <v>379</v>
      </c>
      <c r="E1191">
        <v>2</v>
      </c>
      <c r="F1191" t="s">
        <v>30</v>
      </c>
      <c r="G1191" t="s">
        <v>64</v>
      </c>
      <c r="H1191" t="s">
        <v>15</v>
      </c>
      <c r="J1191" s="1">
        <v>44898</v>
      </c>
      <c r="K1191" t="s">
        <v>1445</v>
      </c>
      <c r="L1191" t="s">
        <v>21</v>
      </c>
      <c r="M1191" t="s">
        <v>172</v>
      </c>
      <c r="N1191" t="s">
        <v>152</v>
      </c>
    </row>
    <row r="1192" spans="1:14" x14ac:dyDescent="0.25">
      <c r="A1192" t="s">
        <v>1446</v>
      </c>
      <c r="B1192">
        <v>8962</v>
      </c>
      <c r="C1192">
        <v>2444</v>
      </c>
      <c r="E1192">
        <v>18</v>
      </c>
      <c r="F1192" t="s">
        <v>13</v>
      </c>
      <c r="G1192" t="s">
        <v>14</v>
      </c>
      <c r="H1192" t="s">
        <v>32</v>
      </c>
      <c r="J1192" s="1">
        <v>44389</v>
      </c>
      <c r="K1192" t="s">
        <v>1447</v>
      </c>
      <c r="L1192" t="s">
        <v>98</v>
      </c>
      <c r="M1192" t="s">
        <v>117</v>
      </c>
      <c r="N1192" t="s">
        <v>27</v>
      </c>
    </row>
    <row r="1193" spans="1:14" x14ac:dyDescent="0.25">
      <c r="A1193" t="s">
        <v>1446</v>
      </c>
      <c r="B1193">
        <v>8962</v>
      </c>
      <c r="C1193">
        <v>2444</v>
      </c>
      <c r="E1193">
        <v>18</v>
      </c>
      <c r="F1193" t="s">
        <v>13</v>
      </c>
      <c r="G1193" t="s">
        <v>14</v>
      </c>
      <c r="H1193" t="s">
        <v>32</v>
      </c>
      <c r="J1193" s="1">
        <v>43912</v>
      </c>
      <c r="K1193" t="s">
        <v>1448</v>
      </c>
      <c r="L1193" t="s">
        <v>21</v>
      </c>
      <c r="M1193" t="s">
        <v>172</v>
      </c>
      <c r="N1193" t="s">
        <v>55</v>
      </c>
    </row>
    <row r="1194" spans="1:14" x14ac:dyDescent="0.25">
      <c r="A1194" t="s">
        <v>1449</v>
      </c>
      <c r="B1194">
        <v>1961</v>
      </c>
      <c r="C1194">
        <v>59</v>
      </c>
      <c r="E1194">
        <v>12</v>
      </c>
      <c r="F1194" t="s">
        <v>30</v>
      </c>
      <c r="G1194" t="s">
        <v>78</v>
      </c>
      <c r="H1194" t="s">
        <v>15</v>
      </c>
      <c r="J1194" s="1">
        <v>44052</v>
      </c>
      <c r="K1194" t="s">
        <v>1450</v>
      </c>
      <c r="L1194" t="s">
        <v>17</v>
      </c>
      <c r="M1194" t="s">
        <v>34</v>
      </c>
      <c r="N1194" t="s">
        <v>185</v>
      </c>
    </row>
    <row r="1195" spans="1:14" x14ac:dyDescent="0.25">
      <c r="A1195" t="s">
        <v>1451</v>
      </c>
      <c r="B1195">
        <v>526</v>
      </c>
      <c r="C1195">
        <v>83</v>
      </c>
      <c r="E1195">
        <v>4</v>
      </c>
      <c r="F1195" t="s">
        <v>45</v>
      </c>
      <c r="G1195" t="s">
        <v>60</v>
      </c>
      <c r="H1195" t="s">
        <v>47</v>
      </c>
      <c r="J1195" s="1">
        <v>44610</v>
      </c>
      <c r="K1195" t="s">
        <v>1452</v>
      </c>
      <c r="L1195" t="s">
        <v>21</v>
      </c>
      <c r="M1195" t="s">
        <v>22</v>
      </c>
      <c r="N1195" t="s">
        <v>137</v>
      </c>
    </row>
    <row r="1196" spans="1:14" x14ac:dyDescent="0.25">
      <c r="A1196" t="s">
        <v>1453</v>
      </c>
      <c r="B1196">
        <v>6093</v>
      </c>
      <c r="C1196">
        <v>3042</v>
      </c>
      <c r="E1196">
        <v>9</v>
      </c>
      <c r="F1196" t="s">
        <v>45</v>
      </c>
      <c r="G1196" t="s">
        <v>109</v>
      </c>
      <c r="H1196" t="s">
        <v>32</v>
      </c>
      <c r="J1196" s="1">
        <v>44361</v>
      </c>
      <c r="K1196" t="s">
        <v>1454</v>
      </c>
      <c r="L1196" t="s">
        <v>42</v>
      </c>
      <c r="M1196" t="s">
        <v>92</v>
      </c>
      <c r="N1196" t="s">
        <v>125</v>
      </c>
    </row>
    <row r="1197" spans="1:14" x14ac:dyDescent="0.25">
      <c r="A1197" t="s">
        <v>1453</v>
      </c>
      <c r="B1197">
        <v>6093</v>
      </c>
      <c r="C1197">
        <v>3042</v>
      </c>
      <c r="E1197">
        <v>9</v>
      </c>
      <c r="F1197" t="s">
        <v>45</v>
      </c>
      <c r="G1197" t="s">
        <v>109</v>
      </c>
      <c r="H1197" t="s">
        <v>32</v>
      </c>
      <c r="J1197" s="1">
        <v>44256</v>
      </c>
      <c r="K1197" t="s">
        <v>1455</v>
      </c>
      <c r="L1197" t="s">
        <v>42</v>
      </c>
      <c r="M1197" t="s">
        <v>75</v>
      </c>
      <c r="N1197" t="s">
        <v>167</v>
      </c>
    </row>
    <row r="1198" spans="1:14" x14ac:dyDescent="0.25">
      <c r="A1198" t="s">
        <v>1456</v>
      </c>
      <c r="B1198">
        <v>7699</v>
      </c>
      <c r="C1198">
        <v>246</v>
      </c>
      <c r="E1198">
        <v>5</v>
      </c>
      <c r="F1198" t="s">
        <v>13</v>
      </c>
      <c r="G1198" t="s">
        <v>14</v>
      </c>
      <c r="H1198" t="s">
        <v>32</v>
      </c>
      <c r="J1198" s="1">
        <v>45192</v>
      </c>
      <c r="K1198" t="s">
        <v>1457</v>
      </c>
      <c r="L1198" t="s">
        <v>71</v>
      </c>
      <c r="M1198" t="s">
        <v>86</v>
      </c>
      <c r="N1198" t="s">
        <v>273</v>
      </c>
    </row>
    <row r="1199" spans="1:14" x14ac:dyDescent="0.25">
      <c r="A1199" t="s">
        <v>1458</v>
      </c>
      <c r="B1199">
        <v>8825</v>
      </c>
      <c r="C1199">
        <v>3594</v>
      </c>
      <c r="E1199">
        <v>15</v>
      </c>
      <c r="F1199" t="s">
        <v>45</v>
      </c>
      <c r="G1199" t="s">
        <v>46</v>
      </c>
      <c r="H1199" t="s">
        <v>32</v>
      </c>
      <c r="J1199" s="1">
        <v>45504</v>
      </c>
      <c r="K1199" t="s">
        <v>1459</v>
      </c>
      <c r="L1199" t="s">
        <v>25</v>
      </c>
      <c r="M1199" t="s">
        <v>51</v>
      </c>
      <c r="N1199" t="s">
        <v>215</v>
      </c>
    </row>
    <row r="1200" spans="1:14" x14ac:dyDescent="0.25">
      <c r="A1200" t="s">
        <v>1460</v>
      </c>
      <c r="B1200">
        <v>2082</v>
      </c>
      <c r="C1200">
        <v>642</v>
      </c>
      <c r="E1200">
        <v>8</v>
      </c>
      <c r="F1200" t="s">
        <v>13</v>
      </c>
      <c r="G1200" t="s">
        <v>82</v>
      </c>
      <c r="H1200" t="s">
        <v>40</v>
      </c>
      <c r="J1200" s="1">
        <v>43984</v>
      </c>
      <c r="K1200" t="s">
        <v>1461</v>
      </c>
      <c r="L1200" t="s">
        <v>25</v>
      </c>
      <c r="M1200" t="s">
        <v>68</v>
      </c>
      <c r="N1200" t="s">
        <v>313</v>
      </c>
    </row>
    <row r="1201" spans="1:14" x14ac:dyDescent="0.25">
      <c r="A1201" t="s">
        <v>1460</v>
      </c>
      <c r="B1201">
        <v>2082</v>
      </c>
      <c r="C1201">
        <v>642</v>
      </c>
      <c r="E1201">
        <v>8</v>
      </c>
      <c r="F1201" t="s">
        <v>13</v>
      </c>
      <c r="G1201" t="s">
        <v>82</v>
      </c>
      <c r="H1201" t="s">
        <v>40</v>
      </c>
      <c r="J1201" s="1">
        <v>44910</v>
      </c>
      <c r="K1201" t="s">
        <v>1462</v>
      </c>
      <c r="L1201" t="s">
        <v>71</v>
      </c>
      <c r="M1201" t="s">
        <v>86</v>
      </c>
      <c r="N1201" t="s">
        <v>152</v>
      </c>
    </row>
    <row r="1202" spans="1:14" x14ac:dyDescent="0.25">
      <c r="A1202" t="s">
        <v>1460</v>
      </c>
      <c r="B1202">
        <v>2082</v>
      </c>
      <c r="C1202">
        <v>642</v>
      </c>
      <c r="E1202">
        <v>8</v>
      </c>
      <c r="F1202" t="s">
        <v>13</v>
      </c>
      <c r="G1202" t="s">
        <v>82</v>
      </c>
      <c r="H1202" t="s">
        <v>40</v>
      </c>
      <c r="J1202" s="1">
        <v>44050</v>
      </c>
      <c r="K1202" t="s">
        <v>1463</v>
      </c>
      <c r="L1202" t="s">
        <v>25</v>
      </c>
      <c r="M1202" t="s">
        <v>26</v>
      </c>
      <c r="N1202" t="s">
        <v>185</v>
      </c>
    </row>
    <row r="1203" spans="1:14" x14ac:dyDescent="0.25">
      <c r="A1203" t="s">
        <v>1464</v>
      </c>
      <c r="B1203">
        <v>914</v>
      </c>
      <c r="C1203">
        <v>163</v>
      </c>
      <c r="E1203">
        <v>13</v>
      </c>
      <c r="F1203" t="s">
        <v>30</v>
      </c>
      <c r="G1203" t="s">
        <v>57</v>
      </c>
      <c r="H1203" t="s">
        <v>15</v>
      </c>
      <c r="J1203" s="1">
        <v>45591</v>
      </c>
      <c r="K1203" t="s">
        <v>1465</v>
      </c>
      <c r="L1203" t="s">
        <v>21</v>
      </c>
      <c r="M1203" t="s">
        <v>22</v>
      </c>
      <c r="N1203" t="s">
        <v>360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55B29D-0961-4C6E-ADE3-43A464F144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Dasboard</vt:lpstr>
      <vt:lpstr>Map</vt:lpstr>
      <vt:lpstr>Data</vt:lpstr>
      <vt:lpstr>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 Dy</dc:creator>
  <cp:lastModifiedBy>abdulrahmansalem</cp:lastModifiedBy>
  <dcterms:created xsi:type="dcterms:W3CDTF">2025-12-05T18:01:03Z</dcterms:created>
  <dcterms:modified xsi:type="dcterms:W3CDTF">2025-12-07T14:40:28Z</dcterms:modified>
</cp:coreProperties>
</file>